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ml.chartshapes+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3.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hidePivotFieldList="1" defaultThemeVersion="166925"/>
  <mc:AlternateContent xmlns:mc="http://schemas.openxmlformats.org/markup-compatibility/2006">
    <mc:Choice Requires="x15">
      <x15ac:absPath xmlns:x15ac="http://schemas.microsoft.com/office/spreadsheetml/2010/11/ac" url="C:\Users\DELL\11. Inventory Stock Reorder System\Inventory-Stock-Reorder-System-\"/>
    </mc:Choice>
  </mc:AlternateContent>
  <xr:revisionPtr revIDLastSave="0" documentId="13_ncr:1_{4DBEBC30-AA6C-495F-9784-40912DF50C39}" xr6:coauthVersionLast="47" xr6:coauthVersionMax="47" xr10:uidLastSave="{00000000-0000-0000-0000-000000000000}"/>
  <bookViews>
    <workbookView xWindow="-120" yWindow="-120" windowWidth="20730" windowHeight="11040" firstSheet="1" activeTab="6" xr2:uid="{1E6CD7B2-97CD-47D1-858C-C70B07EF2796}"/>
  </bookViews>
  <sheets>
    <sheet name="StackedColmn" sheetId="16" r:id="rId1"/>
    <sheet name="MergedData" sheetId="8" r:id="rId2"/>
    <sheet name="ReorderOnly" sheetId="9" r:id="rId3"/>
    <sheet name="Calculations" sheetId="1" r:id="rId4"/>
    <sheet name="BarChart" sheetId="10" r:id="rId5"/>
    <sheet name="PieChart" sheetId="15" r:id="rId6"/>
    <sheet name="DashBoard" sheetId="11" r:id="rId7"/>
  </sheets>
  <definedNames>
    <definedName name="_xlnm._FilterDatabase" localSheetId="1" hidden="1">MergedData!$A$1:$L$2001</definedName>
    <definedName name="_xlnm._FilterDatabase" localSheetId="2" hidden="1">ReorderOnly!$A$1:$K$596</definedName>
    <definedName name="Slicer_Item_Name">#N/A</definedName>
    <definedName name="Slicer_Item_Name1">#N/A</definedName>
    <definedName name="Slicer_Status">#N/A</definedName>
    <definedName name="Slicer_Supplier">#N/A</definedName>
  </definedNames>
  <calcPr calcId="191029"/>
  <pivotCaches>
    <pivotCache cacheId="0" r:id="rId8"/>
    <pivotCache cacheId="1"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 i="11" l="1"/>
  <c r="N1" i="11"/>
  <c r="K1" i="11"/>
  <c r="B4" i="1"/>
  <c r="B3" i="1"/>
  <c r="B2" i="1"/>
  <c r="L21" i="8"/>
</calcChain>
</file>

<file path=xl/sharedStrings.xml><?xml version="1.0" encoding="utf-8"?>
<sst xmlns="http://schemas.openxmlformats.org/spreadsheetml/2006/main" count="14981" uniqueCount="179">
  <si>
    <t>Item Name</t>
  </si>
  <si>
    <t>Category</t>
  </si>
  <si>
    <t>Stock Qty</t>
  </si>
  <si>
    <t>Reorder Level</t>
  </si>
  <si>
    <t>Status</t>
  </si>
  <si>
    <t>Supplier</t>
  </si>
  <si>
    <t>Unit Price ($)</t>
  </si>
  <si>
    <t>Location</t>
  </si>
  <si>
    <t>Last Order Date</t>
  </si>
  <si>
    <t>Next Expected Delivery</t>
  </si>
  <si>
    <t>Remarks</t>
  </si>
  <si>
    <t>Ultra Chair</t>
  </si>
  <si>
    <t>Furniture</t>
  </si>
  <si>
    <t>OK</t>
  </si>
  <si>
    <t>Warehouse C</t>
  </si>
  <si>
    <t>Modern Cleaner</t>
  </si>
  <si>
    <t>Electronics</t>
  </si>
  <si>
    <t>Discontinued</t>
  </si>
  <si>
    <t>Eco Chair</t>
  </si>
  <si>
    <t>Reorder</t>
  </si>
  <si>
    <t>Warehouse A</t>
  </si>
  <si>
    <t>High demand</t>
  </si>
  <si>
    <t>Heavy Desk</t>
  </si>
  <si>
    <t>Cleaning</t>
  </si>
  <si>
    <t>Heavy Notebook</t>
  </si>
  <si>
    <t>Classic Pen</t>
  </si>
  <si>
    <t>Warehouse B</t>
  </si>
  <si>
    <t>Eco Projector</t>
  </si>
  <si>
    <t>Printer</t>
  </si>
  <si>
    <t>Modern Notebook</t>
  </si>
  <si>
    <t>Stationery</t>
  </si>
  <si>
    <t>Heavy Cleaner</t>
  </si>
  <si>
    <t>Ultra Monitor</t>
  </si>
  <si>
    <t>Classic Cleaner</t>
  </si>
  <si>
    <t>Ultra Keyboard</t>
  </si>
  <si>
    <t>Classic Monitor</t>
  </si>
  <si>
    <t>Ultra Projector</t>
  </si>
  <si>
    <t>Heavy Projector</t>
  </si>
  <si>
    <t>Classic Cabinet</t>
  </si>
  <si>
    <t>Eco Cleaner</t>
  </si>
  <si>
    <t>Classic Mouse</t>
  </si>
  <si>
    <t>Heavy Cabinet</t>
  </si>
  <si>
    <t>Eco Monitor</t>
  </si>
  <si>
    <t>Eco Mouse</t>
  </si>
  <si>
    <t>Ultra Mouse</t>
  </si>
  <si>
    <t>Ultra Cleaner</t>
  </si>
  <si>
    <t>Heavy Keyboard</t>
  </si>
  <si>
    <t>Classic Chair</t>
  </si>
  <si>
    <t>Ultra Desk</t>
  </si>
  <si>
    <t>Modern Monitor</t>
  </si>
  <si>
    <t>Ultra Notebook</t>
  </si>
  <si>
    <t>Modern Cabinet</t>
  </si>
  <si>
    <t>Classic Keyboard</t>
  </si>
  <si>
    <t>Modern Keyboard</t>
  </si>
  <si>
    <t>Eco Keyboard</t>
  </si>
  <si>
    <t>Ultra Pen</t>
  </si>
  <si>
    <t>Eco Notebook</t>
  </si>
  <si>
    <t>Modern Pen</t>
  </si>
  <si>
    <t>Modern Desk</t>
  </si>
  <si>
    <t>Ultra Cabinet</t>
  </si>
  <si>
    <t>Modern Projector</t>
  </si>
  <si>
    <t>Heavy Pen</t>
  </si>
  <si>
    <t>Classic Desk</t>
  </si>
  <si>
    <t>Modern Mouse</t>
  </si>
  <si>
    <t>Classic Notebook</t>
  </si>
  <si>
    <t>Modern Chair</t>
  </si>
  <si>
    <t>Eco Cabinet</t>
  </si>
  <si>
    <t>Eco Pen</t>
  </si>
  <si>
    <t>Classic Projector</t>
  </si>
  <si>
    <t>Heavy Chair</t>
  </si>
  <si>
    <t>Heavy Mouse</t>
  </si>
  <si>
    <t>Heavy Monitor</t>
  </si>
  <si>
    <t>Eco Desk</t>
  </si>
  <si>
    <t>Premium Monitor</t>
  </si>
  <si>
    <t>Industrial Cabinet</t>
  </si>
  <si>
    <t>Durable Keyboard</t>
  </si>
  <si>
    <t>Industrial Desk</t>
  </si>
  <si>
    <t>Smart Projector</t>
  </si>
  <si>
    <t>Heavy-Duty Pen</t>
  </si>
  <si>
    <t>Portable Cabinet</t>
  </si>
  <si>
    <t>Multi-purpose Projector</t>
  </si>
  <si>
    <t>Industrial Monitor</t>
  </si>
  <si>
    <t>Heavy-Duty Chair</t>
  </si>
  <si>
    <t>Heavy-Duty Desk</t>
  </si>
  <si>
    <t>Heavy-Duty Keyboard</t>
  </si>
  <si>
    <t>Portable Keyboard</t>
  </si>
  <si>
    <t>Smart Mouse</t>
  </si>
  <si>
    <t>Heavy-Duty Cleaner</t>
  </si>
  <si>
    <t>Heavy-Duty Notebook</t>
  </si>
  <si>
    <t>Smart Chair</t>
  </si>
  <si>
    <t>Durable Projector</t>
  </si>
  <si>
    <t>Heavy-Duty Projector</t>
  </si>
  <si>
    <t>Standard Cabinet</t>
  </si>
  <si>
    <t>Multi-purpose Pen</t>
  </si>
  <si>
    <t>Durable Chair</t>
  </si>
  <si>
    <t>Standard Keyboard</t>
  </si>
  <si>
    <t>Multi-purpose Keyboard</t>
  </si>
  <si>
    <t>Smart Desk</t>
  </si>
  <si>
    <t>Portable Pen</t>
  </si>
  <si>
    <t>Smart Cleaner</t>
  </si>
  <si>
    <t>Standard Desk</t>
  </si>
  <si>
    <t>Portable Desk</t>
  </si>
  <si>
    <t>Standard Projector</t>
  </si>
  <si>
    <t>Multi-purpose Cleaner</t>
  </si>
  <si>
    <t>Smart Monitor</t>
  </si>
  <si>
    <t>Premium Desk</t>
  </si>
  <si>
    <t>Portable Chair</t>
  </si>
  <si>
    <t>Compact Pen</t>
  </si>
  <si>
    <t>Multi-purpose Monitor</t>
  </si>
  <si>
    <t>Standard Chair</t>
  </si>
  <si>
    <t>Premium Mouse</t>
  </si>
  <si>
    <t>Durable Monitor</t>
  </si>
  <si>
    <t>Portable Mouse</t>
  </si>
  <si>
    <t>Standard Cleaner</t>
  </si>
  <si>
    <t>Premium Chair</t>
  </si>
  <si>
    <t>Compact Chair</t>
  </si>
  <si>
    <t>Smart Notebook</t>
  </si>
  <si>
    <t>Industrial Cleaner</t>
  </si>
  <si>
    <t>Premium Keyboard</t>
  </si>
  <si>
    <t>Industrial Keyboard</t>
  </si>
  <si>
    <t>Smart Cabinet</t>
  </si>
  <si>
    <t>Multi-purpose Notebook</t>
  </si>
  <si>
    <t>Heavy-Duty Monitor</t>
  </si>
  <si>
    <t>Premium Projector</t>
  </si>
  <si>
    <t>Heavy-Duty Mouse</t>
  </si>
  <si>
    <t>Durable Desk</t>
  </si>
  <si>
    <t>Industrial Projector</t>
  </si>
  <si>
    <t>Standard Mouse</t>
  </si>
  <si>
    <t>Industrial Notebook</t>
  </si>
  <si>
    <t>Multi-purpose Cabinet</t>
  </si>
  <si>
    <t>Heavy-Duty Cabinet</t>
  </si>
  <si>
    <t>Compact Desk</t>
  </si>
  <si>
    <t>Durable Pen</t>
  </si>
  <si>
    <t>Compact Mouse</t>
  </si>
  <si>
    <t>Smart Pen</t>
  </si>
  <si>
    <t>Portable Cleaner</t>
  </si>
  <si>
    <t>Premium Pen</t>
  </si>
  <si>
    <t>Premium Cabinet</t>
  </si>
  <si>
    <t>Portable Monitor</t>
  </si>
  <si>
    <t>Standard Monitor</t>
  </si>
  <si>
    <t>Durable Cleaner</t>
  </si>
  <si>
    <t>Smart Keyboard</t>
  </si>
  <si>
    <t>Portable Projector</t>
  </si>
  <si>
    <t>Multi-purpose Chair</t>
  </si>
  <si>
    <t>Premium Cleaner</t>
  </si>
  <si>
    <t>Industrial Mouse</t>
  </si>
  <si>
    <t>Industrial Pen</t>
  </si>
  <si>
    <t>Industrial Chair</t>
  </si>
  <si>
    <t>Standard Pen</t>
  </si>
  <si>
    <t>Compact Monitor</t>
  </si>
  <si>
    <t>Durable Notebook</t>
  </si>
  <si>
    <t>Premium Notebook</t>
  </si>
  <si>
    <t>Compact Cabinet</t>
  </si>
  <si>
    <t>Standard Notebook</t>
  </si>
  <si>
    <t>Portable Notebook</t>
  </si>
  <si>
    <t>Compact Keyboard</t>
  </si>
  <si>
    <t>Multi-purpose Mouse</t>
  </si>
  <si>
    <t>Compact Cleaner</t>
  </si>
  <si>
    <t>Durable Cabinet</t>
  </si>
  <si>
    <t>Compact Projector</t>
  </si>
  <si>
    <t>Compact Notebook</t>
  </si>
  <si>
    <t>Multi-purpose Desk</t>
  </si>
  <si>
    <t>Durable Mouse</t>
  </si>
  <si>
    <t>🔢 Total Items</t>
  </si>
  <si>
    <t>🚨 Reorder Items</t>
  </si>
  <si>
    <t>✅ OK Items</t>
  </si>
  <si>
    <t>Row Labels</t>
  </si>
  <si>
    <t>Grand Total</t>
  </si>
  <si>
    <t>(All)</t>
  </si>
  <si>
    <t>Count of Item Name</t>
  </si>
  <si>
    <t>Gulf Coast Traders</t>
  </si>
  <si>
    <t>HarborTech Solutions</t>
  </si>
  <si>
    <t>Pending Coastal Logistics Partnersonfirmation</t>
  </si>
  <si>
    <t>Coastal Logistics Partners</t>
  </si>
  <si>
    <t>HarborTech Solutionss</t>
  </si>
  <si>
    <t>Inventory Stock Reorder Dashboard</t>
  </si>
  <si>
    <t>(blank)</t>
  </si>
  <si>
    <t>Column Labels</t>
  </si>
  <si>
    <t>Macrons' Links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</si>
</sst>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12" x14ac:knownFonts="1">
    <font>
      <sz val="11"/>
      <color theme="1"/>
      <name val="Calibri"/>
      <family val="2"/>
      <scheme val="minor"/>
    </font>
    <font>
      <b/>
      <sz val="11"/>
      <color theme="1"/>
      <name val="Calibri"/>
      <family val="2"/>
      <scheme val="minor"/>
    </font>
    <font>
      <b/>
      <sz val="12"/>
      <color theme="1"/>
      <name val="Calibri"/>
      <family val="2"/>
      <scheme val="minor"/>
    </font>
    <font>
      <b/>
      <sz val="20"/>
      <color theme="1"/>
      <name val="Calibri"/>
      <family val="2"/>
      <scheme val="minor"/>
    </font>
    <font>
      <b/>
      <sz val="10"/>
      <color theme="1" tint="4.9989318521683403E-2"/>
      <name val="Arial Black"/>
      <family val="2"/>
    </font>
    <font>
      <sz val="10"/>
      <color theme="1" tint="4.9989318521683403E-2"/>
      <name val="Arial Black"/>
      <family val="2"/>
    </font>
    <font>
      <b/>
      <sz val="20"/>
      <color theme="1" tint="4.9989318521683403E-2"/>
      <name val="Arial Black"/>
      <family val="2"/>
    </font>
    <font>
      <sz val="20"/>
      <color theme="1"/>
      <name val="Calibri"/>
      <family val="2"/>
      <scheme val="minor"/>
    </font>
    <font>
      <sz val="14"/>
      <color theme="1"/>
      <name val="Calibri"/>
      <family val="2"/>
      <scheme val="minor"/>
    </font>
    <font>
      <u val="double"/>
      <sz val="14"/>
      <color theme="1"/>
      <name val="Arial Black"/>
      <family val="2"/>
    </font>
    <font>
      <sz val="11"/>
      <color rgb="FF000000"/>
      <name val="Arial Black"/>
      <family val="2"/>
    </font>
    <font>
      <sz val="10"/>
      <color rgb="FF000000"/>
      <name val="Arial Black"/>
      <family val="2"/>
    </font>
  </fonts>
  <fills count="2">
    <fill>
      <patternFill patternType="none"/>
    </fill>
    <fill>
      <patternFill patternType="gray125"/>
    </fill>
  </fills>
  <borders count="3">
    <border>
      <left/>
      <right/>
      <top/>
      <bottom/>
      <diagonal/>
    </border>
    <border>
      <left style="thin">
        <color auto="1"/>
      </left>
      <right style="thin">
        <color auto="1"/>
      </right>
      <top style="thin">
        <color auto="1"/>
      </top>
      <bottom style="thin">
        <color auto="1"/>
      </bottom>
      <diagonal/>
    </border>
    <border>
      <left style="medium">
        <color rgb="FFC00000"/>
      </left>
      <right style="medium">
        <color rgb="FFC00000"/>
      </right>
      <top style="medium">
        <color rgb="FFC00000"/>
      </top>
      <bottom style="medium">
        <color rgb="FFC00000"/>
      </bottom>
      <diagonal/>
    </border>
  </borders>
  <cellStyleXfs count="1">
    <xf numFmtId="0" fontId="0" fillId="0" borderId="0"/>
  </cellStyleXfs>
  <cellXfs count="16">
    <xf numFmtId="0" fontId="0" fillId="0" borderId="0" xfId="0"/>
    <xf numFmtId="0" fontId="1" fillId="0" borderId="1" xfId="0" applyFont="1" applyBorder="1" applyAlignment="1">
      <alignment horizontal="center" vertical="top"/>
    </xf>
    <xf numFmtId="164" fontId="0" fillId="0" borderId="0" xfId="0" applyNumberFormat="1"/>
    <xf numFmtId="0" fontId="1" fillId="0" borderId="0" xfId="0" applyFont="1"/>
    <xf numFmtId="0" fontId="2" fillId="0" borderId="2" xfId="0" applyFont="1" applyBorder="1"/>
    <xf numFmtId="0" fontId="0" fillId="0" borderId="0" xfId="0" pivotButton="1"/>
    <xf numFmtId="0" fontId="0" fillId="0" borderId="0" xfId="0" applyAlignment="1">
      <alignment horizontal="left"/>
    </xf>
    <xf numFmtId="0" fontId="4" fillId="0" borderId="0" xfId="0" applyFont="1"/>
    <xf numFmtId="0" fontId="5" fillId="0" borderId="0" xfId="0" applyFont="1"/>
    <xf numFmtId="0" fontId="3" fillId="0" borderId="0" xfId="0" applyFont="1" applyAlignment="1">
      <alignment vertical="center"/>
    </xf>
    <xf numFmtId="0" fontId="6" fillId="0" borderId="0" xfId="0" applyFont="1" applyAlignment="1">
      <alignment vertical="center"/>
    </xf>
    <xf numFmtId="14" fontId="7" fillId="0" borderId="0" xfId="0" applyNumberFormat="1" applyFont="1"/>
    <xf numFmtId="0" fontId="9" fillId="0" borderId="0" xfId="0" applyFont="1" applyAlignment="1">
      <alignment horizontal="center"/>
    </xf>
    <xf numFmtId="0" fontId="8" fillId="0" borderId="0" xfId="0" applyFont="1" applyAlignment="1">
      <alignment horizontal="center"/>
    </xf>
    <xf numFmtId="0" fontId="0" fillId="0" borderId="0" xfId="0" applyAlignment="1">
      <alignment horizontal="center"/>
    </xf>
    <xf numFmtId="0" fontId="0" fillId="0" borderId="0" xfId="0" applyNumberFormat="1"/>
  </cellXfs>
  <cellStyles count="1">
    <cellStyle name="Normal" xfId="0" builtinId="0"/>
  </cellStyles>
  <dxfs count="4">
    <dxf>
      <fill>
        <patternFill>
          <bgColor rgb="FFFF6347"/>
        </patternFill>
      </fill>
    </dxf>
    <dxf>
      <fill>
        <patternFill>
          <bgColor rgb="FF90EE90"/>
        </patternFill>
      </fill>
    </dxf>
    <dxf>
      <fill>
        <patternFill>
          <bgColor rgb="FFFF6347"/>
        </patternFill>
      </fill>
    </dxf>
    <dxf>
      <fill>
        <patternFill>
          <bgColor rgb="FF90EE9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[Master_Inventory_Dashboard.xlsm]StackedColmn!PivotTable1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latin typeface="Arial Black" panose="020B0A04020102020204" pitchFamily="34" charset="0"/>
              </a:rPr>
              <a:t> </a:t>
            </a:r>
            <a:r>
              <a:rPr lang="en-US" sz="1100" b="0" i="0" u="none" strike="noStrike" baseline="0">
                <a:latin typeface="Arial Black" panose="020B0A04020102020204" pitchFamily="34" charset="0"/>
              </a:rPr>
              <a:t>Status by Category</a:t>
            </a:r>
            <a:endParaRPr lang="en-US" sz="1100">
              <a:latin typeface="Arial Black" panose="020B0A040201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StackedColmn!$B$3:$B$4</c:f>
              <c:strCache>
                <c:ptCount val="1"/>
                <c:pt idx="0">
                  <c:v>OK</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StackedColmn!$A$5:$A$11</c:f>
              <c:strCache>
                <c:ptCount val="6"/>
                <c:pt idx="0">
                  <c:v>Cleaning</c:v>
                </c:pt>
                <c:pt idx="1">
                  <c:v>Electronics</c:v>
                </c:pt>
                <c:pt idx="2">
                  <c:v>Furniture</c:v>
                </c:pt>
                <c:pt idx="3">
                  <c:v>Printer</c:v>
                </c:pt>
                <c:pt idx="4">
                  <c:v>Stationery</c:v>
                </c:pt>
                <c:pt idx="5">
                  <c:v>(blank)</c:v>
                </c:pt>
              </c:strCache>
            </c:strRef>
          </c:cat>
          <c:val>
            <c:numRef>
              <c:f>StackedColmn!$B$5:$B$11</c:f>
              <c:numCache>
                <c:formatCode>General</c:formatCode>
                <c:ptCount val="6"/>
                <c:pt idx="0">
                  <c:v>299</c:v>
                </c:pt>
                <c:pt idx="1">
                  <c:v>268</c:v>
                </c:pt>
                <c:pt idx="2">
                  <c:v>281</c:v>
                </c:pt>
                <c:pt idx="3">
                  <c:v>284</c:v>
                </c:pt>
                <c:pt idx="4">
                  <c:v>273</c:v>
                </c:pt>
              </c:numCache>
            </c:numRef>
          </c:val>
          <c:extLst>
            <c:ext xmlns:c16="http://schemas.microsoft.com/office/drawing/2014/chart" uri="{C3380CC4-5D6E-409C-BE32-E72D297353CC}">
              <c16:uniqueId val="{00000000-F1E1-4267-BE39-91A0953B5E0C}"/>
            </c:ext>
          </c:extLst>
        </c:ser>
        <c:ser>
          <c:idx val="1"/>
          <c:order val="1"/>
          <c:tx>
            <c:strRef>
              <c:f>StackedColmn!$C$3:$C$4</c:f>
              <c:strCache>
                <c:ptCount val="1"/>
                <c:pt idx="0">
                  <c:v>Reorder</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StackedColmn!$A$5:$A$11</c:f>
              <c:strCache>
                <c:ptCount val="6"/>
                <c:pt idx="0">
                  <c:v>Cleaning</c:v>
                </c:pt>
                <c:pt idx="1">
                  <c:v>Electronics</c:v>
                </c:pt>
                <c:pt idx="2">
                  <c:v>Furniture</c:v>
                </c:pt>
                <c:pt idx="3">
                  <c:v>Printer</c:v>
                </c:pt>
                <c:pt idx="4">
                  <c:v>Stationery</c:v>
                </c:pt>
                <c:pt idx="5">
                  <c:v>(blank)</c:v>
                </c:pt>
              </c:strCache>
            </c:strRef>
          </c:cat>
          <c:val>
            <c:numRef>
              <c:f>StackedColmn!$C$5:$C$11</c:f>
              <c:numCache>
                <c:formatCode>General</c:formatCode>
                <c:ptCount val="6"/>
                <c:pt idx="0">
                  <c:v>114</c:v>
                </c:pt>
                <c:pt idx="1">
                  <c:v>126</c:v>
                </c:pt>
                <c:pt idx="2">
                  <c:v>117</c:v>
                </c:pt>
                <c:pt idx="3">
                  <c:v>135</c:v>
                </c:pt>
                <c:pt idx="4">
                  <c:v>103</c:v>
                </c:pt>
              </c:numCache>
            </c:numRef>
          </c:val>
          <c:extLst>
            <c:ext xmlns:c16="http://schemas.microsoft.com/office/drawing/2014/chart" uri="{C3380CC4-5D6E-409C-BE32-E72D297353CC}">
              <c16:uniqueId val="{00000000-4FB9-4E61-90D5-F4F313883D3D}"/>
            </c:ext>
          </c:extLst>
        </c:ser>
        <c:ser>
          <c:idx val="2"/>
          <c:order val="2"/>
          <c:tx>
            <c:strRef>
              <c:f>StackedColmn!$D$3:$D$4</c:f>
              <c:strCache>
                <c:ptCount val="1"/>
                <c:pt idx="0">
                  <c:v>(blank)</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StackedColmn!$A$5:$A$11</c:f>
              <c:strCache>
                <c:ptCount val="6"/>
                <c:pt idx="0">
                  <c:v>Cleaning</c:v>
                </c:pt>
                <c:pt idx="1">
                  <c:v>Electronics</c:v>
                </c:pt>
                <c:pt idx="2">
                  <c:v>Furniture</c:v>
                </c:pt>
                <c:pt idx="3">
                  <c:v>Printer</c:v>
                </c:pt>
                <c:pt idx="4">
                  <c:v>Stationery</c:v>
                </c:pt>
                <c:pt idx="5">
                  <c:v>(blank)</c:v>
                </c:pt>
              </c:strCache>
            </c:strRef>
          </c:cat>
          <c:val>
            <c:numRef>
              <c:f>StackedColmn!$D$5:$D$11</c:f>
              <c:numCache>
                <c:formatCode>General</c:formatCode>
                <c:ptCount val="6"/>
              </c:numCache>
            </c:numRef>
          </c:val>
          <c:extLst>
            <c:ext xmlns:c16="http://schemas.microsoft.com/office/drawing/2014/chart" uri="{C3380CC4-5D6E-409C-BE32-E72D297353CC}">
              <c16:uniqueId val="{00000001-4FB9-4E61-90D5-F4F313883D3D}"/>
            </c:ext>
          </c:extLst>
        </c:ser>
        <c:dLbls>
          <c:dLblPos val="outEnd"/>
          <c:showLegendKey val="0"/>
          <c:showVal val="1"/>
          <c:showCatName val="0"/>
          <c:showSerName val="0"/>
          <c:showPercent val="0"/>
          <c:showBubbleSize val="0"/>
        </c:dLbls>
        <c:gapWidth val="219"/>
        <c:overlap val="-27"/>
        <c:axId val="1264111840"/>
        <c:axId val="1264120480"/>
      </c:barChart>
      <c:catAx>
        <c:axId val="12641118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4120480"/>
        <c:crosses val="autoZero"/>
        <c:auto val="1"/>
        <c:lblAlgn val="ctr"/>
        <c:lblOffset val="100"/>
        <c:noMultiLvlLbl val="0"/>
      </c:catAx>
      <c:valAx>
        <c:axId val="1264120480"/>
        <c:scaling>
          <c:orientation val="minMax"/>
        </c:scaling>
        <c:delete val="1"/>
        <c:axPos val="l"/>
        <c:numFmt formatCode="General" sourceLinked="1"/>
        <c:majorTickMark val="out"/>
        <c:minorTickMark val="none"/>
        <c:tickLblPos val="nextTo"/>
        <c:crossAx val="12641118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Inventory Status Breakdown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207-41C3-9FB2-12B6EDCFADA0}"/>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207-41C3-9FB2-12B6EDCFADA0}"/>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Calculations!$A$3:$A$4</c:f>
              <c:strCache>
                <c:ptCount val="2"/>
                <c:pt idx="0">
                  <c:v>🚨 Reorder Items</c:v>
                </c:pt>
                <c:pt idx="1">
                  <c:v>✅ OK Items</c:v>
                </c:pt>
              </c:strCache>
            </c:strRef>
          </c:cat>
          <c:val>
            <c:numRef>
              <c:f>Calculations!$B$3:$B$4</c:f>
              <c:numCache>
                <c:formatCode>General</c:formatCode>
                <c:ptCount val="2"/>
                <c:pt idx="0">
                  <c:v>595</c:v>
                </c:pt>
                <c:pt idx="1">
                  <c:v>1405</c:v>
                </c:pt>
              </c:numCache>
            </c:numRef>
          </c:val>
          <c:extLst>
            <c:ext xmlns:c16="http://schemas.microsoft.com/office/drawing/2014/chart" uri="{C3380CC4-5D6E-409C-BE32-E72D297353CC}">
              <c16:uniqueId val="{00000000-FC6C-42BC-B39F-6164B8F9E9CE}"/>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[Master_Inventory_Dashboard.xlsm]BarChart!PivotTable1</c:name>
    <c:fmtId val="5"/>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Reorders by Supplier</a:t>
            </a:r>
          </a:p>
        </c:rich>
      </c:tx>
      <c:layout>
        <c:manualLayout>
          <c:xMode val="edge"/>
          <c:yMode val="edge"/>
          <c:x val="0.26507684154742983"/>
          <c:y val="5.8143773694954798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BarChart!$B$3</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BarChart!$A$4:$A$7</c:f>
              <c:strCache>
                <c:ptCount val="3"/>
                <c:pt idx="0">
                  <c:v>Coastal Logistics Partners</c:v>
                </c:pt>
                <c:pt idx="1">
                  <c:v>HarborTech Solutionss</c:v>
                </c:pt>
                <c:pt idx="2">
                  <c:v>Gulf Coast Traders</c:v>
                </c:pt>
              </c:strCache>
            </c:strRef>
          </c:cat>
          <c:val>
            <c:numRef>
              <c:f>BarChart!$B$4:$B$7</c:f>
              <c:numCache>
                <c:formatCode>General</c:formatCode>
                <c:ptCount val="3"/>
                <c:pt idx="0">
                  <c:v>212</c:v>
                </c:pt>
                <c:pt idx="1">
                  <c:v>162</c:v>
                </c:pt>
                <c:pt idx="2">
                  <c:v>221</c:v>
                </c:pt>
              </c:numCache>
            </c:numRef>
          </c:val>
          <c:extLst>
            <c:ext xmlns:c16="http://schemas.microsoft.com/office/drawing/2014/chart" uri="{C3380CC4-5D6E-409C-BE32-E72D297353CC}">
              <c16:uniqueId val="{00000000-6B08-4C10-B032-0F2C0A3F3A64}"/>
            </c:ext>
          </c:extLst>
        </c:ser>
        <c:dLbls>
          <c:dLblPos val="inEnd"/>
          <c:showLegendKey val="0"/>
          <c:showVal val="1"/>
          <c:showCatName val="0"/>
          <c:showSerName val="0"/>
          <c:showPercent val="0"/>
          <c:showBubbleSize val="0"/>
        </c:dLbls>
        <c:gapWidth val="65"/>
        <c:axId val="1542077872"/>
        <c:axId val="1542080272"/>
      </c:barChart>
      <c:catAx>
        <c:axId val="1542077872"/>
        <c:scaling>
          <c:orientation val="minMax"/>
        </c:scaling>
        <c:delete val="0"/>
        <c:axPos val="l"/>
        <c:numFmt formatCode="General" sourceLinked="1"/>
        <c:majorTickMark val="out"/>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542080272"/>
        <c:crosses val="autoZero"/>
        <c:auto val="1"/>
        <c:lblAlgn val="ctr"/>
        <c:lblOffset val="100"/>
        <c:noMultiLvlLbl val="0"/>
      </c:catAx>
      <c:valAx>
        <c:axId val="1542080272"/>
        <c:scaling>
          <c:orientation val="minMax"/>
        </c:scaling>
        <c:delete val="1"/>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out"/>
        <c:minorTickMark val="none"/>
        <c:tickLblPos val="nextTo"/>
        <c:crossAx val="1542077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[Master_Inventory_Dashboard.xlsm]PieChart!PivotTable3</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PieChart!$B$3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9BD-4B42-A4DD-DE65B2D739F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9BD-4B42-A4DD-DE65B2D739F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9BD-4B42-A4DD-DE65B2D739F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PieChart!$A$4:$A$7</c:f>
              <c:strCache>
                <c:ptCount val="3"/>
                <c:pt idx="0">
                  <c:v>OK</c:v>
                </c:pt>
                <c:pt idx="1">
                  <c:v>Reorder</c:v>
                </c:pt>
                <c:pt idx="2">
                  <c:v>(blank)</c:v>
                </c:pt>
              </c:strCache>
            </c:strRef>
          </c:cat>
          <c:val>
            <c:numRef>
              <c:f>PieChart!$B$4:$B$7</c:f>
              <c:numCache>
                <c:formatCode>General</c:formatCode>
                <c:ptCount val="3"/>
                <c:pt idx="0">
                  <c:v>1405</c:v>
                </c:pt>
                <c:pt idx="1">
                  <c:v>595</c:v>
                </c:pt>
              </c:numCache>
            </c:numRef>
          </c:val>
          <c:extLst>
            <c:ext xmlns:c16="http://schemas.microsoft.com/office/drawing/2014/chart" uri="{C3380CC4-5D6E-409C-BE32-E72D297353CC}">
              <c16:uniqueId val="{00000000-BDD9-4409-8D7B-5A48122579B4}"/>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800" b="1" i="0" u="none" strike="noStrike" kern="1200" baseline="0">
              <a:solidFill>
                <a:schemeClr val="bg2">
                  <a:lumMod val="50000"/>
                </a:schemeClr>
              </a:solidFill>
              <a:latin typeface="Arial Black" panose="020B0A040201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[Master_Inventory_Dashboard.xlsm]BarChart!PivotTable1</c:name>
    <c:fmtId val="15"/>
  </c:pivotSource>
  <c:chart>
    <c:title>
      <c:tx>
        <c:rich>
          <a:bodyPr rot="0" spcFirstLastPara="1" vertOverflow="ellipsis" vert="horz" wrap="square" anchor="ctr" anchorCtr="1"/>
          <a:lstStyle/>
          <a:p>
            <a:pPr>
              <a:defRPr sz="1050" b="0" i="0" u="none" strike="noStrike" kern="1200" spc="0" baseline="0">
                <a:solidFill>
                  <a:schemeClr val="tx1">
                    <a:lumMod val="65000"/>
                    <a:lumOff val="35000"/>
                  </a:schemeClr>
                </a:solidFill>
                <a:latin typeface="Arial Black" panose="020B0A04020102020204" pitchFamily="34" charset="0"/>
                <a:ea typeface="+mn-ea"/>
                <a:cs typeface="+mn-cs"/>
              </a:defRPr>
            </a:pPr>
            <a:r>
              <a:rPr lang="en-US" sz="1050">
                <a:latin typeface="Arial Black" panose="020B0A04020102020204" pitchFamily="34" charset="0"/>
              </a:rPr>
              <a:t>Reorders by Supplier</a:t>
            </a:r>
          </a:p>
        </c:rich>
      </c:tx>
      <c:layout>
        <c:manualLayout>
          <c:xMode val="edge"/>
          <c:yMode val="edge"/>
          <c:x val="0.21673840774454739"/>
          <c:y val="5.8143773694954798E-2"/>
        </c:manualLayout>
      </c:layout>
      <c:overlay val="0"/>
      <c:spPr>
        <a:noFill/>
        <a:ln>
          <a:noFill/>
        </a:ln>
        <a:effectLst/>
      </c:spPr>
      <c:txPr>
        <a:bodyPr rot="0" spcFirstLastPara="1" vertOverflow="ellipsis" vert="horz" wrap="square" anchor="ctr" anchorCtr="1"/>
        <a:lstStyle/>
        <a:p>
          <a:pPr>
            <a:defRPr sz="1050" b="0" i="0" u="none" strike="noStrike" kern="1200" spc="0" baseline="0">
              <a:solidFill>
                <a:schemeClr val="tx1">
                  <a:lumMod val="65000"/>
                  <a:lumOff val="35000"/>
                </a:schemeClr>
              </a:solidFill>
              <a:latin typeface="Arial Black" panose="020B0A04020102020204" pitchFamily="34" charset="0"/>
              <a:ea typeface="+mn-ea"/>
              <a:cs typeface="+mn-cs"/>
            </a:defRPr>
          </a:pPr>
          <a:endParaRPr lang="en-US"/>
        </a:p>
      </c:txPr>
    </c:title>
    <c:autoTitleDeleted val="0"/>
    <c:pivotFmts>
      <c:pivotFmt>
        <c:idx val="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rial Black" panose="020B0A04020102020204" pitchFamily="34" charset="0"/>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BarChart!$B$3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rial Black" panose="020B0A040201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BarChart!$A$4:$A$7</c:f>
              <c:strCache>
                <c:ptCount val="3"/>
                <c:pt idx="0">
                  <c:v>Coastal Logistics Partners</c:v>
                </c:pt>
                <c:pt idx="1">
                  <c:v>HarborTech Solutionss</c:v>
                </c:pt>
                <c:pt idx="2">
                  <c:v>Gulf Coast Traders</c:v>
                </c:pt>
              </c:strCache>
            </c:strRef>
          </c:cat>
          <c:val>
            <c:numRef>
              <c:f>BarChart!$B$4:$B$7</c:f>
              <c:numCache>
                <c:formatCode>General</c:formatCode>
                <c:ptCount val="3"/>
                <c:pt idx="0">
                  <c:v>212</c:v>
                </c:pt>
                <c:pt idx="1">
                  <c:v>162</c:v>
                </c:pt>
                <c:pt idx="2">
                  <c:v>221</c:v>
                </c:pt>
              </c:numCache>
            </c:numRef>
          </c:val>
          <c:extLst>
            <c:ext xmlns:c16="http://schemas.microsoft.com/office/drawing/2014/chart" uri="{C3380CC4-5D6E-409C-BE32-E72D297353CC}">
              <c16:uniqueId val="{00000000-1783-4F88-95D1-60787E3E3BBC}"/>
            </c:ext>
          </c:extLst>
        </c:ser>
        <c:dLbls>
          <c:dLblPos val="inEnd"/>
          <c:showLegendKey val="0"/>
          <c:showVal val="1"/>
          <c:showCatName val="0"/>
          <c:showSerName val="0"/>
          <c:showPercent val="0"/>
          <c:showBubbleSize val="0"/>
        </c:dLbls>
        <c:gapWidth val="182"/>
        <c:axId val="1542077872"/>
        <c:axId val="1542080272"/>
      </c:barChart>
      <c:catAx>
        <c:axId val="15420778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Black" panose="020B0A04020102020204" pitchFamily="34" charset="0"/>
                <a:ea typeface="+mn-ea"/>
                <a:cs typeface="+mn-cs"/>
              </a:defRPr>
            </a:pPr>
            <a:endParaRPr lang="en-US"/>
          </a:p>
        </c:txPr>
        <c:crossAx val="1542080272"/>
        <c:crosses val="autoZero"/>
        <c:auto val="1"/>
        <c:lblAlgn val="ctr"/>
        <c:lblOffset val="100"/>
        <c:noMultiLvlLbl val="0"/>
      </c:catAx>
      <c:valAx>
        <c:axId val="1542080272"/>
        <c:scaling>
          <c:orientation val="minMax"/>
        </c:scaling>
        <c:delete val="1"/>
        <c:axPos val="b"/>
        <c:numFmt formatCode="General" sourceLinked="1"/>
        <c:majorTickMark val="none"/>
        <c:minorTickMark val="none"/>
        <c:tickLblPos val="nextTo"/>
        <c:crossAx val="1542077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5875" cap="flat" cmpd="sng" algn="ctr">
      <a:solidFill>
        <a:srgbClr val="0070C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[Master_Inventory_Dashboard.xlsm]PieChart!PivotTable3</c:name>
    <c:fmtId val="8"/>
  </c:pivotSource>
  <c:chart>
    <c:autoTitleDeleted val="1"/>
    <c:pivotFmts>
      <c:pivotFmt>
        <c:idx val="0"/>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ysClr val="window" lastClr="FFFFFF"/>
          </a:solidFill>
          <a:ln w="19050">
            <a:solidFill>
              <a:schemeClr val="lt1"/>
            </a:solidFill>
          </a:ln>
          <a:effectLst/>
        </c:spPr>
      </c:pivotFmt>
    </c:pivotFmts>
    <c:plotArea>
      <c:layout/>
      <c:pieChart>
        <c:varyColors val="1"/>
        <c:ser>
          <c:idx val="0"/>
          <c:order val="0"/>
          <c:tx>
            <c:strRef>
              <c:f>PieChart!$B$3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AC-4DA9-A0BB-89890E7767B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AC-4DA9-A0BB-89890E7767B1}"/>
              </c:ext>
            </c:extLst>
          </c:dPt>
          <c:dPt>
            <c:idx val="2"/>
            <c:bubble3D val="0"/>
            <c:spPr>
              <a:solidFill>
                <a:sysClr val="window" lastClr="FFFFFF"/>
              </a:solidFill>
              <a:ln w="19050">
                <a:solidFill>
                  <a:schemeClr val="lt1"/>
                </a:solidFill>
              </a:ln>
              <a:effectLst/>
            </c:spPr>
            <c:extLst>
              <c:ext xmlns:c16="http://schemas.microsoft.com/office/drawing/2014/chart" uri="{C3380CC4-5D6E-409C-BE32-E72D297353CC}">
                <c16:uniqueId val="{00000005-9CAC-4DA9-A0BB-89890E7767B1}"/>
              </c:ext>
            </c:extLst>
          </c:dPt>
          <c:dLbls>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PieChart!$A$4:$A$7</c:f>
              <c:strCache>
                <c:ptCount val="3"/>
                <c:pt idx="0">
                  <c:v>OK</c:v>
                </c:pt>
                <c:pt idx="1">
                  <c:v>Reorder</c:v>
                </c:pt>
                <c:pt idx="2">
                  <c:v>(blank)</c:v>
                </c:pt>
              </c:strCache>
            </c:strRef>
          </c:cat>
          <c:val>
            <c:numRef>
              <c:f>PieChart!$B$4:$B$7</c:f>
              <c:numCache>
                <c:formatCode>General</c:formatCode>
                <c:ptCount val="3"/>
                <c:pt idx="0">
                  <c:v>1405</c:v>
                </c:pt>
                <c:pt idx="1">
                  <c:v>595</c:v>
                </c:pt>
              </c:numCache>
            </c:numRef>
          </c:val>
          <c:extLst>
            <c:ext xmlns:c16="http://schemas.microsoft.com/office/drawing/2014/chart" uri="{C3380CC4-5D6E-409C-BE32-E72D297353CC}">
              <c16:uniqueId val="{00000006-9CAC-4DA9-A0BB-89890E7767B1}"/>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egendEntry>
        <c:idx val="2"/>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Entry>
      <c:overlay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5875" cap="flat" cmpd="sng" algn="ctr">
      <a:solidFill>
        <a:srgbClr val="0070C0"/>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[Master_Inventory_Dashboard.xlsm]StackedColmn!PivotTable1</c:name>
    <c:fmtId val="4"/>
  </c:pivotSource>
  <c:chart>
    <c:title>
      <c:tx>
        <c:rich>
          <a:bodyPr rot="0" spcFirstLastPara="1" vertOverflow="ellipsis" vert="horz" wrap="square" anchor="ctr" anchorCtr="1"/>
          <a:lstStyle/>
          <a:p>
            <a:pPr>
              <a:defRPr lang="en-US" sz="1200" b="0" i="0" u="none" strike="noStrike" kern="1200" spc="0" baseline="0">
                <a:solidFill>
                  <a:schemeClr val="tx1">
                    <a:lumMod val="50000"/>
                    <a:lumOff val="50000"/>
                  </a:schemeClr>
                </a:solidFill>
                <a:latin typeface="Arial Black" panose="020B0A04020102020204" pitchFamily="34" charset="0"/>
                <a:ea typeface="+mn-ea"/>
                <a:cs typeface="+mn-cs"/>
              </a:defRPr>
            </a:pPr>
            <a:r>
              <a:rPr lang="en-US">
                <a:solidFill>
                  <a:schemeClr val="tx1">
                    <a:lumMod val="50000"/>
                    <a:lumOff val="50000"/>
                  </a:schemeClr>
                </a:solidFill>
                <a:latin typeface="Arial Black" panose="020B0A04020102020204" pitchFamily="34" charset="0"/>
              </a:rPr>
              <a:t> Status by Category</a:t>
            </a:r>
          </a:p>
        </c:rich>
      </c:tx>
      <c:overlay val="0"/>
      <c:spPr>
        <a:noFill/>
        <a:ln>
          <a:noFill/>
        </a:ln>
        <a:effectLst/>
      </c:spPr>
      <c:txPr>
        <a:bodyPr rot="0" spcFirstLastPara="1" vertOverflow="ellipsis" vert="horz" wrap="square" anchor="ctr" anchorCtr="1"/>
        <a:lstStyle/>
        <a:p>
          <a:pPr>
            <a:defRPr lang="en-US" sz="1200" b="0" i="0" u="none" strike="noStrike" kern="1200" spc="0" baseline="0">
              <a:solidFill>
                <a:schemeClr val="tx1">
                  <a:lumMod val="50000"/>
                  <a:lumOff val="50000"/>
                </a:schemeClr>
              </a:solidFill>
              <a:latin typeface="Arial Black" panose="020B0A04020102020204" pitchFamily="34"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0000"/>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StackedColmn!$B$3:$B$4</c:f>
              <c:strCache>
                <c:ptCount val="1"/>
                <c:pt idx="0">
                  <c:v>OK</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StackedColmn!$A$5:$A$11</c:f>
              <c:strCache>
                <c:ptCount val="6"/>
                <c:pt idx="0">
                  <c:v>Cleaning</c:v>
                </c:pt>
                <c:pt idx="1">
                  <c:v>Electronics</c:v>
                </c:pt>
                <c:pt idx="2">
                  <c:v>Furniture</c:v>
                </c:pt>
                <c:pt idx="3">
                  <c:v>Printer</c:v>
                </c:pt>
                <c:pt idx="4">
                  <c:v>Stationery</c:v>
                </c:pt>
                <c:pt idx="5">
                  <c:v>(blank)</c:v>
                </c:pt>
              </c:strCache>
            </c:strRef>
          </c:cat>
          <c:val>
            <c:numRef>
              <c:f>StackedColmn!$B$5:$B$11</c:f>
              <c:numCache>
                <c:formatCode>General</c:formatCode>
                <c:ptCount val="6"/>
                <c:pt idx="0">
                  <c:v>299</c:v>
                </c:pt>
                <c:pt idx="1">
                  <c:v>268</c:v>
                </c:pt>
                <c:pt idx="2">
                  <c:v>281</c:v>
                </c:pt>
                <c:pt idx="3">
                  <c:v>284</c:v>
                </c:pt>
                <c:pt idx="4">
                  <c:v>273</c:v>
                </c:pt>
              </c:numCache>
            </c:numRef>
          </c:val>
          <c:extLst>
            <c:ext xmlns:c16="http://schemas.microsoft.com/office/drawing/2014/chart" uri="{C3380CC4-5D6E-409C-BE32-E72D297353CC}">
              <c16:uniqueId val="{00000000-FFB6-4743-BA54-DE6FFA09C83D}"/>
            </c:ext>
          </c:extLst>
        </c:ser>
        <c:ser>
          <c:idx val="1"/>
          <c:order val="1"/>
          <c:tx>
            <c:strRef>
              <c:f>StackedColmn!$C$3:$C$4</c:f>
              <c:strCache>
                <c:ptCount val="1"/>
                <c:pt idx="0">
                  <c:v>Reorder</c:v>
                </c:pt>
              </c:strCache>
            </c:strRef>
          </c:tx>
          <c:spPr>
            <a:solidFill>
              <a:srgbClr val="FF0000"/>
            </a:solidFill>
            <a:ln>
              <a:noFill/>
            </a:ln>
            <a:effectLst/>
          </c:spPr>
          <c:invertIfNegative val="0"/>
          <c:dLbls>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StackedColmn!$A$5:$A$11</c:f>
              <c:strCache>
                <c:ptCount val="6"/>
                <c:pt idx="0">
                  <c:v>Cleaning</c:v>
                </c:pt>
                <c:pt idx="1">
                  <c:v>Electronics</c:v>
                </c:pt>
                <c:pt idx="2">
                  <c:v>Furniture</c:v>
                </c:pt>
                <c:pt idx="3">
                  <c:v>Printer</c:v>
                </c:pt>
                <c:pt idx="4">
                  <c:v>Stationery</c:v>
                </c:pt>
                <c:pt idx="5">
                  <c:v>(blank)</c:v>
                </c:pt>
              </c:strCache>
            </c:strRef>
          </c:cat>
          <c:val>
            <c:numRef>
              <c:f>StackedColmn!$C$5:$C$11</c:f>
              <c:numCache>
                <c:formatCode>General</c:formatCode>
                <c:ptCount val="6"/>
                <c:pt idx="0">
                  <c:v>114</c:v>
                </c:pt>
                <c:pt idx="1">
                  <c:v>126</c:v>
                </c:pt>
                <c:pt idx="2">
                  <c:v>117</c:v>
                </c:pt>
                <c:pt idx="3">
                  <c:v>135</c:v>
                </c:pt>
                <c:pt idx="4">
                  <c:v>103</c:v>
                </c:pt>
              </c:numCache>
            </c:numRef>
          </c:val>
          <c:extLst>
            <c:ext xmlns:c16="http://schemas.microsoft.com/office/drawing/2014/chart" uri="{C3380CC4-5D6E-409C-BE32-E72D297353CC}">
              <c16:uniqueId val="{00000001-7C82-49EE-9511-FC8A3F93DB90}"/>
            </c:ext>
          </c:extLst>
        </c:ser>
        <c:ser>
          <c:idx val="2"/>
          <c:order val="2"/>
          <c:tx>
            <c:strRef>
              <c:f>StackedColmn!$D$3:$D$4</c:f>
              <c:strCache>
                <c:ptCount val="1"/>
                <c:pt idx="0">
                  <c:v>(blank)</c:v>
                </c:pt>
              </c:strCache>
            </c:strRef>
          </c:tx>
          <c:spPr>
            <a:solidFill>
              <a:schemeClr val="accent3"/>
            </a:solidFill>
            <a:ln>
              <a:noFill/>
            </a:ln>
            <a:effectLst/>
          </c:spPr>
          <c:invertIfNegative val="0"/>
          <c:dLbls>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StackedColmn!$A$5:$A$11</c:f>
              <c:strCache>
                <c:ptCount val="6"/>
                <c:pt idx="0">
                  <c:v>Cleaning</c:v>
                </c:pt>
                <c:pt idx="1">
                  <c:v>Electronics</c:v>
                </c:pt>
                <c:pt idx="2">
                  <c:v>Furniture</c:v>
                </c:pt>
                <c:pt idx="3">
                  <c:v>Printer</c:v>
                </c:pt>
                <c:pt idx="4">
                  <c:v>Stationery</c:v>
                </c:pt>
                <c:pt idx="5">
                  <c:v>(blank)</c:v>
                </c:pt>
              </c:strCache>
            </c:strRef>
          </c:cat>
          <c:val>
            <c:numRef>
              <c:f>StackedColmn!$D$5:$D$11</c:f>
              <c:numCache>
                <c:formatCode>General</c:formatCode>
                <c:ptCount val="6"/>
              </c:numCache>
            </c:numRef>
          </c:val>
          <c:extLst>
            <c:ext xmlns:c16="http://schemas.microsoft.com/office/drawing/2014/chart" uri="{C3380CC4-5D6E-409C-BE32-E72D297353CC}">
              <c16:uniqueId val="{00000002-7C82-49EE-9511-FC8A3F93DB90}"/>
            </c:ext>
          </c:extLst>
        </c:ser>
        <c:dLbls>
          <c:dLblPos val="outEnd"/>
          <c:showLegendKey val="0"/>
          <c:showVal val="1"/>
          <c:showCatName val="0"/>
          <c:showSerName val="0"/>
          <c:showPercent val="0"/>
          <c:showBubbleSize val="0"/>
        </c:dLbls>
        <c:gapWidth val="219"/>
        <c:overlap val="-27"/>
        <c:axId val="1264111840"/>
        <c:axId val="1264120480"/>
      </c:barChart>
      <c:catAx>
        <c:axId val="12641118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264120480"/>
        <c:crosses val="autoZero"/>
        <c:auto val="1"/>
        <c:lblAlgn val="ctr"/>
        <c:lblOffset val="100"/>
        <c:noMultiLvlLbl val="0"/>
      </c:catAx>
      <c:valAx>
        <c:axId val="1264120480"/>
        <c:scaling>
          <c:orientation val="minMax"/>
        </c:scaling>
        <c:delete val="1"/>
        <c:axPos val="l"/>
        <c:numFmt formatCode="General" sourceLinked="1"/>
        <c:majorTickMark val="out"/>
        <c:minorTickMark val="none"/>
        <c:tickLblPos val="nextTo"/>
        <c:crossAx val="12641118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5875" cap="flat" cmpd="sng" algn="ctr">
      <a:solidFill>
        <a:srgbClr val="0070C0"/>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2</xdr:row>
      <xdr:rowOff>76200</xdr:rowOff>
    </xdr:from>
    <xdr:to>
      <xdr:col>12</xdr:col>
      <xdr:colOff>333375</xdr:colOff>
      <xdr:row>16</xdr:row>
      <xdr:rowOff>152400</xdr:rowOff>
    </xdr:to>
    <xdr:graphicFrame macro="">
      <xdr:nvGraphicFramePr>
        <xdr:cNvPr id="2" name="Chart 1">
          <a:extLst>
            <a:ext uri="{FF2B5EF4-FFF2-40B4-BE49-F238E27FC236}">
              <a16:creationId xmlns:a16="http://schemas.microsoft.com/office/drawing/2014/main" id="{96DB7DA4-68AB-A3E0-510E-1E8616DCC8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323849</xdr:colOff>
      <xdr:row>0</xdr:row>
      <xdr:rowOff>133350</xdr:rowOff>
    </xdr:from>
    <xdr:to>
      <xdr:col>10</xdr:col>
      <xdr:colOff>333374</xdr:colOff>
      <xdr:row>17</xdr:row>
      <xdr:rowOff>95250</xdr:rowOff>
    </xdr:to>
    <xdr:graphicFrame macro="">
      <xdr:nvGraphicFramePr>
        <xdr:cNvPr id="3" name="Chart 2">
          <a:extLst>
            <a:ext uri="{FF2B5EF4-FFF2-40B4-BE49-F238E27FC236}">
              <a16:creationId xmlns:a16="http://schemas.microsoft.com/office/drawing/2014/main" id="{37EA2F89-070E-B40F-BA8D-E406A92C5F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180974</xdr:colOff>
      <xdr:row>0</xdr:row>
      <xdr:rowOff>95249</xdr:rowOff>
    </xdr:from>
    <xdr:to>
      <xdr:col>12</xdr:col>
      <xdr:colOff>76199</xdr:colOff>
      <xdr:row>18</xdr:row>
      <xdr:rowOff>161924</xdr:rowOff>
    </xdr:to>
    <xdr:graphicFrame macro="">
      <xdr:nvGraphicFramePr>
        <xdr:cNvPr id="2" name="Chart 1">
          <a:extLst>
            <a:ext uri="{FF2B5EF4-FFF2-40B4-BE49-F238E27FC236}">
              <a16:creationId xmlns:a16="http://schemas.microsoft.com/office/drawing/2014/main" id="{3151971C-D6B5-AB45-171E-4E17DE4A4C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504825</xdr:colOff>
      <xdr:row>1</xdr:row>
      <xdr:rowOff>76200</xdr:rowOff>
    </xdr:from>
    <xdr:to>
      <xdr:col>16</xdr:col>
      <xdr:colOff>504825</xdr:colOff>
      <xdr:row>14</xdr:row>
      <xdr:rowOff>123825</xdr:rowOff>
    </xdr:to>
    <mc:AlternateContent xmlns:mc="http://schemas.openxmlformats.org/markup-compatibility/2006" xmlns:a14="http://schemas.microsoft.com/office/drawing/2010/main">
      <mc:Choice Requires="a14">
        <xdr:graphicFrame macro="">
          <xdr:nvGraphicFramePr>
            <xdr:cNvPr id="9" name="Item Name 2">
              <a:extLst>
                <a:ext uri="{FF2B5EF4-FFF2-40B4-BE49-F238E27FC236}">
                  <a16:creationId xmlns:a16="http://schemas.microsoft.com/office/drawing/2014/main" id="{BF1B3E48-DB83-D48D-42ED-1E1D6D1A4CEA}"/>
                </a:ext>
              </a:extLst>
            </xdr:cNvPr>
            <xdr:cNvGraphicFramePr/>
          </xdr:nvGraphicFramePr>
          <xdr:xfrm>
            <a:off x="0" y="0"/>
            <a:ext cx="0" cy="0"/>
          </xdr:xfrm>
          <a:graphic>
            <a:graphicData uri="http://schemas.microsoft.com/office/drawing/2010/slicer">
              <sle:slicer xmlns:sle="http://schemas.microsoft.com/office/drawing/2010/slicer" name="Item Name 2"/>
            </a:graphicData>
          </a:graphic>
        </xdr:graphicFrame>
      </mc:Choice>
      <mc:Fallback xmlns="">
        <xdr:sp macro="" textlink="">
          <xdr:nvSpPr>
            <xdr:cNvPr id="0" name=""/>
            <xdr:cNvSpPr>
              <a:spLocks noTextEdit="1"/>
            </xdr:cNvSpPr>
          </xdr:nvSpPr>
          <xdr:spPr>
            <a:xfrm>
              <a:off x="10058400" y="266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3</xdr:col>
      <xdr:colOff>95250</xdr:colOff>
      <xdr:row>2</xdr:row>
      <xdr:rowOff>76200</xdr:rowOff>
    </xdr:from>
    <xdr:to>
      <xdr:col>10</xdr:col>
      <xdr:colOff>400050</xdr:colOff>
      <xdr:row>16</xdr:row>
      <xdr:rowOff>152400</xdr:rowOff>
    </xdr:to>
    <xdr:graphicFrame macro="">
      <xdr:nvGraphicFramePr>
        <xdr:cNvPr id="2" name="Chart 1">
          <a:extLst>
            <a:ext uri="{FF2B5EF4-FFF2-40B4-BE49-F238E27FC236}">
              <a16:creationId xmlns:a16="http://schemas.microsoft.com/office/drawing/2014/main" id="{0252BD91-1DA8-ACAC-272C-DB94B2DC69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466725</xdr:colOff>
      <xdr:row>3</xdr:row>
      <xdr:rowOff>142875</xdr:rowOff>
    </xdr:from>
    <xdr:to>
      <xdr:col>15</xdr:col>
      <xdr:colOff>390525</xdr:colOff>
      <xdr:row>17</xdr:row>
      <xdr:rowOff>0</xdr:rowOff>
    </xdr:to>
    <mc:AlternateContent xmlns:mc="http://schemas.openxmlformats.org/markup-compatibility/2006" xmlns:a14="http://schemas.microsoft.com/office/drawing/2010/main">
      <mc:Choice Requires="a14">
        <xdr:graphicFrame macro="">
          <xdr:nvGraphicFramePr>
            <xdr:cNvPr id="3" name="Item Name">
              <a:extLst>
                <a:ext uri="{FF2B5EF4-FFF2-40B4-BE49-F238E27FC236}">
                  <a16:creationId xmlns:a16="http://schemas.microsoft.com/office/drawing/2014/main" id="{47BBB2E6-3B6B-59D2-E32D-99DADF0057E1}"/>
                </a:ext>
              </a:extLst>
            </xdr:cNvPr>
            <xdr:cNvGraphicFramePr/>
          </xdr:nvGraphicFramePr>
          <xdr:xfrm>
            <a:off x="0" y="0"/>
            <a:ext cx="0" cy="0"/>
          </xdr:xfrm>
          <a:graphic>
            <a:graphicData uri="http://schemas.microsoft.com/office/drawing/2010/slicer">
              <sle:slicer xmlns:sle="http://schemas.microsoft.com/office/drawing/2010/slicer" name="Item Name"/>
            </a:graphicData>
          </a:graphic>
        </xdr:graphicFrame>
      </mc:Choice>
      <mc:Fallback xmlns="">
        <xdr:sp macro="" textlink="">
          <xdr:nvSpPr>
            <xdr:cNvPr id="0" name=""/>
            <xdr:cNvSpPr>
              <a:spLocks noTextEdit="1"/>
            </xdr:cNvSpPr>
          </xdr:nvSpPr>
          <xdr:spPr>
            <a:xfrm>
              <a:off x="8715375" y="714375"/>
              <a:ext cx="17526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19050</xdr:colOff>
      <xdr:row>7</xdr:row>
      <xdr:rowOff>161925</xdr:rowOff>
    </xdr:from>
    <xdr:to>
      <xdr:col>19</xdr:col>
      <xdr:colOff>19050</xdr:colOff>
      <xdr:row>12</xdr:row>
      <xdr:rowOff>76200</xdr:rowOff>
    </xdr:to>
    <mc:AlternateContent xmlns:mc="http://schemas.openxmlformats.org/markup-compatibility/2006" xmlns:a14="http://schemas.microsoft.com/office/drawing/2010/main">
      <mc:Choice Requires="a14">
        <xdr:graphicFrame macro="">
          <xdr:nvGraphicFramePr>
            <xdr:cNvPr id="4" name="Status">
              <a:extLst>
                <a:ext uri="{FF2B5EF4-FFF2-40B4-BE49-F238E27FC236}">
                  <a16:creationId xmlns:a16="http://schemas.microsoft.com/office/drawing/2014/main" id="{8C8156FA-E93B-D9B1-2E5E-B6DB60F0ECAC}"/>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0706100" y="1495425"/>
              <a:ext cx="1828800" cy="8667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38100</xdr:colOff>
      <xdr:row>1</xdr:row>
      <xdr:rowOff>104775</xdr:rowOff>
    </xdr:from>
    <xdr:to>
      <xdr:col>19</xdr:col>
      <xdr:colOff>38100</xdr:colOff>
      <xdr:row>7</xdr:row>
      <xdr:rowOff>76200</xdr:rowOff>
    </xdr:to>
    <mc:AlternateContent xmlns:mc="http://schemas.openxmlformats.org/markup-compatibility/2006" xmlns:a14="http://schemas.microsoft.com/office/drawing/2010/main">
      <mc:Choice Requires="a14">
        <xdr:graphicFrame macro="">
          <xdr:nvGraphicFramePr>
            <xdr:cNvPr id="5" name="Supplier">
              <a:extLst>
                <a:ext uri="{FF2B5EF4-FFF2-40B4-BE49-F238E27FC236}">
                  <a16:creationId xmlns:a16="http://schemas.microsoft.com/office/drawing/2014/main" id="{4832C390-2362-A98F-9DD6-A2FDA5D2C548}"/>
                </a:ext>
              </a:extLst>
            </xdr:cNvPr>
            <xdr:cNvGraphicFramePr/>
          </xdr:nvGraphicFramePr>
          <xdr:xfrm>
            <a:off x="0" y="0"/>
            <a:ext cx="0" cy="0"/>
          </xdr:xfrm>
          <a:graphic>
            <a:graphicData uri="http://schemas.microsoft.com/office/drawing/2010/slicer">
              <sle:slicer xmlns:sle="http://schemas.microsoft.com/office/drawing/2010/slicer" name="Supplier"/>
            </a:graphicData>
          </a:graphic>
        </xdr:graphicFrame>
      </mc:Choice>
      <mc:Fallback xmlns="">
        <xdr:sp macro="" textlink="">
          <xdr:nvSpPr>
            <xdr:cNvPr id="0" name=""/>
            <xdr:cNvSpPr>
              <a:spLocks noTextEdit="1"/>
            </xdr:cNvSpPr>
          </xdr:nvSpPr>
          <xdr:spPr>
            <a:xfrm>
              <a:off x="10725150" y="29527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c:userShapes xmlns:c="http://schemas.openxmlformats.org/drawingml/2006/chart">
  <cdr:relSizeAnchor xmlns:cdr="http://schemas.openxmlformats.org/drawingml/2006/chartDrawing">
    <cdr:from>
      <cdr:x>0.15625</cdr:x>
      <cdr:y>0.01736</cdr:y>
    </cdr:from>
    <cdr:to>
      <cdr:x>0.81231</cdr:x>
      <cdr:y>0.1796</cdr:y>
    </cdr:to>
    <cdr:pic>
      <cdr:nvPicPr>
        <cdr:cNvPr id="3" name="chart">
          <a:extLst xmlns:a="http://schemas.openxmlformats.org/drawingml/2006/main">
            <a:ext uri="{FF2B5EF4-FFF2-40B4-BE49-F238E27FC236}">
              <a16:creationId xmlns:a16="http://schemas.microsoft.com/office/drawing/2014/main" id="{C22D4533-9CFF-6FB4-6A7B-7305293F2F57}"/>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714375" y="47625"/>
          <a:ext cx="2999492" cy="445047"/>
        </a:xfrm>
        <a:prstGeom xmlns:a="http://schemas.openxmlformats.org/drawingml/2006/main" prst="rect">
          <a:avLst/>
        </a:prstGeom>
      </cdr:spPr>
    </cdr:pic>
  </cdr:relSizeAnchor>
</c:userShapes>
</file>

<file path=xl/drawings/drawing6.xml><?xml version="1.0" encoding="utf-8"?>
<xdr:wsDr xmlns:xdr="http://schemas.openxmlformats.org/drawingml/2006/spreadsheetDrawing" xmlns:a="http://schemas.openxmlformats.org/drawingml/2006/main">
  <xdr:twoCellAnchor>
    <xdr:from>
      <xdr:col>0</xdr:col>
      <xdr:colOff>104777</xdr:colOff>
      <xdr:row>1</xdr:row>
      <xdr:rowOff>123827</xdr:rowOff>
    </xdr:from>
    <xdr:to>
      <xdr:col>5</xdr:col>
      <xdr:colOff>257177</xdr:colOff>
      <xdr:row>16</xdr:row>
      <xdr:rowOff>9527</xdr:rowOff>
    </xdr:to>
    <xdr:graphicFrame macro="">
      <xdr:nvGraphicFramePr>
        <xdr:cNvPr id="7" name="Chart 6">
          <a:extLst>
            <a:ext uri="{FF2B5EF4-FFF2-40B4-BE49-F238E27FC236}">
              <a16:creationId xmlns:a16="http://schemas.microsoft.com/office/drawing/2014/main" id="{D009DBFB-4C4D-43F0-88BC-E7D3D87982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352425</xdr:colOff>
      <xdr:row>1</xdr:row>
      <xdr:rowOff>114300</xdr:rowOff>
    </xdr:from>
    <xdr:to>
      <xdr:col>8</xdr:col>
      <xdr:colOff>461010</xdr:colOff>
      <xdr:row>16</xdr:row>
      <xdr:rowOff>0</xdr:rowOff>
    </xdr:to>
    <xdr:graphicFrame macro="">
      <xdr:nvGraphicFramePr>
        <xdr:cNvPr id="12" name="Chart 11">
          <a:extLst>
            <a:ext uri="{FF2B5EF4-FFF2-40B4-BE49-F238E27FC236}">
              <a16:creationId xmlns:a16="http://schemas.microsoft.com/office/drawing/2014/main" id="{11581DEB-73A8-437B-ACF9-D450FA5AD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514350</xdr:colOff>
      <xdr:row>13</xdr:row>
      <xdr:rowOff>142875</xdr:rowOff>
    </xdr:from>
    <xdr:to>
      <xdr:col>18</xdr:col>
      <xdr:colOff>514350</xdr:colOff>
      <xdr:row>19</xdr:row>
      <xdr:rowOff>19050</xdr:rowOff>
    </xdr:to>
    <mc:AlternateContent xmlns:mc="http://schemas.openxmlformats.org/markup-compatibility/2006" xmlns:a14="http://schemas.microsoft.com/office/drawing/2010/main">
      <mc:Choice Requires="a14">
        <xdr:graphicFrame macro="">
          <xdr:nvGraphicFramePr>
            <xdr:cNvPr id="14" name="Supplier 1">
              <a:extLst>
                <a:ext uri="{FF2B5EF4-FFF2-40B4-BE49-F238E27FC236}">
                  <a16:creationId xmlns:a16="http://schemas.microsoft.com/office/drawing/2014/main" id="{7412FA38-5BE1-4AF4-9B36-964BDADA0DA8}"/>
                </a:ext>
              </a:extLst>
            </xdr:cNvPr>
            <xdr:cNvGraphicFramePr/>
          </xdr:nvGraphicFramePr>
          <xdr:xfrm>
            <a:off x="0" y="0"/>
            <a:ext cx="0" cy="0"/>
          </xdr:xfrm>
          <a:graphic>
            <a:graphicData uri="http://schemas.microsoft.com/office/drawing/2010/slicer">
              <sle:slicer xmlns:sle="http://schemas.microsoft.com/office/drawing/2010/slicer" name="Supplier 1"/>
            </a:graphicData>
          </a:graphic>
        </xdr:graphicFrame>
      </mc:Choice>
      <mc:Fallback xmlns="">
        <xdr:sp macro="" textlink="">
          <xdr:nvSpPr>
            <xdr:cNvPr id="0" name=""/>
            <xdr:cNvSpPr>
              <a:spLocks noTextEdit="1"/>
            </xdr:cNvSpPr>
          </xdr:nvSpPr>
          <xdr:spPr>
            <a:xfrm>
              <a:off x="10829925" y="28289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38100</xdr:colOff>
      <xdr:row>1</xdr:row>
      <xdr:rowOff>76200</xdr:rowOff>
    </xdr:from>
    <xdr:to>
      <xdr:col>15</xdr:col>
      <xdr:colOff>476250</xdr:colOff>
      <xdr:row>5</xdr:row>
      <xdr:rowOff>180975</xdr:rowOff>
    </xdr:to>
    <mc:AlternateContent xmlns:mc="http://schemas.openxmlformats.org/markup-compatibility/2006" xmlns:a14="http://schemas.microsoft.com/office/drawing/2010/main">
      <mc:Choice Requires="a14">
        <xdr:graphicFrame macro="">
          <xdr:nvGraphicFramePr>
            <xdr:cNvPr id="15" name="Status 1">
              <a:extLst>
                <a:ext uri="{FF2B5EF4-FFF2-40B4-BE49-F238E27FC236}">
                  <a16:creationId xmlns:a16="http://schemas.microsoft.com/office/drawing/2014/main" id="{7796C585-82DF-41D2-9BF2-D674CEEF4C12}"/>
                </a:ext>
              </a:extLst>
            </xdr:cNvPr>
            <xdr:cNvGraphicFramePr/>
          </xdr:nvGraphicFramePr>
          <xdr:xfrm>
            <a:off x="0" y="0"/>
            <a:ext cx="0" cy="0"/>
          </xdr:xfrm>
          <a:graphic>
            <a:graphicData uri="http://schemas.microsoft.com/office/drawing/2010/slicer">
              <sle:slicer xmlns:sle="http://schemas.microsoft.com/office/drawing/2010/slicer" name="Status 1"/>
            </a:graphicData>
          </a:graphic>
        </xdr:graphicFrame>
      </mc:Choice>
      <mc:Fallback xmlns="">
        <xdr:sp macro="" textlink="">
          <xdr:nvSpPr>
            <xdr:cNvPr id="0" name=""/>
            <xdr:cNvSpPr>
              <a:spLocks noTextEdit="1"/>
            </xdr:cNvSpPr>
          </xdr:nvSpPr>
          <xdr:spPr>
            <a:xfrm>
              <a:off x="9744075" y="419100"/>
              <a:ext cx="1047750" cy="8667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514350</xdr:colOff>
      <xdr:row>0</xdr:row>
      <xdr:rowOff>238125</xdr:rowOff>
    </xdr:from>
    <xdr:to>
      <xdr:col>18</xdr:col>
      <xdr:colOff>514350</xdr:colOff>
      <xdr:row>13</xdr:row>
      <xdr:rowOff>76200</xdr:rowOff>
    </xdr:to>
    <mc:AlternateContent xmlns:mc="http://schemas.openxmlformats.org/markup-compatibility/2006" xmlns:a14="http://schemas.microsoft.com/office/drawing/2010/main">
      <mc:Choice Requires="a14">
        <xdr:graphicFrame macro="">
          <xdr:nvGraphicFramePr>
            <xdr:cNvPr id="16" name="Item Name 3">
              <a:extLst>
                <a:ext uri="{FF2B5EF4-FFF2-40B4-BE49-F238E27FC236}">
                  <a16:creationId xmlns:a16="http://schemas.microsoft.com/office/drawing/2014/main" id="{530B6BF5-F53C-41A3-BAC4-F45B41B7519D}"/>
                </a:ext>
              </a:extLst>
            </xdr:cNvPr>
            <xdr:cNvGraphicFramePr/>
          </xdr:nvGraphicFramePr>
          <xdr:xfrm>
            <a:off x="0" y="0"/>
            <a:ext cx="0" cy="0"/>
          </xdr:xfrm>
          <a:graphic>
            <a:graphicData uri="http://schemas.microsoft.com/office/drawing/2010/slicer">
              <sle:slicer xmlns:sle="http://schemas.microsoft.com/office/drawing/2010/slicer" name="Item Name 3"/>
            </a:graphicData>
          </a:graphic>
        </xdr:graphicFrame>
      </mc:Choice>
      <mc:Fallback xmlns="">
        <xdr:sp macro="" textlink="">
          <xdr:nvSpPr>
            <xdr:cNvPr id="0" name=""/>
            <xdr:cNvSpPr>
              <a:spLocks noTextEdit="1"/>
            </xdr:cNvSpPr>
          </xdr:nvSpPr>
          <xdr:spPr>
            <a:xfrm>
              <a:off x="10829925" y="2381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523875</xdr:colOff>
      <xdr:row>1</xdr:row>
      <xdr:rowOff>142875</xdr:rowOff>
    </xdr:from>
    <xdr:to>
      <xdr:col>13</xdr:col>
      <xdr:colOff>581025</xdr:colOff>
      <xdr:row>16</xdr:row>
      <xdr:rowOff>28575</xdr:rowOff>
    </xdr:to>
    <xdr:graphicFrame macro="">
      <xdr:nvGraphicFramePr>
        <xdr:cNvPr id="2" name="Chart 1">
          <a:extLst>
            <a:ext uri="{FF2B5EF4-FFF2-40B4-BE49-F238E27FC236}">
              <a16:creationId xmlns:a16="http://schemas.microsoft.com/office/drawing/2014/main" id="{36F553E2-3FA4-44D3-A266-FFC8836E55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1</xdr:col>
          <xdr:colOff>57150</xdr:colOff>
          <xdr:row>17</xdr:row>
          <xdr:rowOff>57150</xdr:rowOff>
        </xdr:from>
        <xdr:to>
          <xdr:col>3</xdr:col>
          <xdr:colOff>161925</xdr:colOff>
          <xdr:row>18</xdr:row>
          <xdr:rowOff>114300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100" b="0" i="0" u="none" strike="noStrike" baseline="0">
                  <a:solidFill>
                    <a:srgbClr val="000000"/>
                  </a:solidFill>
                  <a:latin typeface="Arial Black"/>
                </a:rPr>
                <a:t>🟢 MergeFiles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219075</xdr:colOff>
          <xdr:row>17</xdr:row>
          <xdr:rowOff>47625</xdr:rowOff>
        </xdr:from>
        <xdr:to>
          <xdr:col>5</xdr:col>
          <xdr:colOff>323850</xdr:colOff>
          <xdr:row>18</xdr:row>
          <xdr:rowOff>114300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Black"/>
                </a:rPr>
                <a:t>🧾 Generate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17</xdr:row>
          <xdr:rowOff>85725</xdr:rowOff>
        </xdr:from>
        <xdr:to>
          <xdr:col>5</xdr:col>
          <xdr:colOff>1733550</xdr:colOff>
          <xdr:row>18</xdr:row>
          <xdr:rowOff>133350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6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Black"/>
                </a:rPr>
                <a:t>📧 Send Email</a:t>
              </a:r>
            </a:p>
          </xdr:txBody>
        </xdr:sp>
        <xdr:clientData fPrintsWithSheet="0"/>
      </xdr:twoCellAnchor>
    </mc:Choice>
    <mc:Fallback/>
  </mc:AlternateContent>
</xdr:wsDr>
</file>

<file path=xl/drawings/drawing7.xml><?xml version="1.0" encoding="utf-8"?>
<c:userShapes xmlns:c="http://schemas.openxmlformats.org/drawingml/2006/chart">
  <cdr:relSizeAnchor xmlns:cdr="http://schemas.openxmlformats.org/drawingml/2006/chartDrawing">
    <cdr:from>
      <cdr:x>0.14314</cdr:x>
      <cdr:y>0</cdr:y>
    </cdr:from>
    <cdr:to>
      <cdr:x>0.7992</cdr:x>
      <cdr:y>0.16224</cdr:y>
    </cdr:to>
    <cdr:pic>
      <cdr:nvPicPr>
        <cdr:cNvPr id="3" name="chart">
          <a:extLst xmlns:a="http://schemas.openxmlformats.org/drawingml/2006/main">
            <a:ext uri="{FF2B5EF4-FFF2-40B4-BE49-F238E27FC236}">
              <a16:creationId xmlns:a16="http://schemas.microsoft.com/office/drawing/2014/main" id="{C22D4533-9CFF-6FB4-6A7B-7305293F2F57}"/>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415826" y="0"/>
          <a:ext cx="1905937" cy="445057"/>
        </a:xfrm>
        <a:prstGeom xmlns:a="http://schemas.openxmlformats.org/drawingml/2006/main" prst="rect">
          <a:avLst/>
        </a:prstGeom>
      </cdr:spPr>
    </cdr:pic>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5801.753864236111" createdVersion="8" refreshedVersion="8" minRefreshableVersion="3" recordCount="595" xr:uid="{2D953C27-C8E2-457E-9400-8DC8453A3213}">
  <cacheSource type="worksheet">
    <worksheetSource ref="A1:K596" sheet="ReorderOnly"/>
  </cacheSource>
  <cacheFields count="11">
    <cacheField name="Item Name" numFmtId="0">
      <sharedItems count="138">
        <s v="Eco Chair"/>
        <s v="Heavy Notebook"/>
        <s v="Ultra Monitor"/>
        <s v="Ultra Keyboard"/>
        <s v="Heavy Cabinet"/>
        <s v="Classic Pen"/>
        <s v="Ultra Mouse"/>
        <s v="Heavy Cleaner"/>
        <s v="Modern Monitor"/>
        <s v="Classic Keyboard"/>
        <s v="Eco Keyboard"/>
        <s v="Eco Notebook"/>
        <s v="Modern Notebook"/>
        <s v="Eco Projector"/>
        <s v="Ultra Cabinet"/>
        <s v="Modern Cabinet"/>
        <s v="Classic Notebook"/>
        <s v="Ultra Projector"/>
        <s v="Classic Desk"/>
        <s v="Modern Keyboard"/>
        <s v="Modern Projector"/>
        <s v="Heavy Projector"/>
        <s v="Modern Desk"/>
        <s v="Classic Monitor"/>
        <s v="Classic Projector"/>
        <s v="Heavy Chair"/>
        <s v="Modern Cleaner"/>
        <s v="Ultra Chair"/>
        <s v="Heavy Pen"/>
        <s v="Ultra Desk"/>
        <s v="Eco Monitor"/>
        <s v="Heavy Mouse"/>
        <s v="Heavy Desk"/>
        <s v="Ultra Pen"/>
        <s v="Eco Cabinet"/>
        <s v="Ultra Cleaner"/>
        <s v="Classic Chair"/>
        <s v="Ultra Notebook"/>
        <s v="Eco Mouse"/>
        <s v="Classic Cabinet"/>
        <s v="Eco Cleaner"/>
        <s v="Classic Mouse"/>
        <s v="Modern Mouse"/>
        <s v="Eco Desk"/>
        <s v="Modern Chair"/>
        <s v="Modern Pen"/>
        <s v="Heavy Keyboard"/>
        <s v="Eco Pen"/>
        <s v="Classic Cleaner"/>
        <s v="Heavy Monitor"/>
        <s v="Smart Projector"/>
        <s v="Heavy-Duty Chair"/>
        <s v="Heavy-Duty Cleaner"/>
        <s v="Heavy-Duty Notebook"/>
        <s v="Durable Projector"/>
        <s v="Heavy-Duty Projector"/>
        <s v="Multi-purpose Keyboard"/>
        <s v="Smart Desk"/>
        <s v="Portable Pen"/>
        <s v="Portable Desk"/>
        <s v="Multi-purpose Cleaner"/>
        <s v="Multi-purpose Monitor"/>
        <s v="Standard Chair"/>
        <s v="Multi-purpose Pen"/>
        <s v="Industrial Cleaner"/>
        <s v="Heavy-Duty Desk"/>
        <s v="Industrial Projector"/>
        <s v="Smart Notebook"/>
        <s v="Industrial Cabinet"/>
        <s v="Industrial Notebook"/>
        <s v="Heavy-Duty Keyboard"/>
        <s v="Multi-purpose Cabinet"/>
        <s v="Portable Cabinet"/>
        <s v="Smart Cleaner"/>
        <s v="Premium Chair"/>
        <s v="Standard Projector"/>
        <s v="Standard Monitor"/>
        <s v="Durable Keyboard"/>
        <s v="Smart Keyboard"/>
        <s v="Heavy-Duty Cabinet"/>
        <s v="Multi-purpose Projector"/>
        <s v="Portable Cleaner"/>
        <s v="Industrial Pen"/>
        <s v="Industrial Chair"/>
        <s v="Portable Projector"/>
        <s v="Compact Monitor"/>
        <s v="Durable Notebook"/>
        <s v="Durable Pen"/>
        <s v="Smart Monitor"/>
        <s v="Premium Notebook"/>
        <s v="Heavy-Duty Mouse"/>
        <s v="Durable Chair"/>
        <s v="Industrial Mouse"/>
        <s v="Heavy-Duty Pen"/>
        <s v="Compact Cabinet"/>
        <s v="Portable Notebook"/>
        <s v="Smart Pen"/>
        <s v="Standard Desk"/>
        <s v="Durable Monitor"/>
        <s v="Industrial Keyboard"/>
        <s v="Premium Cleaner"/>
        <s v="Standard Cabinet"/>
        <s v="Compact Pen"/>
        <s v="Premium Pen"/>
        <s v="Standard Notebook"/>
        <s v="Durable Desk"/>
        <s v="Compact Mouse"/>
        <s v="Multi-purpose Notebook"/>
        <s v="Smart Cabinet"/>
        <s v="Premium Keyboard"/>
        <s v="Standard Mouse"/>
        <s v="Premium Desk"/>
        <s v="Heavy-Duty Monitor"/>
        <s v="Compact Projector"/>
        <s v="Durable Cleaner"/>
        <s v="Compact Chair"/>
        <s v="Premium Mouse"/>
        <s v="Compact Notebook"/>
        <s v="Premium Projector"/>
        <s v="Smart Mouse"/>
        <s v="Premium Cabinet"/>
        <s v="Premium Monitor"/>
        <s v="Multi-purpose Chair"/>
        <s v="Portable Monitor"/>
        <s v="Compact Cleaner"/>
        <s v="Smart Chair"/>
        <s v="Durable Cabinet"/>
        <s v="Industrial Desk"/>
        <s v="Durable Mouse"/>
        <s v="Multi-purpose Mouse"/>
        <s v="Compact Keyboard"/>
        <s v="Multi-purpose Desk"/>
        <s v="Portable Chair"/>
        <s v="Standard Keyboard"/>
        <s v="Standard Cleaner"/>
        <s v="Compact Desk"/>
        <s v="Portable Keyboard"/>
        <s v="Standard Pen"/>
      </sharedItems>
    </cacheField>
    <cacheField name="Category" numFmtId="0">
      <sharedItems count="5">
        <s v="Electronics"/>
        <s v="Furniture"/>
        <s v="Cleaning"/>
        <s v="Printer"/>
        <s v="Stationery"/>
      </sharedItems>
    </cacheField>
    <cacheField name="Stock Qty" numFmtId="0">
      <sharedItems containsSemiMixedTypes="0" containsString="0" containsNumber="1" containsInteger="1" minValue="0" maxValue="97"/>
    </cacheField>
    <cacheField name="Reorder Level" numFmtId="0">
      <sharedItems containsSemiMixedTypes="0" containsString="0" containsNumber="1" containsInteger="1" minValue="20" maxValue="99"/>
    </cacheField>
    <cacheField name="Status" numFmtId="0">
      <sharedItems count="1">
        <s v="Reorder"/>
      </sharedItems>
    </cacheField>
    <cacheField name="Supplier" numFmtId="0">
      <sharedItems count="6">
        <s v="Coastal Logistics Partners"/>
        <s v="HarborTech Solutionss"/>
        <s v="Gulf Coast Traders"/>
        <s v="Supplier C" u="1"/>
        <s v="Supplier B" u="1"/>
        <s v="Supplier A" u="1"/>
      </sharedItems>
    </cacheField>
    <cacheField name="Unit Price ($)" numFmtId="0">
      <sharedItems containsSemiMixedTypes="0" containsString="0" containsNumber="1" minValue="5.68" maxValue="499.55"/>
    </cacheField>
    <cacheField name="Location" numFmtId="0">
      <sharedItems/>
    </cacheField>
    <cacheField name="Last Order Date" numFmtId="164">
      <sharedItems containsSemiMixedTypes="0" containsNonDate="0" containsDate="1" containsString="0" minDate="2023-01-01T00:00:00" maxDate="2024-12-31T00:00:00"/>
    </cacheField>
    <cacheField name="Next Expected Delivery" numFmtId="164">
      <sharedItems containsSemiMixedTypes="0" containsNonDate="0" containsDate="1" containsString="0" minDate="2023-01-20T00:00:00" maxDate="2025-03-19T00:00:00"/>
    </cacheField>
    <cacheField name="Remarks" numFmtId="0">
      <sharedItems containsBlank="1"/>
    </cacheField>
  </cacheFields>
  <extLst>
    <ext xmlns:x14="http://schemas.microsoft.com/office/spreadsheetml/2009/9/main" uri="{725AE2AE-9491-48be-B2B4-4EB974FC3084}">
      <x14:pivotCacheDefinition pivotCacheId="593517470"/>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5802.458292476855" createdVersion="8" refreshedVersion="8" minRefreshableVersion="3" recordCount="2001" xr:uid="{F70949C0-BF34-4DA4-8CD3-B625E85A6400}">
  <cacheSource type="worksheet">
    <worksheetSource ref="A1:K1048576" sheet="MergedData"/>
  </cacheSource>
  <cacheFields count="14">
    <cacheField name="Item Name" numFmtId="0">
      <sharedItems containsBlank="1" count="141">
        <s v="Ultra Chair"/>
        <s v="Modern Cleaner"/>
        <s v="Eco Chair"/>
        <s v="Heavy Desk"/>
        <s v="Heavy Notebook"/>
        <s v="Classic Pen"/>
        <s v="Eco Projector"/>
        <s v="Modern Notebook"/>
        <s v="Heavy Cleaner"/>
        <s v="Ultra Monitor"/>
        <s v="Classic Cleaner"/>
        <s v="Ultra Keyboard"/>
        <s v="Classic Monitor"/>
        <s v="Ultra Projector"/>
        <s v="Heavy Projector"/>
        <s v="Classic Cabinet"/>
        <s v="Eco Cleaner"/>
        <s v="Classic Mouse"/>
        <s v="Heavy Cabinet"/>
        <s v="Eco Monitor"/>
        <s v="Eco Mouse"/>
        <s v="Ultra Mouse"/>
        <s v="Ultra Cleaner"/>
        <s v="Heavy Keyboard"/>
        <s v="Classic Chair"/>
        <s v="Ultra Desk"/>
        <s v="Modern Monitor"/>
        <s v="Ultra Notebook"/>
        <s v="Modern Cabinet"/>
        <s v="Classic Keyboard"/>
        <s v="Modern Keyboard"/>
        <s v="Eco Keyboard"/>
        <s v="Ultra Pen"/>
        <s v="Eco Notebook"/>
        <s v="Modern Pen"/>
        <s v="Modern Desk"/>
        <s v="Ultra Cabinet"/>
        <s v="Modern Projector"/>
        <s v="Heavy Pen"/>
        <s v="Classic Desk"/>
        <s v="Modern Mouse"/>
        <s v="Classic Notebook"/>
        <s v="Modern Chair"/>
        <s v="Eco Cabinet"/>
        <s v="Eco Pen"/>
        <s v="Classic Projector"/>
        <s v="Heavy Chair"/>
        <s v="Heavy Mouse"/>
        <s v="Heavy Monitor"/>
        <s v="Eco Desk"/>
        <s v="Premium Monitor"/>
        <s v="Industrial Cabinet"/>
        <s v="Durable Keyboard"/>
        <s v="Industrial Desk"/>
        <s v="Smart Projector"/>
        <s v="Heavy-Duty Pen"/>
        <s v="Portable Cabinet"/>
        <s v="Multi-purpose Projector"/>
        <s v="Industrial Monitor"/>
        <s v="Heavy-Duty Chair"/>
        <s v="Heavy-Duty Desk"/>
        <s v="Heavy-Duty Keyboard"/>
        <s v="Portable Keyboard"/>
        <s v="Smart Mouse"/>
        <s v="Heavy-Duty Cleaner"/>
        <s v="Heavy-Duty Notebook"/>
        <s v="Smart Chair"/>
        <s v="Durable Projector"/>
        <s v="Heavy-Duty Projector"/>
        <s v="Standard Cabinet"/>
        <s v="Multi-purpose Pen"/>
        <s v="Durable Chair"/>
        <s v="Standard Keyboard"/>
        <s v="Multi-purpose Keyboard"/>
        <s v="Smart Desk"/>
        <s v="Portable Pen"/>
        <s v="Smart Cleaner"/>
        <s v="Standard Desk"/>
        <s v="Portable Desk"/>
        <s v="Standard Projector"/>
        <s v="Multi-purpose Cleaner"/>
        <s v="Smart Monitor"/>
        <s v="Premium Desk"/>
        <s v="Portable Chair"/>
        <s v="Compact Pen"/>
        <s v="Multi-purpose Monitor"/>
        <s v="Standard Chair"/>
        <s v="Premium Mouse"/>
        <s v="Durable Monitor"/>
        <s v="Portable Mouse"/>
        <s v="Standard Cleaner"/>
        <s v="Premium Chair"/>
        <s v="Compact Chair"/>
        <s v="Smart Notebook"/>
        <s v="Industrial Cleaner"/>
        <s v="Premium Keyboard"/>
        <s v="Industrial Keyboard"/>
        <s v="Smart Cabinet"/>
        <s v="Multi-purpose Notebook"/>
        <s v="Heavy-Duty Monitor"/>
        <s v="Premium Projector"/>
        <s v="Heavy-Duty Mouse"/>
        <s v="Durable Desk"/>
        <s v="Industrial Projector"/>
        <s v="Standard Mouse"/>
        <s v="Industrial Notebook"/>
        <s v="Multi-purpose Cabinet"/>
        <s v="Heavy-Duty Cabinet"/>
        <s v="Compact Desk"/>
        <s v="Durable Pen"/>
        <s v="Compact Mouse"/>
        <s v="Smart Pen"/>
        <s v="Portable Cleaner"/>
        <s v="Premium Pen"/>
        <s v="Premium Cabinet"/>
        <s v="Portable Monitor"/>
        <s v="Standard Monitor"/>
        <s v="Durable Cleaner"/>
        <s v="Smart Keyboard"/>
        <s v="Portable Projector"/>
        <s v="Multi-purpose Chair"/>
        <s v="Premium Cleaner"/>
        <s v="Industrial Mouse"/>
        <s v="Industrial Pen"/>
        <s v="Industrial Chair"/>
        <s v="Standard Pen"/>
        <s v="Compact Monitor"/>
        <s v="Durable Notebook"/>
        <s v="Premium Notebook"/>
        <s v="Compact Cabinet"/>
        <s v="Standard Notebook"/>
        <s v="Portable Notebook"/>
        <s v="Compact Keyboard"/>
        <s v="Multi-purpose Mouse"/>
        <s v="Compact Cleaner"/>
        <s v="Durable Cabinet"/>
        <s v="Compact Projector"/>
        <s v="Compact Notebook"/>
        <s v="Multi-purpose Desk"/>
        <s v="Durable Mouse"/>
        <m/>
      </sharedItems>
    </cacheField>
    <cacheField name="Category" numFmtId="0">
      <sharedItems containsBlank="1" count="6">
        <s v="Furniture"/>
        <s v="Electronics"/>
        <s v="Cleaning"/>
        <s v="Printer"/>
        <s v="Stationery"/>
        <m/>
      </sharedItems>
    </cacheField>
    <cacheField name="Stock Qty" numFmtId="0">
      <sharedItems containsString="0" containsBlank="1" containsNumber="1" containsInteger="1" minValue="0" maxValue="199"/>
    </cacheField>
    <cacheField name="Reorder Level" numFmtId="0">
      <sharedItems containsString="0" containsBlank="1" containsNumber="1" containsInteger="1" minValue="20" maxValue="99"/>
    </cacheField>
    <cacheField name="Status" numFmtId="0">
      <sharedItems containsBlank="1" count="3">
        <s v="OK"/>
        <s v="Reorder"/>
        <m/>
      </sharedItems>
    </cacheField>
    <cacheField name="Supplier" numFmtId="0">
      <sharedItems containsBlank="1" count="4">
        <s v="Gulf Coast Traders"/>
        <s v="Coastal Logistics Partners"/>
        <s v="HarborTech Solutions"/>
        <m/>
      </sharedItems>
    </cacheField>
    <cacheField name="Unit Price ($)" numFmtId="0">
      <sharedItems containsString="0" containsBlank="1" containsNumber="1" minValue="5.32" maxValue="499.78"/>
    </cacheField>
    <cacheField name="Location" numFmtId="0">
      <sharedItems containsBlank="1"/>
    </cacheField>
    <cacheField name="Last Order Date" numFmtId="0">
      <sharedItems containsNonDate="0" containsDate="1" containsString="0" containsBlank="1" minDate="2023-01-01T00:00:00" maxDate="2024-12-31T00:00:00" count="683">
        <d v="2023-04-22T00:00:00"/>
        <d v="2023-02-27T00:00:00"/>
        <d v="2023-11-20T00:00:00"/>
        <d v="2023-07-09T00:00:00"/>
        <d v="2023-12-22T00:00:00"/>
        <d v="2023-06-08T00:00:00"/>
        <d v="2023-09-23T00:00:00"/>
        <d v="2023-03-12T00:00:00"/>
        <d v="2023-11-25T00:00:00"/>
        <d v="2023-11-22T00:00:00"/>
        <d v="2023-09-22T00:00:00"/>
        <d v="2023-08-05T00:00:00"/>
        <d v="2023-11-03T00:00:00"/>
        <d v="2023-07-22T00:00:00"/>
        <d v="2023-08-14T00:00:00"/>
        <d v="2023-01-24T00:00:00"/>
        <d v="2023-04-12T00:00:00"/>
        <d v="2023-06-04T00:00:00"/>
        <d v="2023-05-03T00:00:00"/>
        <d v="2023-07-11T00:00:00"/>
        <d v="2023-02-26T00:00:00"/>
        <d v="2023-12-29T00:00:00"/>
        <d v="2023-12-03T00:00:00"/>
        <d v="2023-05-16T00:00:00"/>
        <d v="2023-10-07T00:00:00"/>
        <d v="2023-01-26T00:00:00"/>
        <d v="2023-09-02T00:00:00"/>
        <d v="2023-10-21T00:00:00"/>
        <d v="2023-01-28T00:00:00"/>
        <d v="2023-03-08T00:00:00"/>
        <d v="2023-07-12T00:00:00"/>
        <d v="2023-08-19T00:00:00"/>
        <d v="2023-10-27T00:00:00"/>
        <d v="2023-06-20T00:00:00"/>
        <d v="2023-11-29T00:00:00"/>
        <d v="2023-02-24T00:00:00"/>
        <d v="2023-06-26T00:00:00"/>
        <d v="2023-12-13T00:00:00"/>
        <d v="2023-06-25T00:00:00"/>
        <d v="2023-01-21T00:00:00"/>
        <d v="2023-11-15T00:00:00"/>
        <d v="2023-01-01T00:00:00"/>
        <d v="2023-03-23T00:00:00"/>
        <d v="2023-05-28T00:00:00"/>
        <d v="2023-07-07T00:00:00"/>
        <d v="2023-08-30T00:00:00"/>
        <d v="2023-10-09T00:00:00"/>
        <d v="2023-12-06T00:00:00"/>
        <d v="2023-10-23T00:00:00"/>
        <d v="2023-09-03T00:00:00"/>
        <d v="2023-02-01T00:00:00"/>
        <d v="2023-03-27T00:00:00"/>
        <d v="2023-04-01T00:00:00"/>
        <d v="2023-10-06T00:00:00"/>
        <d v="2023-07-16T00:00:00"/>
        <d v="2023-02-08T00:00:00"/>
        <d v="2023-01-11T00:00:00"/>
        <d v="2023-07-18T00:00:00"/>
        <d v="2023-10-10T00:00:00"/>
        <d v="2023-11-24T00:00:00"/>
        <d v="2023-01-25T00:00:00"/>
        <d v="2023-08-31T00:00:00"/>
        <d v="2023-08-04T00:00:00"/>
        <d v="2023-03-28T00:00:00"/>
        <d v="2023-01-22T00:00:00"/>
        <d v="2023-10-31T00:00:00"/>
        <d v="2023-06-15T00:00:00"/>
        <d v="2023-03-25T00:00:00"/>
        <d v="2023-04-15T00:00:00"/>
        <d v="2023-03-02T00:00:00"/>
        <d v="2023-08-02T00:00:00"/>
        <d v="2023-02-10T00:00:00"/>
        <d v="2023-04-10T00:00:00"/>
        <d v="2023-04-20T00:00:00"/>
        <d v="2023-01-27T00:00:00"/>
        <d v="2023-10-30T00:00:00"/>
        <d v="2023-05-04T00:00:00"/>
        <d v="2023-03-21T00:00:00"/>
        <d v="2023-11-21T00:00:00"/>
        <d v="2023-10-04T00:00:00"/>
        <d v="2023-07-30T00:00:00"/>
        <d v="2023-09-12T00:00:00"/>
        <d v="2023-06-14T00:00:00"/>
        <d v="2023-03-18T00:00:00"/>
        <d v="2023-11-26T00:00:00"/>
        <d v="2023-07-24T00:00:00"/>
        <d v="2023-11-05T00:00:00"/>
        <d v="2023-05-27T00:00:00"/>
        <d v="2023-03-19T00:00:00"/>
        <d v="2023-07-19T00:00:00"/>
        <d v="2023-04-13T00:00:00"/>
        <d v="2023-09-24T00:00:00"/>
        <d v="2023-02-04T00:00:00"/>
        <d v="2023-03-05T00:00:00"/>
        <d v="2023-02-17T00:00:00"/>
        <d v="2023-09-28T00:00:00"/>
        <d v="2023-09-07T00:00:00"/>
        <d v="2023-08-16T00:00:00"/>
        <d v="2023-07-14T00:00:00"/>
        <d v="2023-11-02T00:00:00"/>
        <d v="2023-02-25T00:00:00"/>
        <d v="2023-09-06T00:00:00"/>
        <d v="2023-03-07T00:00:00"/>
        <d v="2023-04-24T00:00:00"/>
        <d v="2023-05-09T00:00:00"/>
        <d v="2023-02-06T00:00:00"/>
        <d v="2023-05-06T00:00:00"/>
        <d v="2023-10-05T00:00:00"/>
        <d v="2023-06-23T00:00:00"/>
        <d v="2023-02-22T00:00:00"/>
        <d v="2023-04-29T00:00:00"/>
        <d v="2023-05-15T00:00:00"/>
        <d v="2023-07-25T00:00:00"/>
        <d v="2023-09-25T00:00:00"/>
        <d v="2023-12-23T00:00:00"/>
        <d v="2023-10-12T00:00:00"/>
        <d v="2023-04-04T00:00:00"/>
        <d v="2023-09-21T00:00:00"/>
        <d v="2023-05-22T00:00:00"/>
        <d v="2023-04-06T00:00:00"/>
        <d v="2023-06-17T00:00:00"/>
        <d v="2023-08-17T00:00:00"/>
        <d v="2023-04-21T00:00:00"/>
        <d v="2023-08-22T00:00:00"/>
        <d v="2023-01-07T00:00:00"/>
        <d v="2023-07-04T00:00:00"/>
        <d v="2023-05-17T00:00:00"/>
        <d v="2023-05-23T00:00:00"/>
        <d v="2023-04-09T00:00:00"/>
        <d v="2023-06-30T00:00:00"/>
        <d v="2023-01-15T00:00:00"/>
        <d v="2023-08-29T00:00:00"/>
        <d v="2023-09-17T00:00:00"/>
        <d v="2023-02-14T00:00:00"/>
        <d v="2023-01-10T00:00:00"/>
        <d v="2023-07-05T00:00:00"/>
        <d v="2023-02-16T00:00:00"/>
        <d v="2023-10-28T00:00:00"/>
        <d v="2023-08-15T00:00:00"/>
        <d v="2023-01-20T00:00:00"/>
        <d v="2023-12-20T00:00:00"/>
        <d v="2023-09-15T00:00:00"/>
        <d v="2023-04-23T00:00:00"/>
        <d v="2023-09-13T00:00:00"/>
        <d v="2023-03-16T00:00:00"/>
        <d v="2023-07-23T00:00:00"/>
        <d v="2023-05-19T00:00:00"/>
        <d v="2023-01-08T00:00:00"/>
        <d v="2023-07-02T00:00:00"/>
        <d v="2023-09-19T00:00:00"/>
        <d v="2023-12-15T00:00:00"/>
        <d v="2023-08-28T00:00:00"/>
        <d v="2023-12-25T00:00:00"/>
        <d v="2023-09-01T00:00:00"/>
        <d v="2023-03-17T00:00:00"/>
        <d v="2023-07-28T00:00:00"/>
        <d v="2023-10-15T00:00:00"/>
        <d v="2023-05-24T00:00:00"/>
        <d v="2023-12-16T00:00:00"/>
        <d v="2023-01-04T00:00:00"/>
        <d v="2023-10-29T00:00:00"/>
        <d v="2023-12-10T00:00:00"/>
        <d v="2023-04-18T00:00:00"/>
        <d v="2023-11-11T00:00:00"/>
        <d v="2023-04-16T00:00:00"/>
        <d v="2023-06-29T00:00:00"/>
        <d v="2023-02-03T00:00:00"/>
        <d v="2023-03-01T00:00:00"/>
        <d v="2023-09-04T00:00:00"/>
        <d v="2023-08-23T00:00:00"/>
        <d v="2023-11-12T00:00:00"/>
        <d v="2023-04-14T00:00:00"/>
        <d v="2023-12-19T00:00:00"/>
        <d v="2023-05-13T00:00:00"/>
        <d v="2023-11-28T00:00:00"/>
        <d v="2023-12-14T00:00:00"/>
        <d v="2023-05-12T00:00:00"/>
        <d v="2023-02-23T00:00:00"/>
        <d v="2023-06-13T00:00:00"/>
        <d v="2023-01-03T00:00:00"/>
        <d v="2023-10-03T00:00:00"/>
        <d v="2023-08-06T00:00:00"/>
        <d v="2023-12-11T00:00:00"/>
        <d v="2023-01-09T00:00:00"/>
        <d v="2023-06-05T00:00:00"/>
        <d v="2023-02-12T00:00:00"/>
        <d v="2023-06-16T00:00:00"/>
        <d v="2023-08-25T00:00:00"/>
        <d v="2023-10-08T00:00:00"/>
        <d v="2023-09-09T00:00:00"/>
        <d v="2023-08-21T00:00:00"/>
        <d v="2023-06-12T00:00:00"/>
        <d v="2023-09-30T00:00:00"/>
        <d v="2023-03-14T00:00:00"/>
        <d v="2023-02-09T00:00:00"/>
        <d v="2023-05-18T00:00:00"/>
        <d v="2023-04-27T00:00:00"/>
        <d v="2023-04-11T00:00:00"/>
        <d v="2023-10-13T00:00:00"/>
        <d v="2023-07-06T00:00:00"/>
        <d v="2023-12-02T00:00:00"/>
        <d v="2023-02-05T00:00:00"/>
        <d v="2023-02-13T00:00:00"/>
        <d v="2023-04-30T00:00:00"/>
        <d v="2023-04-07T00:00:00"/>
        <d v="2023-12-08T00:00:00"/>
        <d v="2023-01-18T00:00:00"/>
        <d v="2023-11-30T00:00:00"/>
        <d v="2023-12-07T00:00:00"/>
        <d v="2023-06-24T00:00:00"/>
        <d v="2023-08-13T00:00:00"/>
        <d v="2023-07-15T00:00:00"/>
        <d v="2023-11-06T00:00:00"/>
        <d v="2023-12-09T00:00:00"/>
        <d v="2023-01-19T00:00:00"/>
        <d v="2023-04-17T00:00:00"/>
        <d v="2023-07-13T00:00:00"/>
        <d v="2023-02-07T00:00:00"/>
        <d v="2023-12-26T00:00:00"/>
        <d v="2023-11-13T00:00:00"/>
        <d v="2023-10-18T00:00:00"/>
        <d v="2023-07-17T00:00:00"/>
        <d v="2023-12-17T00:00:00"/>
        <d v="2023-12-28T00:00:00"/>
        <d v="2023-04-26T00:00:00"/>
        <d v="2023-03-15T00:00:00"/>
        <d v="2023-08-11T00:00:00"/>
        <d v="2023-07-03T00:00:00"/>
        <d v="2023-06-10T00:00:00"/>
        <d v="2023-03-22T00:00:00"/>
        <d v="2023-07-20T00:00:00"/>
        <d v="2023-05-11T00:00:00"/>
        <d v="2023-07-08T00:00:00"/>
        <d v="2023-11-07T00:00:00"/>
        <d v="2023-12-01T00:00:00"/>
        <d v="2023-09-18T00:00:00"/>
        <d v="2023-06-18T00:00:00"/>
        <d v="2023-06-03T00:00:00"/>
        <d v="2023-05-02T00:00:00"/>
        <d v="2023-03-04T00:00:00"/>
        <d v="2023-02-21T00:00:00"/>
        <d v="2023-08-10T00:00:00"/>
        <d v="2023-05-07T00:00:00"/>
        <d v="2023-08-01T00:00:00"/>
        <d v="2023-10-16T00:00:00"/>
        <d v="2023-02-02T00:00:00"/>
        <d v="2023-11-01T00:00:00"/>
        <d v="2023-05-01T00:00:00"/>
        <d v="2023-03-20T00:00:00"/>
        <d v="2023-09-10T00:00:00"/>
        <d v="2023-10-01T00:00:00"/>
        <d v="2023-04-03T00:00:00"/>
        <d v="2023-10-19T00:00:00"/>
        <d v="2023-05-20T00:00:00"/>
        <d v="2023-04-28T00:00:00"/>
        <d v="2023-03-30T00:00:00"/>
        <d v="2023-05-29T00:00:00"/>
        <d v="2023-12-24T00:00:00"/>
        <d v="2023-06-07T00:00:00"/>
        <d v="2023-07-29T00:00:00"/>
        <d v="2023-06-11T00:00:00"/>
        <d v="2023-01-02T00:00:00"/>
        <d v="2023-12-27T00:00:00"/>
        <d v="2023-10-26T00:00:00"/>
        <d v="2023-11-09T00:00:00"/>
        <d v="2023-11-04T00:00:00"/>
        <d v="2023-05-10T00:00:00"/>
        <d v="2023-09-20T00:00:00"/>
        <d v="2023-01-30T00:00:00"/>
        <d v="2023-09-05T00:00:00"/>
        <d v="2023-09-29T00:00:00"/>
        <d v="2023-11-19T00:00:00"/>
        <d v="2023-12-05T00:00:00"/>
        <d v="2023-10-11T00:00:00"/>
        <d v="2023-12-04T00:00:00"/>
        <d v="2023-02-11T00:00:00"/>
        <d v="2023-11-23T00:00:00"/>
        <d v="2023-05-26T00:00:00"/>
        <d v="2023-01-17T00:00:00"/>
        <d v="2023-10-22T00:00:00"/>
        <d v="2023-08-09T00:00:00"/>
        <d v="2023-03-06T00:00:00"/>
        <d v="2023-10-20T00:00:00"/>
        <d v="2023-11-08T00:00:00"/>
        <d v="2023-08-07T00:00:00"/>
        <d v="2023-06-06T00:00:00"/>
        <d v="2023-01-14T00:00:00"/>
        <d v="2023-08-03T00:00:00"/>
        <d v="2023-03-13T00:00:00"/>
        <d v="2023-10-17T00:00:00"/>
        <d v="2023-05-05T00:00:00"/>
        <d v="2023-08-18T00:00:00"/>
        <d v="2023-11-18T00:00:00"/>
        <d v="2023-12-18T00:00:00"/>
        <d v="2023-05-21T00:00:00"/>
        <d v="2023-09-27T00:00:00"/>
        <d v="2023-07-01T00:00:00"/>
        <d v="2023-05-08T00:00:00"/>
        <d v="2023-01-13T00:00:00"/>
        <d v="2023-01-16T00:00:00"/>
        <d v="2023-02-28T00:00:00"/>
        <d v="2023-08-12T00:00:00"/>
        <d v="2023-05-30T00:00:00"/>
        <d v="2023-06-09T00:00:00"/>
        <d v="2023-03-24T00:00:00"/>
        <d v="2023-06-01T00:00:00"/>
        <d v="2023-09-11T00:00:00"/>
        <d v="2023-01-31T00:00:00"/>
        <d v="2023-05-25T00:00:00"/>
        <d v="2023-11-27T00:00:00"/>
        <d v="2023-01-29T00:00:00"/>
        <d v="2023-02-18T00:00:00"/>
        <d v="2023-08-27T00:00:00"/>
        <d v="2023-03-26T00:00:00"/>
        <d v="2023-07-27T00:00:00"/>
        <d v="2023-06-27T00:00:00"/>
        <d v="2023-10-14T00:00:00"/>
        <d v="2023-10-24T00:00:00"/>
        <d v="2023-06-22T00:00:00"/>
        <d v="2023-06-28T00:00:00"/>
        <d v="2023-01-06T00:00:00"/>
        <d v="2023-09-26T00:00:00"/>
        <d v="2023-12-30T00:00:00"/>
        <d v="2023-03-09T00:00:00"/>
        <d v="2023-10-25T00:00:00"/>
        <d v="2023-01-05T00:00:00"/>
        <d v="2023-03-11T00:00:00"/>
        <d v="2023-05-14T00:00:00"/>
        <d v="2023-04-25T00:00:00"/>
        <d v="2023-11-10T00:00:00"/>
        <d v="2023-02-15T00:00:00"/>
        <d v="2023-08-24T00:00:00"/>
        <d v="2023-04-08T00:00:00"/>
        <d v="2023-07-26T00:00:00"/>
        <d v="2023-04-02T00:00:00"/>
        <d v="2023-12-21T00:00:00"/>
        <d v="2023-03-03T00:00:00"/>
        <d v="2023-06-21T00:00:00"/>
        <d v="2023-07-31T00:00:00"/>
        <d v="2023-03-10T00:00:00"/>
        <d v="2024-02-27T00:00:00"/>
        <d v="2024-06-15T00:00:00"/>
        <d v="2024-08-23T00:00:00"/>
        <d v="2024-04-29T00:00:00"/>
        <d v="2024-02-23T00:00:00"/>
        <d v="2024-11-01T00:00:00"/>
        <d v="2024-03-27T00:00:00"/>
        <d v="2024-09-19T00:00:00"/>
        <d v="2024-03-10T00:00:00"/>
        <d v="2024-02-15T00:00:00"/>
        <d v="2024-01-25T00:00:00"/>
        <d v="2024-08-02T00:00:00"/>
        <d v="2024-07-27T00:00:00"/>
        <d v="2024-06-08T00:00:00"/>
        <d v="2024-07-05T00:00:00"/>
        <d v="2024-06-17T00:00:00"/>
        <d v="2024-05-22T00:00:00"/>
        <d v="2024-10-03T00:00:00"/>
        <d v="2024-03-19T00:00:00"/>
        <d v="2024-03-30T00:00:00"/>
        <d v="2024-05-09T00:00:00"/>
        <d v="2024-07-01T00:00:00"/>
        <d v="2024-06-05T00:00:00"/>
        <d v="2024-07-31T00:00:00"/>
        <d v="2024-12-18T00:00:00"/>
        <d v="2024-08-31T00:00:00"/>
        <d v="2024-01-07T00:00:00"/>
        <d v="2024-05-25T00:00:00"/>
        <d v="2024-09-16T00:00:00"/>
        <d v="2024-10-22T00:00:00"/>
        <d v="2024-06-19T00:00:00"/>
        <d v="2024-06-28T00:00:00"/>
        <d v="2024-09-23T00:00:00"/>
        <d v="2024-10-10T00:00:00"/>
        <d v="2024-10-17T00:00:00"/>
        <d v="2024-01-26T00:00:00"/>
        <d v="2024-06-22T00:00:00"/>
        <d v="2024-02-10T00:00:00"/>
        <d v="2024-05-31T00:00:00"/>
        <d v="2024-02-20T00:00:00"/>
        <d v="2024-02-17T00:00:00"/>
        <d v="2024-08-09T00:00:00"/>
        <d v="2024-05-29T00:00:00"/>
        <d v="2024-01-05T00:00:00"/>
        <d v="2024-02-11T00:00:00"/>
        <d v="2024-12-16T00:00:00"/>
        <d v="2024-05-28T00:00:00"/>
        <d v="2024-11-26T00:00:00"/>
        <d v="2024-04-05T00:00:00"/>
        <d v="2024-01-08T00:00:00"/>
        <d v="2024-09-22T00:00:00"/>
        <d v="2024-12-24T00:00:00"/>
        <d v="2024-12-01T00:00:00"/>
        <d v="2024-03-01T00:00:00"/>
        <d v="2024-09-11T00:00:00"/>
        <d v="2024-05-13T00:00:00"/>
        <d v="2024-10-20T00:00:00"/>
        <d v="2024-06-04T00:00:00"/>
        <d v="2024-10-12T00:00:00"/>
        <d v="2024-10-09T00:00:00"/>
        <d v="2024-11-19T00:00:00"/>
        <d v="2024-04-02T00:00:00"/>
        <d v="2024-06-23T00:00:00"/>
        <d v="2024-07-11T00:00:00"/>
        <d v="2024-07-29T00:00:00"/>
        <d v="2024-12-21T00:00:00"/>
        <d v="2024-11-27T00:00:00"/>
        <d v="2024-11-25T00:00:00"/>
        <d v="2024-12-25T00:00:00"/>
        <d v="2024-05-30T00:00:00"/>
        <d v="2024-08-19T00:00:00"/>
        <d v="2024-03-21T00:00:00"/>
        <d v="2024-08-27T00:00:00"/>
        <d v="2024-01-29T00:00:00"/>
        <d v="2024-07-10T00:00:00"/>
        <d v="2024-08-01T00:00:00"/>
        <d v="2024-02-04T00:00:00"/>
        <d v="2024-12-05T00:00:00"/>
        <d v="2024-09-07T00:00:00"/>
        <d v="2024-03-22T00:00:00"/>
        <d v="2024-07-18T00:00:00"/>
        <d v="2024-06-25T00:00:00"/>
        <d v="2024-10-14T00:00:00"/>
        <d v="2024-10-02T00:00:00"/>
        <d v="2024-07-08T00:00:00"/>
        <d v="2024-12-10T00:00:00"/>
        <d v="2024-11-07T00:00:00"/>
        <d v="2024-06-30T00:00:00"/>
        <d v="2024-05-23T00:00:00"/>
        <d v="2024-02-07T00:00:00"/>
        <d v="2024-09-10T00:00:00"/>
        <d v="2024-05-21T00:00:00"/>
        <d v="2024-11-02T00:00:00"/>
        <d v="2024-02-08T00:00:00"/>
        <d v="2024-09-13T00:00:00"/>
        <d v="2024-06-14T00:00:00"/>
        <d v="2024-06-18T00:00:00"/>
        <d v="2024-05-08T00:00:00"/>
        <d v="2024-09-18T00:00:00"/>
        <d v="2024-03-23T00:00:00"/>
        <d v="2024-12-30T00:00:00"/>
        <d v="2024-05-26T00:00:00"/>
        <d v="2024-05-15T00:00:00"/>
        <d v="2024-07-12T00:00:00"/>
        <d v="2024-10-05T00:00:00"/>
        <d v="2024-11-20T00:00:00"/>
        <d v="2024-08-30T00:00:00"/>
        <d v="2024-03-08T00:00:00"/>
        <d v="2024-07-06T00:00:00"/>
        <d v="2024-10-29T00:00:00"/>
        <d v="2024-07-19T00:00:00"/>
        <d v="2024-06-27T00:00:00"/>
        <d v="2024-05-18T00:00:00"/>
        <d v="2024-11-13T00:00:00"/>
        <d v="2024-12-28T00:00:00"/>
        <d v="2024-07-09T00:00:00"/>
        <d v="2024-09-06T00:00:00"/>
        <d v="2024-04-22T00:00:00"/>
        <d v="2024-02-18T00:00:00"/>
        <d v="2024-09-27T00:00:00"/>
        <d v="2024-12-07T00:00:00"/>
        <d v="2024-01-28T00:00:00"/>
        <d v="2024-11-11T00:00:00"/>
        <d v="2024-01-31T00:00:00"/>
        <d v="2024-10-13T00:00:00"/>
        <d v="2024-12-04T00:00:00"/>
        <d v="2024-04-04T00:00:00"/>
        <d v="2024-03-14T00:00:00"/>
        <d v="2024-04-28T00:00:00"/>
        <d v="2024-04-11T00:00:00"/>
        <d v="2024-06-24T00:00:00"/>
        <d v="2024-11-14T00:00:00"/>
        <d v="2024-01-12T00:00:00"/>
        <d v="2024-01-14T00:00:00"/>
        <d v="2024-04-19T00:00:00"/>
        <d v="2024-05-04T00:00:00"/>
        <d v="2024-04-06T00:00:00"/>
        <d v="2024-02-01T00:00:00"/>
        <d v="2024-01-17T00:00:00"/>
        <d v="2024-09-24T00:00:00"/>
        <d v="2024-11-23T00:00:00"/>
        <d v="2024-12-17T00:00:00"/>
        <d v="2024-01-19T00:00:00"/>
        <d v="2024-02-25T00:00:00"/>
        <d v="2024-01-09T00:00:00"/>
        <d v="2024-11-05T00:00:00"/>
        <d v="2024-09-28T00:00:00"/>
        <d v="2024-09-29T00:00:00"/>
        <d v="2024-10-07T00:00:00"/>
        <d v="2024-04-30T00:00:00"/>
        <d v="2024-12-09T00:00:00"/>
        <d v="2024-03-15T00:00:00"/>
        <d v="2024-04-03T00:00:00"/>
        <d v="2024-02-29T00:00:00"/>
        <d v="2024-08-25T00:00:00"/>
        <d v="2024-09-09T00:00:00"/>
        <d v="2024-01-30T00:00:00"/>
        <d v="2024-08-21T00:00:00"/>
        <d v="2024-01-16T00:00:00"/>
        <d v="2024-10-11T00:00:00"/>
        <d v="2024-10-23T00:00:00"/>
        <d v="2024-08-05T00:00:00"/>
        <d v="2024-12-15T00:00:00"/>
        <d v="2024-02-28T00:00:00"/>
        <d v="2024-09-17T00:00:00"/>
        <d v="2024-06-13T00:00:00"/>
        <d v="2024-06-29T00:00:00"/>
        <d v="2024-02-13T00:00:00"/>
        <d v="2024-04-10T00:00:00"/>
        <d v="2024-01-03T00:00:00"/>
        <d v="2024-01-24T00:00:00"/>
        <d v="2024-03-28T00:00:00"/>
        <d v="2024-07-22T00:00:00"/>
        <d v="2024-04-24T00:00:00"/>
        <d v="2024-09-25T00:00:00"/>
        <d v="2024-12-13T00:00:00"/>
        <d v="2024-04-15T00:00:00"/>
        <d v="2024-08-28T00:00:00"/>
        <d v="2024-07-13T00:00:00"/>
        <d v="2024-11-29T00:00:00"/>
        <d v="2024-07-23T00:00:00"/>
        <d v="2024-05-17T00:00:00"/>
        <d v="2024-06-26T00:00:00"/>
        <d v="2024-03-16T00:00:00"/>
        <d v="2024-01-04T00:00:00"/>
        <d v="2024-07-02T00:00:00"/>
        <d v="2024-05-16T00:00:00"/>
        <d v="2024-03-11T00:00:00"/>
        <d v="2024-08-07T00:00:00"/>
        <d v="2024-03-20T00:00:00"/>
        <d v="2024-04-25T00:00:00"/>
        <d v="2024-02-21T00:00:00"/>
        <d v="2024-02-12T00:00:00"/>
        <d v="2024-10-21T00:00:00"/>
        <d v="2024-04-27T00:00:00"/>
        <d v="2024-04-12T00:00:00"/>
        <d v="2024-06-21T00:00:00"/>
        <d v="2024-10-24T00:00:00"/>
        <d v="2024-11-09T00:00:00"/>
        <d v="2024-12-22T00:00:00"/>
        <d v="2024-02-03T00:00:00"/>
        <d v="2024-06-16T00:00:00"/>
        <d v="2024-12-11T00:00:00"/>
        <d v="2024-10-27T00:00:00"/>
        <d v="2024-02-16T00:00:00"/>
        <d v="2024-02-19T00:00:00"/>
        <d v="2024-10-30T00:00:00"/>
        <d v="2024-06-02T00:00:00"/>
        <d v="2024-11-30T00:00:00"/>
        <d v="2024-07-26T00:00:00"/>
        <d v="2024-03-12T00:00:00"/>
        <d v="2024-06-07T00:00:00"/>
        <d v="2024-09-12T00:00:00"/>
        <d v="2024-11-04T00:00:00"/>
        <d v="2024-09-08T00:00:00"/>
        <d v="2024-02-14T00:00:00"/>
        <d v="2024-03-29T00:00:00"/>
        <d v="2024-10-31T00:00:00"/>
        <d v="2024-07-16T00:00:00"/>
        <d v="2024-10-18T00:00:00"/>
        <d v="2024-12-08T00:00:00"/>
        <d v="2024-07-03T00:00:00"/>
        <d v="2024-09-14T00:00:00"/>
        <d v="2024-03-04T00:00:00"/>
        <d v="2024-09-26T00:00:00"/>
        <d v="2024-08-06T00:00:00"/>
        <d v="2024-12-29T00:00:00"/>
        <d v="2024-08-13T00:00:00"/>
        <d v="2024-02-09T00:00:00"/>
        <d v="2024-08-03T00:00:00"/>
        <d v="2024-03-18T00:00:00"/>
        <d v="2024-08-24T00:00:00"/>
        <d v="2024-05-06T00:00:00"/>
        <d v="2024-11-03T00:00:00"/>
        <d v="2024-06-03T00:00:00"/>
        <d v="2024-11-16T00:00:00"/>
        <d v="2024-11-17T00:00:00"/>
        <d v="2024-03-24T00:00:00"/>
        <d v="2024-11-06T00:00:00"/>
        <d v="2024-09-03T00:00:00"/>
        <d v="2024-06-06T00:00:00"/>
        <d v="2024-07-30T00:00:00"/>
        <d v="2024-10-25T00:00:00"/>
        <d v="2024-01-23T00:00:00"/>
        <d v="2024-07-15T00:00:00"/>
        <d v="2024-11-18T00:00:00"/>
        <d v="2024-07-04T00:00:00"/>
        <d v="2024-05-19T00:00:00"/>
        <d v="2024-07-14T00:00:00"/>
        <d v="2024-06-10T00:00:00"/>
        <d v="2024-08-26T00:00:00"/>
        <d v="2024-06-11T00:00:00"/>
        <d v="2024-12-06T00:00:00"/>
        <d v="2024-09-21T00:00:00"/>
        <d v="2024-09-05T00:00:00"/>
        <d v="2024-01-22T00:00:00"/>
        <d v="2024-09-02T00:00:00"/>
        <d v="2024-08-08T00:00:00"/>
        <d v="2024-02-22T00:00:00"/>
        <d v="2024-08-16T00:00:00"/>
        <d v="2024-08-04T00:00:00"/>
        <d v="2024-04-01T00:00:00"/>
        <d v="2024-12-14T00:00:00"/>
        <d v="2024-10-19T00:00:00"/>
        <d v="2024-09-15T00:00:00"/>
        <d v="2024-06-09T00:00:00"/>
        <d v="2024-12-12T00:00:00"/>
        <d v="2024-01-20T00:00:00"/>
        <d v="2024-09-30T00:00:00"/>
        <d v="2024-08-22T00:00:00"/>
        <d v="2024-03-31T00:00:00"/>
        <d v="2024-10-16T00:00:00"/>
        <d v="2024-07-07T00:00:00"/>
        <d v="2024-11-12T00:00:00"/>
        <d v="2024-01-11T00:00:00"/>
        <d v="2024-01-10T00:00:00"/>
        <d v="2024-09-04T00:00:00"/>
        <d v="2024-11-15T00:00:00"/>
        <d v="2024-04-09T00:00:00"/>
        <d v="2024-01-18T00:00:00"/>
        <d v="2024-05-12T00:00:00"/>
        <d v="2024-03-07T00:00:00"/>
        <d v="2024-09-01T00:00:00"/>
        <d v="2024-03-05T00:00:00"/>
        <d v="2024-05-27T00:00:00"/>
        <d v="2024-03-02T00:00:00"/>
        <d v="2024-10-26T00:00:00"/>
        <d v="2024-05-11T00:00:00"/>
        <d v="2024-04-21T00:00:00"/>
        <d v="2024-10-08T00:00:00"/>
        <d v="2024-04-07T00:00:00"/>
        <d v="2024-01-27T00:00:00"/>
        <d v="2024-05-07T00:00:00"/>
        <d v="2024-12-19T00:00:00"/>
        <d v="2024-11-10T00:00:00"/>
        <d v="2024-04-13T00:00:00"/>
        <d v="2024-11-08T00:00:00"/>
        <d v="2024-08-18T00:00:00"/>
        <d v="2024-12-20T00:00:00"/>
        <d v="2024-08-10T00:00:00"/>
        <d v="2024-03-13T00:00:00"/>
        <d v="2024-04-08T00:00:00"/>
        <d v="2024-01-02T00:00:00"/>
        <d v="2024-04-18T00:00:00"/>
        <d v="2024-12-27T00:00:00"/>
        <d v="2024-02-05T00:00:00"/>
        <d v="2024-02-06T00:00:00"/>
        <d v="2024-12-23T00:00:00"/>
        <d v="2024-08-14T00:00:00"/>
        <d v="2024-08-29T00:00:00"/>
        <d v="2024-02-26T00:00:00"/>
        <d v="2024-05-05T00:00:00"/>
        <d v="2024-05-03T00:00:00"/>
        <d v="2024-07-17T00:00:00"/>
        <d v="2024-10-06T00:00:00"/>
        <d v="2024-11-22T00:00:00"/>
        <d v="2024-03-17T00:00:00"/>
        <d v="2024-05-01T00:00:00"/>
        <d v="2024-10-28T00:00:00"/>
        <d v="2024-06-01T00:00:00"/>
        <d v="2024-04-17T00:00:00"/>
        <d v="2024-10-04T00:00:00"/>
        <d v="2024-06-20T00:00:00"/>
        <d v="2024-07-20T00:00:00"/>
        <d v="2024-03-26T00:00:00"/>
        <d v="2024-12-26T00:00:00"/>
        <d v="2024-04-16T00:00:00"/>
        <d v="2024-04-20T00:00:00"/>
        <d v="2024-07-28T00:00:00"/>
        <d v="2024-10-15T00:00:00"/>
        <d v="2024-02-02T00:00:00"/>
        <d v="2024-11-21T00:00:00"/>
        <d v="2024-05-24T00:00:00"/>
        <d v="2024-07-25T00:00:00"/>
        <d v="2024-03-06T00:00:00"/>
        <d v="2024-01-13T00:00:00"/>
        <d v="2024-11-28T00:00:00"/>
        <d v="2024-04-14T00:00:00"/>
        <d v="2024-01-15T00:00:00"/>
        <d v="2024-03-25T00:00:00"/>
        <d v="2024-12-03T00:00:00"/>
        <d v="2024-02-24T00:00:00"/>
        <m/>
      </sharedItems>
      <fieldGroup par="13"/>
    </cacheField>
    <cacheField name="Next Expected Delivery" numFmtId="0">
      <sharedItems containsNonDate="0" containsDate="1" containsString="0" containsBlank="1" minDate="2023-01-20T00:00:00" maxDate="2025-03-20T00:00:00"/>
    </cacheField>
    <cacheField name="Remarks" numFmtId="0">
      <sharedItems containsBlank="1"/>
    </cacheField>
    <cacheField name="Months (Last Order Date)" numFmtId="0" databaseField="0">
      <fieldGroup base="8">
        <rangePr groupBy="months" startDate="2023-01-01T00:00:00" endDate="2024-12-31T00:00:00"/>
        <groupItems count="14">
          <s v="&lt;1/1/2023"/>
          <s v="Jan"/>
          <s v="Feb"/>
          <s v="Mar"/>
          <s v="Apr"/>
          <s v="May"/>
          <s v="Jun"/>
          <s v="Jul"/>
          <s v="Aug"/>
          <s v="Sep"/>
          <s v="Oct"/>
          <s v="Nov"/>
          <s v="Dec"/>
          <s v="&gt;12/31/2024"/>
        </groupItems>
      </fieldGroup>
    </cacheField>
    <cacheField name="Quarters (Last Order Date)" numFmtId="0" databaseField="0">
      <fieldGroup base="8">
        <rangePr groupBy="quarters" startDate="2023-01-01T00:00:00" endDate="2024-12-31T00:00:00"/>
        <groupItems count="6">
          <s v="&lt;1/1/2023"/>
          <s v="Qtr1"/>
          <s v="Qtr2"/>
          <s v="Qtr3"/>
          <s v="Qtr4"/>
          <s v="&gt;12/31/2024"/>
        </groupItems>
      </fieldGroup>
    </cacheField>
    <cacheField name="Years (Last Order Date)" numFmtId="0" databaseField="0">
      <fieldGroup base="8">
        <rangePr groupBy="years" startDate="2023-01-01T00:00:00" endDate="2024-12-31T00:00:00"/>
        <groupItems count="4">
          <s v="&lt;1/1/2023"/>
          <s v="2023"/>
          <s v="2024"/>
          <s v="&gt;12/31/2024"/>
        </groupItems>
      </fieldGroup>
    </cacheField>
  </cacheFields>
  <extLst>
    <ext xmlns:x14="http://schemas.microsoft.com/office/spreadsheetml/2009/9/main" uri="{725AE2AE-9491-48be-B2B4-4EB974FC3084}">
      <x14:pivotCacheDefinition pivotCacheId="157961212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95">
  <r>
    <x v="0"/>
    <x v="0"/>
    <n v="70"/>
    <n v="97"/>
    <x v="0"/>
    <x v="0"/>
    <n v="487.27"/>
    <s v="Warehouse A"/>
    <d v="2023-11-20T00:00:00"/>
    <d v="2024-01-24T00:00:00"/>
    <s v="High demand"/>
  </r>
  <r>
    <x v="1"/>
    <x v="1"/>
    <n v="16"/>
    <n v="97"/>
    <x v="0"/>
    <x v="0"/>
    <n v="156.4"/>
    <s v="Warehouse C"/>
    <d v="2023-12-22T00:00:00"/>
    <d v="2024-03-09T00:00:00"/>
    <s v="Discontinued"/>
  </r>
  <r>
    <x v="2"/>
    <x v="2"/>
    <n v="42"/>
    <n v="72"/>
    <x v="0"/>
    <x v="1"/>
    <n v="287.44"/>
    <s v="Warehouse A"/>
    <d v="2023-09-22T00:00:00"/>
    <d v="2023-10-12T00:00:00"/>
    <s v="High demand"/>
  </r>
  <r>
    <x v="3"/>
    <x v="0"/>
    <n v="10"/>
    <n v="71"/>
    <x v="0"/>
    <x v="0"/>
    <n v="201.76"/>
    <s v="Warehouse B"/>
    <d v="2023-11-03T00:00:00"/>
    <d v="2024-01-30T00:00:00"/>
    <s v="Discontinued"/>
  </r>
  <r>
    <x v="0"/>
    <x v="1"/>
    <n v="18"/>
    <n v="55"/>
    <x v="0"/>
    <x v="0"/>
    <n v="21.19"/>
    <s v="Warehouse B"/>
    <d v="2023-08-14T00:00:00"/>
    <d v="2023-09-18T00:00:00"/>
    <s v="Pending Coastal Logistics Partnersonfirmation"/>
  </r>
  <r>
    <x v="3"/>
    <x v="3"/>
    <n v="54"/>
    <n v="62"/>
    <x v="0"/>
    <x v="1"/>
    <n v="203.75"/>
    <s v="Warehouse A"/>
    <d v="2023-07-11T00:00:00"/>
    <d v="2023-08-07T00:00:00"/>
    <s v="Discontinued"/>
  </r>
  <r>
    <x v="4"/>
    <x v="0"/>
    <n v="76"/>
    <n v="92"/>
    <x v="0"/>
    <x v="1"/>
    <n v="316.94"/>
    <s v="Warehouse A"/>
    <d v="2023-09-02T00:00:00"/>
    <d v="2023-10-31T00:00:00"/>
    <m/>
  </r>
  <r>
    <x v="4"/>
    <x v="0"/>
    <n v="0"/>
    <n v="32"/>
    <x v="0"/>
    <x v="2"/>
    <n v="106.61"/>
    <s v="Warehouse C"/>
    <d v="2023-07-12T00:00:00"/>
    <d v="2023-08-19T00:00:00"/>
    <s v="High demand"/>
  </r>
  <r>
    <x v="5"/>
    <x v="1"/>
    <n v="14"/>
    <n v="32"/>
    <x v="0"/>
    <x v="2"/>
    <n v="275.22000000000003"/>
    <s v="Warehouse B"/>
    <d v="2023-08-19T00:00:00"/>
    <d v="2023-10-10T00:00:00"/>
    <s v="Discontinued"/>
  </r>
  <r>
    <x v="6"/>
    <x v="4"/>
    <n v="34"/>
    <n v="58"/>
    <x v="0"/>
    <x v="2"/>
    <n v="59.33"/>
    <s v="Warehouse C"/>
    <d v="2023-10-27T00:00:00"/>
    <d v="2023-11-21T00:00:00"/>
    <s v="Pending Coastal Logistics Partnersonfirmation"/>
  </r>
  <r>
    <x v="7"/>
    <x v="1"/>
    <n v="26"/>
    <n v="65"/>
    <x v="0"/>
    <x v="0"/>
    <n v="491.66"/>
    <s v="Warehouse B"/>
    <d v="2023-06-26T00:00:00"/>
    <d v="2023-07-21T00:00:00"/>
    <s v="Pending Coastal Logistics Partnersonfirmation"/>
  </r>
  <r>
    <x v="8"/>
    <x v="0"/>
    <n v="54"/>
    <n v="79"/>
    <x v="0"/>
    <x v="0"/>
    <n v="205.05"/>
    <s v="Warehouse A"/>
    <d v="2023-07-07T00:00:00"/>
    <d v="2023-08-21T00:00:00"/>
    <s v="Discontinued"/>
  </r>
  <r>
    <x v="6"/>
    <x v="4"/>
    <n v="52"/>
    <n v="62"/>
    <x v="0"/>
    <x v="0"/>
    <n v="275.11"/>
    <s v="Warehouse C"/>
    <d v="2023-10-23T00:00:00"/>
    <d v="2024-01-17T00:00:00"/>
    <s v="High demand"/>
  </r>
  <r>
    <x v="9"/>
    <x v="2"/>
    <n v="1"/>
    <n v="86"/>
    <x v="0"/>
    <x v="2"/>
    <n v="321.79000000000002"/>
    <s v="Warehouse A"/>
    <d v="2023-02-01T00:00:00"/>
    <d v="2023-04-16T00:00:00"/>
    <s v="High demand"/>
  </r>
  <r>
    <x v="10"/>
    <x v="2"/>
    <n v="20"/>
    <n v="78"/>
    <x v="0"/>
    <x v="2"/>
    <n v="368.04"/>
    <s v="Warehouse C"/>
    <d v="2023-07-16T00:00:00"/>
    <d v="2023-10-11T00:00:00"/>
    <s v="Discontinued"/>
  </r>
  <r>
    <x v="11"/>
    <x v="4"/>
    <n v="8"/>
    <n v="22"/>
    <x v="0"/>
    <x v="2"/>
    <n v="299.98"/>
    <s v="Warehouse B"/>
    <d v="2023-10-10T00:00:00"/>
    <d v="2023-11-09T00:00:00"/>
    <s v="Pending Coastal Logistics Partnersonfirmation"/>
  </r>
  <r>
    <x v="12"/>
    <x v="4"/>
    <n v="22"/>
    <n v="39"/>
    <x v="0"/>
    <x v="0"/>
    <n v="77.38"/>
    <s v="Warehouse B"/>
    <d v="2023-08-04T00:00:00"/>
    <d v="2023-09-02T00:00:00"/>
    <s v="High demand"/>
  </r>
  <r>
    <x v="13"/>
    <x v="2"/>
    <n v="34"/>
    <n v="90"/>
    <x v="0"/>
    <x v="1"/>
    <n v="179.05"/>
    <s v="Warehouse C"/>
    <d v="2023-06-15T00:00:00"/>
    <d v="2023-08-20T00:00:00"/>
    <m/>
  </r>
  <r>
    <x v="14"/>
    <x v="0"/>
    <n v="58"/>
    <n v="80"/>
    <x v="0"/>
    <x v="0"/>
    <n v="486.08"/>
    <s v="Warehouse C"/>
    <d v="2023-11-15T00:00:00"/>
    <d v="2024-01-16T00:00:00"/>
    <s v="High demand"/>
  </r>
  <r>
    <x v="9"/>
    <x v="4"/>
    <n v="55"/>
    <n v="91"/>
    <x v="0"/>
    <x v="2"/>
    <n v="404.3"/>
    <s v="Warehouse A"/>
    <d v="2023-04-15T00:00:00"/>
    <d v="2023-05-02T00:00:00"/>
    <s v="Discontinued"/>
  </r>
  <r>
    <x v="15"/>
    <x v="3"/>
    <n v="2"/>
    <n v="37"/>
    <x v="0"/>
    <x v="0"/>
    <n v="422.15"/>
    <s v="Warehouse C"/>
    <d v="2023-08-02T00:00:00"/>
    <d v="2023-08-29T00:00:00"/>
    <m/>
  </r>
  <r>
    <x v="16"/>
    <x v="0"/>
    <n v="27"/>
    <n v="86"/>
    <x v="0"/>
    <x v="1"/>
    <n v="414.14"/>
    <s v="Warehouse B"/>
    <d v="2023-04-20T00:00:00"/>
    <d v="2023-05-14T00:00:00"/>
    <m/>
  </r>
  <r>
    <x v="17"/>
    <x v="2"/>
    <n v="64"/>
    <n v="96"/>
    <x v="0"/>
    <x v="0"/>
    <n v="139.93"/>
    <s v="Warehouse B"/>
    <d v="2023-03-28T00:00:00"/>
    <d v="2023-06-21T00:00:00"/>
    <m/>
  </r>
  <r>
    <x v="4"/>
    <x v="4"/>
    <n v="28"/>
    <n v="60"/>
    <x v="0"/>
    <x v="0"/>
    <n v="460.71"/>
    <s v="Warehouse C"/>
    <d v="2023-03-21T00:00:00"/>
    <d v="2023-05-18T00:00:00"/>
    <m/>
  </r>
  <r>
    <x v="18"/>
    <x v="0"/>
    <n v="1"/>
    <n v="82"/>
    <x v="0"/>
    <x v="0"/>
    <n v="297.86"/>
    <s v="Warehouse A"/>
    <d v="2023-11-21T00:00:00"/>
    <d v="2023-12-17T00:00:00"/>
    <s v="High demand"/>
  </r>
  <r>
    <x v="16"/>
    <x v="0"/>
    <n v="21"/>
    <n v="90"/>
    <x v="0"/>
    <x v="0"/>
    <n v="71.41"/>
    <s v="Warehouse C"/>
    <d v="2023-09-12T00:00:00"/>
    <d v="2023-11-17T00:00:00"/>
    <s v="Pending Coastal Logistics Partnersonfirmation"/>
  </r>
  <r>
    <x v="0"/>
    <x v="3"/>
    <n v="30"/>
    <n v="57"/>
    <x v="0"/>
    <x v="0"/>
    <n v="302.47000000000003"/>
    <s v="Warehouse A"/>
    <d v="2023-11-26T00:00:00"/>
    <d v="2024-02-14T00:00:00"/>
    <s v="High demand"/>
  </r>
  <r>
    <x v="9"/>
    <x v="3"/>
    <n v="3"/>
    <n v="28"/>
    <x v="0"/>
    <x v="0"/>
    <n v="153.78"/>
    <s v="Warehouse B"/>
    <d v="2023-11-05T00:00:00"/>
    <d v="2023-11-23T00:00:00"/>
    <s v="High demand"/>
  </r>
  <r>
    <x v="19"/>
    <x v="4"/>
    <n v="13"/>
    <n v="85"/>
    <x v="0"/>
    <x v="1"/>
    <n v="343.04"/>
    <s v="Warehouse A"/>
    <d v="2023-05-27T00:00:00"/>
    <d v="2023-07-12T00:00:00"/>
    <m/>
  </r>
  <r>
    <x v="16"/>
    <x v="1"/>
    <n v="60"/>
    <n v="97"/>
    <x v="0"/>
    <x v="0"/>
    <n v="345.21"/>
    <s v="Warehouse B"/>
    <d v="2023-03-19T00:00:00"/>
    <d v="2023-05-07T00:00:00"/>
    <m/>
  </r>
  <r>
    <x v="20"/>
    <x v="4"/>
    <n v="27"/>
    <n v="39"/>
    <x v="0"/>
    <x v="2"/>
    <n v="320.92"/>
    <s v="Warehouse B"/>
    <d v="2023-07-19T00:00:00"/>
    <d v="2023-08-15T00:00:00"/>
    <s v="Discontinued"/>
  </r>
  <r>
    <x v="21"/>
    <x v="4"/>
    <n v="52"/>
    <n v="91"/>
    <x v="0"/>
    <x v="2"/>
    <n v="30.49"/>
    <s v="Warehouse C"/>
    <d v="2023-08-16T00:00:00"/>
    <d v="2023-11-04T00:00:00"/>
    <s v="Pending Coastal Logistics Partnersonfirmation"/>
  </r>
  <r>
    <x v="21"/>
    <x v="2"/>
    <n v="17"/>
    <n v="81"/>
    <x v="0"/>
    <x v="1"/>
    <n v="348.24"/>
    <s v="Warehouse B"/>
    <d v="2023-01-24T00:00:00"/>
    <d v="2023-04-06T00:00:00"/>
    <s v="High demand"/>
  </r>
  <r>
    <x v="22"/>
    <x v="4"/>
    <n v="5"/>
    <n v="28"/>
    <x v="0"/>
    <x v="2"/>
    <n v="306.83"/>
    <s v="Warehouse B"/>
    <d v="2023-03-07T00:00:00"/>
    <d v="2023-04-09T00:00:00"/>
    <s v="Pending Coastal Logistics Partnersonfirmation"/>
  </r>
  <r>
    <x v="23"/>
    <x v="3"/>
    <n v="1"/>
    <n v="77"/>
    <x v="0"/>
    <x v="0"/>
    <n v="260.19"/>
    <s v="Warehouse C"/>
    <d v="2023-01-24T00:00:00"/>
    <d v="2023-02-15T00:00:00"/>
    <s v="Discontinued"/>
  </r>
  <r>
    <x v="23"/>
    <x v="4"/>
    <n v="32"/>
    <n v="58"/>
    <x v="0"/>
    <x v="2"/>
    <n v="358.98"/>
    <s v="Warehouse A"/>
    <d v="2023-06-14T00:00:00"/>
    <d v="2023-08-20T00:00:00"/>
    <s v="Discontinued"/>
  </r>
  <r>
    <x v="24"/>
    <x v="4"/>
    <n v="61"/>
    <n v="89"/>
    <x v="0"/>
    <x v="0"/>
    <n v="355"/>
    <s v="Warehouse A"/>
    <d v="2023-06-23T00:00:00"/>
    <d v="2023-08-07T00:00:00"/>
    <s v="High demand"/>
  </r>
  <r>
    <x v="10"/>
    <x v="4"/>
    <n v="61"/>
    <n v="74"/>
    <x v="0"/>
    <x v="1"/>
    <n v="296.95"/>
    <s v="Warehouse C"/>
    <d v="2023-04-20T00:00:00"/>
    <d v="2023-05-13T00:00:00"/>
    <s v="Discontinued"/>
  </r>
  <r>
    <x v="23"/>
    <x v="3"/>
    <n v="54"/>
    <n v="86"/>
    <x v="0"/>
    <x v="2"/>
    <n v="417.9"/>
    <s v="Warehouse A"/>
    <d v="2023-02-22T00:00:00"/>
    <d v="2023-03-24T00:00:00"/>
    <m/>
  </r>
  <r>
    <x v="25"/>
    <x v="3"/>
    <n v="62"/>
    <n v="96"/>
    <x v="0"/>
    <x v="1"/>
    <n v="356.1"/>
    <s v="Warehouse A"/>
    <d v="2023-12-23T00:00:00"/>
    <d v="2024-01-12T00:00:00"/>
    <s v="Pending Coastal Logistics Partnersonfirmation"/>
  </r>
  <r>
    <x v="26"/>
    <x v="4"/>
    <n v="18"/>
    <n v="53"/>
    <x v="0"/>
    <x v="2"/>
    <n v="223.59"/>
    <s v="Warehouse C"/>
    <d v="2023-10-12T00:00:00"/>
    <d v="2024-01-06T00:00:00"/>
    <s v="Discontinued"/>
  </r>
  <r>
    <x v="15"/>
    <x v="2"/>
    <n v="67"/>
    <n v="92"/>
    <x v="0"/>
    <x v="1"/>
    <n v="17.98"/>
    <s v="Warehouse C"/>
    <d v="2023-06-17T00:00:00"/>
    <d v="2023-08-26T00:00:00"/>
    <s v="Discontinued"/>
  </r>
  <r>
    <x v="27"/>
    <x v="4"/>
    <n v="11"/>
    <n v="78"/>
    <x v="0"/>
    <x v="2"/>
    <n v="411.87"/>
    <s v="Warehouse B"/>
    <d v="2023-08-17T00:00:00"/>
    <d v="2023-11-08T00:00:00"/>
    <s v="Pending Coastal Logistics Partnersonfirmation"/>
  </r>
  <r>
    <x v="6"/>
    <x v="3"/>
    <n v="42"/>
    <n v="96"/>
    <x v="0"/>
    <x v="0"/>
    <n v="316.76"/>
    <s v="Warehouse C"/>
    <d v="2023-04-21T00:00:00"/>
    <d v="2023-05-26T00:00:00"/>
    <m/>
  </r>
  <r>
    <x v="24"/>
    <x v="3"/>
    <n v="0"/>
    <n v="48"/>
    <x v="0"/>
    <x v="0"/>
    <n v="339.53"/>
    <s v="Warehouse A"/>
    <d v="2023-06-25T00:00:00"/>
    <d v="2023-08-03T00:00:00"/>
    <s v="Pending Coastal Logistics Partnersonfirmation"/>
  </r>
  <r>
    <x v="28"/>
    <x v="0"/>
    <n v="28"/>
    <n v="85"/>
    <x v="0"/>
    <x v="0"/>
    <n v="245.09"/>
    <s v="Warehouse B"/>
    <d v="2023-01-07T00:00:00"/>
    <d v="2023-02-13T00:00:00"/>
    <s v="Pending Coastal Logistics Partnersonfirmation"/>
  </r>
  <r>
    <x v="29"/>
    <x v="2"/>
    <n v="26"/>
    <n v="30"/>
    <x v="0"/>
    <x v="0"/>
    <n v="431.52"/>
    <s v="Warehouse A"/>
    <d v="2023-01-07T00:00:00"/>
    <d v="2023-03-23T00:00:00"/>
    <s v="High demand"/>
  </r>
  <r>
    <x v="22"/>
    <x v="3"/>
    <n v="56"/>
    <n v="92"/>
    <x v="0"/>
    <x v="1"/>
    <n v="33.82"/>
    <s v="Warehouse C"/>
    <d v="2023-05-23T00:00:00"/>
    <d v="2023-06-28T00:00:00"/>
    <s v="High demand"/>
  </r>
  <r>
    <x v="30"/>
    <x v="0"/>
    <n v="25"/>
    <n v="84"/>
    <x v="0"/>
    <x v="0"/>
    <n v="398.68"/>
    <s v="Warehouse B"/>
    <d v="2023-05-22T00:00:00"/>
    <d v="2023-08-06T00:00:00"/>
    <s v="Pending Coastal Logistics Partnersonfirmation"/>
  </r>
  <r>
    <x v="31"/>
    <x v="3"/>
    <n v="56"/>
    <n v="85"/>
    <x v="0"/>
    <x v="2"/>
    <n v="81.41"/>
    <s v="Warehouse B"/>
    <d v="2023-06-30T00:00:00"/>
    <d v="2023-08-29T00:00:00"/>
    <s v="Pending Coastal Logistics Partnersonfirmation"/>
  </r>
  <r>
    <x v="32"/>
    <x v="3"/>
    <n v="39"/>
    <n v="75"/>
    <x v="0"/>
    <x v="2"/>
    <n v="182.46"/>
    <s v="Warehouse A"/>
    <d v="2023-08-29T00:00:00"/>
    <d v="2023-10-12T00:00:00"/>
    <s v="High demand"/>
  </r>
  <r>
    <x v="33"/>
    <x v="0"/>
    <n v="10"/>
    <n v="96"/>
    <x v="0"/>
    <x v="1"/>
    <n v="282.16000000000003"/>
    <s v="Warehouse B"/>
    <d v="2023-02-01T00:00:00"/>
    <d v="2023-03-22T00:00:00"/>
    <s v="Pending Coastal Logistics Partnersonfirmation"/>
  </r>
  <r>
    <x v="18"/>
    <x v="2"/>
    <n v="31"/>
    <n v="54"/>
    <x v="0"/>
    <x v="0"/>
    <n v="499.45"/>
    <s v="Warehouse C"/>
    <d v="2023-07-05T00:00:00"/>
    <d v="2023-08-11T00:00:00"/>
    <m/>
  </r>
  <r>
    <x v="20"/>
    <x v="3"/>
    <n v="39"/>
    <n v="42"/>
    <x v="0"/>
    <x v="0"/>
    <n v="299.27999999999997"/>
    <s v="Warehouse A"/>
    <d v="2023-08-15T00:00:00"/>
    <d v="2023-09-12T00:00:00"/>
    <s v="Discontinued"/>
  </r>
  <r>
    <x v="10"/>
    <x v="3"/>
    <n v="28"/>
    <n v="34"/>
    <x v="0"/>
    <x v="2"/>
    <n v="79.05"/>
    <s v="Warehouse C"/>
    <d v="2023-01-20T00:00:00"/>
    <d v="2023-02-19T00:00:00"/>
    <s v="Pending Coastal Logistics Partnersonfirmation"/>
  </r>
  <r>
    <x v="28"/>
    <x v="1"/>
    <n v="26"/>
    <n v="36"/>
    <x v="0"/>
    <x v="1"/>
    <n v="86.67"/>
    <s v="Warehouse B"/>
    <d v="2023-04-23T00:00:00"/>
    <d v="2023-07-17T00:00:00"/>
    <s v="Discontinued"/>
  </r>
  <r>
    <x v="29"/>
    <x v="2"/>
    <n v="6"/>
    <n v="83"/>
    <x v="0"/>
    <x v="0"/>
    <n v="55.23"/>
    <s v="Warehouse B"/>
    <d v="2023-07-23T00:00:00"/>
    <d v="2023-10-19T00:00:00"/>
    <s v="Discontinued"/>
  </r>
  <r>
    <x v="11"/>
    <x v="2"/>
    <n v="47"/>
    <n v="50"/>
    <x v="0"/>
    <x v="1"/>
    <n v="208.85"/>
    <s v="Warehouse C"/>
    <d v="2023-05-19T00:00:00"/>
    <d v="2023-08-14T00:00:00"/>
    <s v="High demand"/>
  </r>
  <r>
    <x v="22"/>
    <x v="3"/>
    <n v="9"/>
    <n v="58"/>
    <x v="0"/>
    <x v="2"/>
    <n v="359.7"/>
    <s v="Warehouse C"/>
    <d v="2023-01-08T00:00:00"/>
    <d v="2023-02-05T00:00:00"/>
    <m/>
  </r>
  <r>
    <x v="27"/>
    <x v="2"/>
    <n v="43"/>
    <n v="83"/>
    <x v="0"/>
    <x v="0"/>
    <n v="365.67"/>
    <s v="Warehouse B"/>
    <d v="2023-07-02T00:00:00"/>
    <d v="2023-09-29T00:00:00"/>
    <s v="Pending Coastal Logistics Partnersonfirmation"/>
  </r>
  <r>
    <x v="30"/>
    <x v="0"/>
    <n v="52"/>
    <n v="87"/>
    <x v="0"/>
    <x v="1"/>
    <n v="424.33"/>
    <s v="Warehouse A"/>
    <d v="2023-12-25T00:00:00"/>
    <d v="2024-01-19T00:00:00"/>
    <s v="Discontinued"/>
  </r>
  <r>
    <x v="5"/>
    <x v="0"/>
    <n v="29"/>
    <n v="98"/>
    <x v="0"/>
    <x v="1"/>
    <n v="423.97"/>
    <s v="Warehouse C"/>
    <d v="2023-10-10T00:00:00"/>
    <d v="2023-10-26T00:00:00"/>
    <m/>
  </r>
  <r>
    <x v="31"/>
    <x v="2"/>
    <n v="36"/>
    <n v="53"/>
    <x v="0"/>
    <x v="2"/>
    <n v="112.35"/>
    <s v="Warehouse A"/>
    <d v="2023-07-28T00:00:00"/>
    <d v="2023-10-09T00:00:00"/>
    <m/>
  </r>
  <r>
    <x v="34"/>
    <x v="1"/>
    <n v="28"/>
    <n v="39"/>
    <x v="0"/>
    <x v="2"/>
    <n v="274.62"/>
    <s v="Warehouse A"/>
    <d v="2023-01-11T00:00:00"/>
    <d v="2023-02-09T00:00:00"/>
    <s v="High demand"/>
  </r>
  <r>
    <x v="35"/>
    <x v="0"/>
    <n v="19"/>
    <n v="75"/>
    <x v="0"/>
    <x v="2"/>
    <n v="84.18"/>
    <s v="Warehouse C"/>
    <d v="2023-01-04T00:00:00"/>
    <d v="2023-04-02T00:00:00"/>
    <s v="High demand"/>
  </r>
  <r>
    <x v="8"/>
    <x v="2"/>
    <n v="33"/>
    <n v="37"/>
    <x v="0"/>
    <x v="1"/>
    <n v="389.68"/>
    <s v="Warehouse B"/>
    <d v="2023-06-29T00:00:00"/>
    <d v="2023-08-22T00:00:00"/>
    <m/>
  </r>
  <r>
    <x v="31"/>
    <x v="4"/>
    <n v="14"/>
    <n v="22"/>
    <x v="0"/>
    <x v="1"/>
    <n v="452.9"/>
    <s v="Warehouse B"/>
    <d v="2023-03-01T00:00:00"/>
    <d v="2023-04-21T00:00:00"/>
    <m/>
  </r>
  <r>
    <x v="11"/>
    <x v="4"/>
    <n v="28"/>
    <n v="54"/>
    <x v="0"/>
    <x v="0"/>
    <n v="447.69"/>
    <s v="Warehouse C"/>
    <d v="2023-02-24T00:00:00"/>
    <d v="2023-04-20T00:00:00"/>
    <m/>
  </r>
  <r>
    <x v="36"/>
    <x v="1"/>
    <n v="20"/>
    <n v="43"/>
    <x v="0"/>
    <x v="2"/>
    <n v="237.18"/>
    <s v="Warehouse C"/>
    <d v="2023-08-02T00:00:00"/>
    <d v="2023-09-06T00:00:00"/>
    <m/>
  </r>
  <r>
    <x v="34"/>
    <x v="3"/>
    <n v="45"/>
    <n v="86"/>
    <x v="0"/>
    <x v="2"/>
    <n v="120.06"/>
    <s v="Warehouse B"/>
    <d v="2023-12-19T00:00:00"/>
    <d v="2024-02-24T00:00:00"/>
    <s v="High demand"/>
  </r>
  <r>
    <x v="11"/>
    <x v="3"/>
    <n v="45"/>
    <n v="55"/>
    <x v="0"/>
    <x v="2"/>
    <n v="26.45"/>
    <s v="Warehouse C"/>
    <d v="2023-05-13T00:00:00"/>
    <d v="2023-08-08T00:00:00"/>
    <s v="Pending Coastal Logistics Partnersonfirmation"/>
  </r>
  <r>
    <x v="37"/>
    <x v="0"/>
    <n v="19"/>
    <n v="64"/>
    <x v="0"/>
    <x v="2"/>
    <n v="485.69"/>
    <s v="Warehouse C"/>
    <d v="2023-11-28T00:00:00"/>
    <d v="2023-12-31T00:00:00"/>
    <s v="Pending Coastal Logistics Partnersonfirmation"/>
  </r>
  <r>
    <x v="32"/>
    <x v="0"/>
    <n v="2"/>
    <n v="96"/>
    <x v="0"/>
    <x v="2"/>
    <n v="44.89"/>
    <s v="Warehouse C"/>
    <d v="2023-12-23T00:00:00"/>
    <d v="2024-01-17T00:00:00"/>
    <m/>
  </r>
  <r>
    <x v="19"/>
    <x v="0"/>
    <n v="42"/>
    <n v="85"/>
    <x v="0"/>
    <x v="1"/>
    <n v="370.08"/>
    <s v="Warehouse A"/>
    <d v="2023-02-23T00:00:00"/>
    <d v="2023-03-19T00:00:00"/>
    <m/>
  </r>
  <r>
    <x v="38"/>
    <x v="2"/>
    <n v="55"/>
    <n v="66"/>
    <x v="0"/>
    <x v="0"/>
    <n v="476.25"/>
    <s v="Warehouse C"/>
    <d v="2023-03-12T00:00:00"/>
    <d v="2023-04-02T00:00:00"/>
    <s v="Pending Coastal Logistics Partnersonfirmation"/>
  </r>
  <r>
    <x v="11"/>
    <x v="1"/>
    <n v="2"/>
    <n v="81"/>
    <x v="0"/>
    <x v="2"/>
    <n v="488.88"/>
    <s v="Warehouse A"/>
    <d v="2023-11-21T00:00:00"/>
    <d v="2023-12-13T00:00:00"/>
    <s v="Discontinued"/>
  </r>
  <r>
    <x v="32"/>
    <x v="1"/>
    <n v="33"/>
    <n v="67"/>
    <x v="0"/>
    <x v="2"/>
    <n v="53.26"/>
    <s v="Warehouse C"/>
    <d v="2023-06-13T00:00:00"/>
    <d v="2023-08-24T00:00:00"/>
    <m/>
  </r>
  <r>
    <x v="7"/>
    <x v="2"/>
    <n v="22"/>
    <n v="42"/>
    <x v="0"/>
    <x v="1"/>
    <n v="277.48"/>
    <s v="Warehouse C"/>
    <d v="2023-08-06T00:00:00"/>
    <d v="2023-09-18T00:00:00"/>
    <m/>
  </r>
  <r>
    <x v="18"/>
    <x v="4"/>
    <n v="29"/>
    <n v="72"/>
    <x v="0"/>
    <x v="2"/>
    <n v="445.21"/>
    <s v="Warehouse B"/>
    <d v="2023-02-12T00:00:00"/>
    <d v="2023-04-12T00:00:00"/>
    <s v="Discontinued"/>
  </r>
  <r>
    <x v="24"/>
    <x v="3"/>
    <n v="17"/>
    <n v="58"/>
    <x v="0"/>
    <x v="1"/>
    <n v="162.68"/>
    <s v="Warehouse B"/>
    <d v="2023-06-16T00:00:00"/>
    <d v="2023-09-06T00:00:00"/>
    <s v="Discontinued"/>
  </r>
  <r>
    <x v="0"/>
    <x v="0"/>
    <n v="11"/>
    <n v="72"/>
    <x v="0"/>
    <x v="1"/>
    <n v="328.15"/>
    <s v="Warehouse C"/>
    <d v="2023-06-17T00:00:00"/>
    <d v="2023-08-27T00:00:00"/>
    <s v="Pending Coastal Logistics Partnersonfirmation"/>
  </r>
  <r>
    <x v="31"/>
    <x v="1"/>
    <n v="15"/>
    <n v="32"/>
    <x v="0"/>
    <x v="0"/>
    <n v="308.14999999999998"/>
    <s v="Warehouse C"/>
    <d v="2023-03-14T00:00:00"/>
    <d v="2023-04-04T00:00:00"/>
    <s v="Discontinued"/>
  </r>
  <r>
    <x v="16"/>
    <x v="1"/>
    <n v="64"/>
    <n v="91"/>
    <x v="0"/>
    <x v="2"/>
    <n v="379.16"/>
    <s v="Warehouse C"/>
    <d v="2023-02-09T00:00:00"/>
    <d v="2023-03-09T00:00:00"/>
    <s v="High demand"/>
  </r>
  <r>
    <x v="11"/>
    <x v="2"/>
    <n v="23"/>
    <n v="58"/>
    <x v="0"/>
    <x v="2"/>
    <n v="483"/>
    <s v="Warehouse C"/>
    <d v="2023-05-18T00:00:00"/>
    <d v="2023-06-10T00:00:00"/>
    <s v="Pending Coastal Logistics Partnersonfirmation"/>
  </r>
  <r>
    <x v="35"/>
    <x v="0"/>
    <n v="23"/>
    <n v="67"/>
    <x v="0"/>
    <x v="0"/>
    <n v="398.06"/>
    <s v="Warehouse A"/>
    <d v="2023-04-27T00:00:00"/>
    <d v="2023-06-28T00:00:00"/>
    <s v="Pending Coastal Logistics Partnersonfirmation"/>
  </r>
  <r>
    <x v="18"/>
    <x v="2"/>
    <n v="9"/>
    <n v="27"/>
    <x v="0"/>
    <x v="1"/>
    <n v="258.52"/>
    <s v="Warehouse C"/>
    <d v="2023-12-02T00:00:00"/>
    <d v="2024-02-25T00:00:00"/>
    <s v="High demand"/>
  </r>
  <r>
    <x v="32"/>
    <x v="1"/>
    <n v="13"/>
    <n v="62"/>
    <x v="0"/>
    <x v="1"/>
    <n v="342.7"/>
    <s v="Warehouse B"/>
    <d v="2023-02-05T00:00:00"/>
    <d v="2023-05-04T00:00:00"/>
    <s v="Pending Coastal Logistics Partnersonfirmation"/>
  </r>
  <r>
    <x v="26"/>
    <x v="4"/>
    <n v="44"/>
    <n v="78"/>
    <x v="0"/>
    <x v="1"/>
    <n v="43"/>
    <s v="Warehouse C"/>
    <d v="2023-04-30T00:00:00"/>
    <d v="2023-07-17T00:00:00"/>
    <s v="Discontinued"/>
  </r>
  <r>
    <x v="36"/>
    <x v="3"/>
    <n v="69"/>
    <n v="95"/>
    <x v="0"/>
    <x v="1"/>
    <n v="144.25"/>
    <s v="Warehouse C"/>
    <d v="2023-04-07T00:00:00"/>
    <d v="2023-05-10T00:00:00"/>
    <s v="Pending Coastal Logistics Partnersonfirmation"/>
  </r>
  <r>
    <x v="39"/>
    <x v="0"/>
    <n v="92"/>
    <n v="99"/>
    <x v="0"/>
    <x v="2"/>
    <n v="52.35"/>
    <s v="Warehouse B"/>
    <d v="2023-01-18T00:00:00"/>
    <d v="2023-04-13T00:00:00"/>
    <s v="Discontinued"/>
  </r>
  <r>
    <x v="40"/>
    <x v="3"/>
    <n v="25"/>
    <n v="67"/>
    <x v="0"/>
    <x v="0"/>
    <n v="199.75"/>
    <s v="Warehouse B"/>
    <d v="2023-09-17T00:00:00"/>
    <d v="2023-12-09T00:00:00"/>
    <s v="Discontinued"/>
  </r>
  <r>
    <x v="11"/>
    <x v="2"/>
    <n v="12"/>
    <n v="88"/>
    <x v="0"/>
    <x v="0"/>
    <n v="342.56"/>
    <s v="Warehouse A"/>
    <d v="2023-08-13T00:00:00"/>
    <d v="2023-10-08T00:00:00"/>
    <m/>
  </r>
  <r>
    <x v="16"/>
    <x v="2"/>
    <n v="94"/>
    <n v="96"/>
    <x v="0"/>
    <x v="0"/>
    <n v="463.94"/>
    <s v="Warehouse C"/>
    <d v="2023-08-04T00:00:00"/>
    <d v="2023-09-17T00:00:00"/>
    <m/>
  </r>
  <r>
    <x v="33"/>
    <x v="3"/>
    <n v="0"/>
    <n v="96"/>
    <x v="0"/>
    <x v="0"/>
    <n v="245.08"/>
    <s v="Warehouse C"/>
    <d v="2023-11-06T00:00:00"/>
    <d v="2024-01-03T00:00:00"/>
    <m/>
  </r>
  <r>
    <x v="30"/>
    <x v="3"/>
    <n v="43"/>
    <n v="75"/>
    <x v="0"/>
    <x v="2"/>
    <n v="286.41000000000003"/>
    <s v="Warehouse B"/>
    <d v="2023-07-13T00:00:00"/>
    <d v="2023-09-03T00:00:00"/>
    <m/>
  </r>
  <r>
    <x v="28"/>
    <x v="2"/>
    <n v="64"/>
    <n v="88"/>
    <x v="0"/>
    <x v="0"/>
    <n v="196.02"/>
    <s v="Warehouse C"/>
    <d v="2023-02-07T00:00:00"/>
    <d v="2023-03-13T00:00:00"/>
    <s v="High demand"/>
  </r>
  <r>
    <x v="41"/>
    <x v="3"/>
    <n v="44"/>
    <n v="53"/>
    <x v="0"/>
    <x v="0"/>
    <n v="29.73"/>
    <s v="Warehouse B"/>
    <d v="2023-05-09T00:00:00"/>
    <d v="2023-08-04T00:00:00"/>
    <s v="Discontinued"/>
  </r>
  <r>
    <x v="6"/>
    <x v="0"/>
    <n v="0"/>
    <n v="47"/>
    <x v="0"/>
    <x v="1"/>
    <n v="10.33"/>
    <s v="Warehouse B"/>
    <d v="2023-01-18T00:00:00"/>
    <d v="2023-02-03T00:00:00"/>
    <s v="Discontinued"/>
  </r>
  <r>
    <x v="2"/>
    <x v="1"/>
    <n v="84"/>
    <n v="91"/>
    <x v="0"/>
    <x v="2"/>
    <n v="217.17"/>
    <s v="Warehouse C"/>
    <d v="2023-04-11T00:00:00"/>
    <d v="2023-06-19T00:00:00"/>
    <s v="Pending Coastal Logistics Partnersonfirmation"/>
  </r>
  <r>
    <x v="33"/>
    <x v="0"/>
    <n v="28"/>
    <n v="41"/>
    <x v="0"/>
    <x v="2"/>
    <n v="54.23"/>
    <s v="Warehouse C"/>
    <d v="2023-07-12T00:00:00"/>
    <d v="2023-09-22T00:00:00"/>
    <s v="Pending Coastal Logistics Partnersonfirmation"/>
  </r>
  <r>
    <x v="42"/>
    <x v="3"/>
    <n v="61"/>
    <n v="96"/>
    <x v="0"/>
    <x v="0"/>
    <n v="77.59"/>
    <s v="Warehouse A"/>
    <d v="2023-12-28T00:00:00"/>
    <d v="2024-03-26T00:00:00"/>
    <s v="Discontinued"/>
  </r>
  <r>
    <x v="16"/>
    <x v="1"/>
    <n v="6"/>
    <n v="52"/>
    <x v="0"/>
    <x v="0"/>
    <n v="341.93"/>
    <s v="Warehouse B"/>
    <d v="2023-04-26T00:00:00"/>
    <d v="2023-06-26T00:00:00"/>
    <s v="High demand"/>
  </r>
  <r>
    <x v="15"/>
    <x v="1"/>
    <n v="51"/>
    <n v="82"/>
    <x v="0"/>
    <x v="1"/>
    <n v="411.01"/>
    <s v="Warehouse A"/>
    <d v="2023-11-28T00:00:00"/>
    <d v="2024-01-28T00:00:00"/>
    <s v="Pending Coastal Logistics Partnersonfirmation"/>
  </r>
  <r>
    <x v="20"/>
    <x v="2"/>
    <n v="48"/>
    <n v="60"/>
    <x v="0"/>
    <x v="0"/>
    <n v="157.24"/>
    <s v="Warehouse A"/>
    <d v="2023-09-22T00:00:00"/>
    <d v="2023-10-10T00:00:00"/>
    <s v="Discontinued"/>
  </r>
  <r>
    <x v="36"/>
    <x v="0"/>
    <n v="25"/>
    <n v="83"/>
    <x v="0"/>
    <x v="2"/>
    <n v="257"/>
    <s v="Warehouse B"/>
    <d v="2023-07-15T00:00:00"/>
    <d v="2023-09-22T00:00:00"/>
    <m/>
  </r>
  <r>
    <x v="10"/>
    <x v="0"/>
    <n v="3"/>
    <n v="22"/>
    <x v="0"/>
    <x v="2"/>
    <n v="156.16999999999999"/>
    <s v="Warehouse C"/>
    <d v="2023-07-03T00:00:00"/>
    <d v="2023-08-07T00:00:00"/>
    <s v="High demand"/>
  </r>
  <r>
    <x v="20"/>
    <x v="4"/>
    <n v="11"/>
    <n v="37"/>
    <x v="0"/>
    <x v="1"/>
    <n v="184.56"/>
    <s v="Warehouse B"/>
    <d v="2023-10-27T00:00:00"/>
    <d v="2024-01-04T00:00:00"/>
    <m/>
  </r>
  <r>
    <x v="4"/>
    <x v="4"/>
    <n v="11"/>
    <n v="86"/>
    <x v="0"/>
    <x v="0"/>
    <n v="339.04"/>
    <s v="Warehouse A"/>
    <d v="2023-07-20T00:00:00"/>
    <d v="2023-08-13T00:00:00"/>
    <s v="Discontinued"/>
  </r>
  <r>
    <x v="10"/>
    <x v="0"/>
    <n v="9"/>
    <n v="53"/>
    <x v="0"/>
    <x v="2"/>
    <n v="37.619999999999997"/>
    <s v="Warehouse A"/>
    <d v="2023-10-12T00:00:00"/>
    <d v="2023-11-20T00:00:00"/>
    <m/>
  </r>
  <r>
    <x v="18"/>
    <x v="1"/>
    <n v="23"/>
    <n v="67"/>
    <x v="0"/>
    <x v="2"/>
    <n v="425.32"/>
    <s v="Warehouse C"/>
    <d v="2023-02-08T00:00:00"/>
    <d v="2023-04-22T00:00:00"/>
    <s v="Discontinued"/>
  </r>
  <r>
    <x v="19"/>
    <x v="2"/>
    <n v="51"/>
    <n v="53"/>
    <x v="0"/>
    <x v="2"/>
    <n v="58.02"/>
    <s v="Warehouse C"/>
    <d v="2023-04-23T00:00:00"/>
    <d v="2023-06-13T00:00:00"/>
    <s v="Pending Coastal Logistics Partnersonfirmation"/>
  </r>
  <r>
    <x v="16"/>
    <x v="0"/>
    <n v="36"/>
    <n v="96"/>
    <x v="0"/>
    <x v="2"/>
    <n v="40.29"/>
    <s v="Warehouse C"/>
    <d v="2023-07-08T00:00:00"/>
    <d v="2023-08-30T00:00:00"/>
    <s v="Discontinued"/>
  </r>
  <r>
    <x v="0"/>
    <x v="0"/>
    <n v="26"/>
    <n v="54"/>
    <x v="0"/>
    <x v="2"/>
    <n v="499.55"/>
    <s v="Warehouse B"/>
    <d v="2023-11-28T00:00:00"/>
    <d v="2024-02-11T00:00:00"/>
    <s v="Pending Coastal Logistics Partnersonfirmation"/>
  </r>
  <r>
    <x v="14"/>
    <x v="4"/>
    <n v="14"/>
    <n v="53"/>
    <x v="0"/>
    <x v="2"/>
    <n v="316.66000000000003"/>
    <s v="Warehouse C"/>
    <d v="2023-12-02T00:00:00"/>
    <d v="2024-02-02T00:00:00"/>
    <s v="High demand"/>
  </r>
  <r>
    <x v="6"/>
    <x v="1"/>
    <n v="54"/>
    <n v="62"/>
    <x v="0"/>
    <x v="0"/>
    <n v="131.75"/>
    <s v="Warehouse B"/>
    <d v="2023-05-02T00:00:00"/>
    <d v="2023-06-06T00:00:00"/>
    <s v="Pending Coastal Logistics Partnersonfirmation"/>
  </r>
  <r>
    <x v="43"/>
    <x v="1"/>
    <n v="39"/>
    <n v="62"/>
    <x v="0"/>
    <x v="1"/>
    <n v="416.19"/>
    <s v="Warehouse B"/>
    <d v="2023-12-06T00:00:00"/>
    <d v="2023-12-31T00:00:00"/>
    <s v="Discontinued"/>
  </r>
  <r>
    <x v="44"/>
    <x v="1"/>
    <n v="6"/>
    <n v="53"/>
    <x v="0"/>
    <x v="2"/>
    <n v="455.83"/>
    <s v="Warehouse B"/>
    <d v="2023-02-26T00:00:00"/>
    <d v="2023-03-14T00:00:00"/>
    <s v="Discontinued"/>
  </r>
  <r>
    <x v="19"/>
    <x v="3"/>
    <n v="85"/>
    <n v="97"/>
    <x v="0"/>
    <x v="2"/>
    <n v="496.91"/>
    <s v="Warehouse C"/>
    <d v="2023-04-20T00:00:00"/>
    <d v="2023-07-02T00:00:00"/>
    <s v="Pending Coastal Logistics Partnersonfirmation"/>
  </r>
  <r>
    <x v="7"/>
    <x v="1"/>
    <n v="81"/>
    <n v="84"/>
    <x v="0"/>
    <x v="2"/>
    <n v="175.65"/>
    <s v="Warehouse B"/>
    <d v="2023-03-23T00:00:00"/>
    <d v="2023-06-05T00:00:00"/>
    <s v="Discontinued"/>
  </r>
  <r>
    <x v="45"/>
    <x v="3"/>
    <n v="66"/>
    <n v="90"/>
    <x v="0"/>
    <x v="0"/>
    <n v="16.88"/>
    <s v="Warehouse A"/>
    <d v="2023-07-13T00:00:00"/>
    <d v="2023-08-15T00:00:00"/>
    <s v="High demand"/>
  </r>
  <r>
    <x v="23"/>
    <x v="4"/>
    <n v="22"/>
    <n v="38"/>
    <x v="0"/>
    <x v="1"/>
    <n v="480.48"/>
    <s v="Warehouse C"/>
    <d v="2023-06-29T00:00:00"/>
    <d v="2023-08-03T00:00:00"/>
    <m/>
  </r>
  <r>
    <x v="26"/>
    <x v="2"/>
    <n v="21"/>
    <n v="40"/>
    <x v="0"/>
    <x v="2"/>
    <n v="305.08999999999997"/>
    <s v="Warehouse B"/>
    <d v="2023-05-03T00:00:00"/>
    <d v="2023-06-25T00:00:00"/>
    <m/>
  </r>
  <r>
    <x v="31"/>
    <x v="2"/>
    <n v="22"/>
    <n v="84"/>
    <x v="0"/>
    <x v="2"/>
    <n v="454.05"/>
    <s v="Warehouse B"/>
    <d v="2023-09-22T00:00:00"/>
    <d v="2023-12-15T00:00:00"/>
    <s v="High demand"/>
  </r>
  <r>
    <x v="27"/>
    <x v="1"/>
    <n v="47"/>
    <n v="63"/>
    <x v="0"/>
    <x v="0"/>
    <n v="337.9"/>
    <s v="Warehouse A"/>
    <d v="2023-10-01T00:00:00"/>
    <d v="2023-10-22T00:00:00"/>
    <s v="High demand"/>
  </r>
  <r>
    <x v="19"/>
    <x v="3"/>
    <n v="80"/>
    <n v="99"/>
    <x v="0"/>
    <x v="0"/>
    <n v="376.87"/>
    <s v="Warehouse B"/>
    <d v="2023-04-04T00:00:00"/>
    <d v="2023-04-28T00:00:00"/>
    <s v="High demand"/>
  </r>
  <r>
    <x v="40"/>
    <x v="2"/>
    <n v="23"/>
    <n v="37"/>
    <x v="0"/>
    <x v="1"/>
    <n v="277.08999999999997"/>
    <s v="Warehouse C"/>
    <d v="2023-09-25T00:00:00"/>
    <d v="2023-12-04T00:00:00"/>
    <s v="Discontinued"/>
  </r>
  <r>
    <x v="43"/>
    <x v="3"/>
    <n v="30"/>
    <n v="95"/>
    <x v="0"/>
    <x v="0"/>
    <n v="213.98"/>
    <s v="Warehouse A"/>
    <d v="2023-03-30T00:00:00"/>
    <d v="2023-05-05T00:00:00"/>
    <s v="Discontinued"/>
  </r>
  <r>
    <x v="35"/>
    <x v="1"/>
    <n v="44"/>
    <n v="97"/>
    <x v="0"/>
    <x v="0"/>
    <n v="106.6"/>
    <s v="Warehouse C"/>
    <d v="2023-06-03T00:00:00"/>
    <d v="2023-06-19T00:00:00"/>
    <m/>
  </r>
  <r>
    <x v="15"/>
    <x v="4"/>
    <n v="58"/>
    <n v="75"/>
    <x v="0"/>
    <x v="0"/>
    <n v="442.98"/>
    <s v="Warehouse A"/>
    <d v="2023-05-29T00:00:00"/>
    <d v="2023-07-08T00:00:00"/>
    <s v="Pending Coastal Logistics Partnersonfirmation"/>
  </r>
  <r>
    <x v="7"/>
    <x v="3"/>
    <n v="37"/>
    <n v="85"/>
    <x v="0"/>
    <x v="0"/>
    <n v="197.27"/>
    <s v="Warehouse A"/>
    <d v="2023-07-09T00:00:00"/>
    <d v="2023-09-11T00:00:00"/>
    <m/>
  </r>
  <r>
    <x v="28"/>
    <x v="2"/>
    <n v="7"/>
    <n v="28"/>
    <x v="0"/>
    <x v="2"/>
    <n v="383.1"/>
    <s v="Warehouse C"/>
    <d v="2023-02-09T00:00:00"/>
    <d v="2023-03-16T00:00:00"/>
    <s v="Pending Coastal Logistics Partnersonfirmation"/>
  </r>
  <r>
    <x v="24"/>
    <x v="1"/>
    <n v="83"/>
    <n v="97"/>
    <x v="0"/>
    <x v="1"/>
    <n v="281.25"/>
    <s v="Warehouse A"/>
    <d v="2023-05-19T00:00:00"/>
    <d v="2023-06-21T00:00:00"/>
    <s v="Pending Coastal Logistics Partnersonfirmation"/>
  </r>
  <r>
    <x v="12"/>
    <x v="4"/>
    <n v="66"/>
    <n v="97"/>
    <x v="0"/>
    <x v="1"/>
    <n v="314.57"/>
    <s v="Warehouse C"/>
    <d v="2023-02-10T00:00:00"/>
    <d v="2023-04-29T00:00:00"/>
    <m/>
  </r>
  <r>
    <x v="3"/>
    <x v="4"/>
    <n v="1"/>
    <n v="49"/>
    <x v="0"/>
    <x v="0"/>
    <n v="203.89"/>
    <s v="Warehouse A"/>
    <d v="2023-06-11T00:00:00"/>
    <d v="2023-08-05T00:00:00"/>
    <s v="Pending Coastal Logistics Partnersonfirmation"/>
  </r>
  <r>
    <x v="16"/>
    <x v="1"/>
    <n v="59"/>
    <n v="70"/>
    <x v="0"/>
    <x v="2"/>
    <n v="213.83"/>
    <s v="Warehouse C"/>
    <d v="2023-12-27T00:00:00"/>
    <d v="2024-01-28T00:00:00"/>
    <s v="High demand"/>
  </r>
  <r>
    <x v="7"/>
    <x v="2"/>
    <n v="1"/>
    <n v="60"/>
    <x v="0"/>
    <x v="0"/>
    <n v="494.53"/>
    <s v="Warehouse C"/>
    <d v="2023-07-23T00:00:00"/>
    <d v="2023-09-13T00:00:00"/>
    <s v="High demand"/>
  </r>
  <r>
    <x v="40"/>
    <x v="3"/>
    <n v="36"/>
    <n v="84"/>
    <x v="0"/>
    <x v="0"/>
    <n v="221.22"/>
    <s v="Warehouse C"/>
    <d v="2023-01-30T00:00:00"/>
    <d v="2023-03-18T00:00:00"/>
    <s v="Pending Coastal Logistics Partnersonfirmation"/>
  </r>
  <r>
    <x v="41"/>
    <x v="1"/>
    <n v="41"/>
    <n v="89"/>
    <x v="0"/>
    <x v="2"/>
    <n v="64.55"/>
    <s v="Warehouse A"/>
    <d v="2023-07-28T00:00:00"/>
    <d v="2023-10-07T00:00:00"/>
    <m/>
  </r>
  <r>
    <x v="24"/>
    <x v="0"/>
    <n v="18"/>
    <n v="33"/>
    <x v="0"/>
    <x v="1"/>
    <n v="283.83"/>
    <s v="Warehouse A"/>
    <d v="2023-10-12T00:00:00"/>
    <d v="2023-11-28T00:00:00"/>
    <s v="Discontinued"/>
  </r>
  <r>
    <x v="17"/>
    <x v="2"/>
    <n v="4"/>
    <n v="89"/>
    <x v="0"/>
    <x v="2"/>
    <n v="5.68"/>
    <s v="Warehouse B"/>
    <d v="2023-11-19T00:00:00"/>
    <d v="2023-12-22T00:00:00"/>
    <m/>
  </r>
  <r>
    <x v="37"/>
    <x v="3"/>
    <n v="58"/>
    <n v="84"/>
    <x v="0"/>
    <x v="0"/>
    <n v="274.37"/>
    <s v="Warehouse C"/>
    <d v="2023-07-14T00:00:00"/>
    <d v="2023-09-24T00:00:00"/>
    <s v="Pending Coastal Logistics Partnersonfirmation"/>
  </r>
  <r>
    <x v="38"/>
    <x v="4"/>
    <n v="28"/>
    <n v="61"/>
    <x v="0"/>
    <x v="0"/>
    <n v="184.79"/>
    <s v="Warehouse B"/>
    <d v="2023-12-05T00:00:00"/>
    <d v="2024-02-19T00:00:00"/>
    <m/>
  </r>
  <r>
    <x v="22"/>
    <x v="1"/>
    <n v="63"/>
    <n v="67"/>
    <x v="0"/>
    <x v="1"/>
    <n v="156.86000000000001"/>
    <s v="Warehouse A"/>
    <d v="2023-10-11T00:00:00"/>
    <d v="2023-11-08T00:00:00"/>
    <m/>
  </r>
  <r>
    <x v="8"/>
    <x v="4"/>
    <n v="13"/>
    <n v="79"/>
    <x v="0"/>
    <x v="2"/>
    <n v="264.29000000000002"/>
    <s v="Warehouse C"/>
    <d v="2023-12-04T00:00:00"/>
    <d v="2023-12-22T00:00:00"/>
    <s v="Discontinued"/>
  </r>
  <r>
    <x v="2"/>
    <x v="4"/>
    <n v="82"/>
    <n v="97"/>
    <x v="0"/>
    <x v="2"/>
    <n v="331.65"/>
    <s v="Warehouse B"/>
    <d v="2023-03-23T00:00:00"/>
    <d v="2023-06-07T00:00:00"/>
    <s v="Discontinued"/>
  </r>
  <r>
    <x v="30"/>
    <x v="4"/>
    <n v="76"/>
    <n v="83"/>
    <x v="0"/>
    <x v="2"/>
    <n v="458.77"/>
    <s v="Warehouse A"/>
    <d v="2023-05-09T00:00:00"/>
    <d v="2023-07-09T00:00:00"/>
    <s v="Discontinued"/>
  </r>
  <r>
    <x v="31"/>
    <x v="0"/>
    <n v="53"/>
    <n v="93"/>
    <x v="0"/>
    <x v="2"/>
    <n v="319.08"/>
    <s v="Warehouse B"/>
    <d v="2023-08-11T00:00:00"/>
    <d v="2023-09-15T00:00:00"/>
    <s v="High demand"/>
  </r>
  <r>
    <x v="39"/>
    <x v="4"/>
    <n v="23"/>
    <n v="43"/>
    <x v="0"/>
    <x v="2"/>
    <n v="264.89999999999998"/>
    <s v="Warehouse C"/>
    <d v="2023-11-15T00:00:00"/>
    <d v="2024-02-12T00:00:00"/>
    <s v="Pending Coastal Logistics Partnersonfirmation"/>
  </r>
  <r>
    <x v="46"/>
    <x v="2"/>
    <n v="2"/>
    <n v="20"/>
    <x v="0"/>
    <x v="1"/>
    <n v="429.8"/>
    <s v="Warehouse C"/>
    <d v="2023-09-19T00:00:00"/>
    <d v="2023-12-08T00:00:00"/>
    <s v="High demand"/>
  </r>
  <r>
    <x v="34"/>
    <x v="1"/>
    <n v="44"/>
    <n v="94"/>
    <x v="0"/>
    <x v="2"/>
    <n v="338.15"/>
    <s v="Warehouse B"/>
    <d v="2023-06-06T00:00:00"/>
    <d v="2023-08-13T00:00:00"/>
    <s v="High demand"/>
  </r>
  <r>
    <x v="18"/>
    <x v="0"/>
    <n v="39"/>
    <n v="43"/>
    <x v="0"/>
    <x v="1"/>
    <n v="482.67"/>
    <s v="Warehouse B"/>
    <d v="2023-01-14T00:00:00"/>
    <d v="2023-03-25T00:00:00"/>
    <s v="Discontinued"/>
  </r>
  <r>
    <x v="5"/>
    <x v="1"/>
    <n v="22"/>
    <n v="39"/>
    <x v="0"/>
    <x v="1"/>
    <n v="118.83"/>
    <s v="Warehouse B"/>
    <d v="2023-09-17T00:00:00"/>
    <d v="2023-10-07T00:00:00"/>
    <s v="Pending Coastal Logistics Partnersonfirmation"/>
  </r>
  <r>
    <x v="40"/>
    <x v="0"/>
    <n v="0"/>
    <n v="37"/>
    <x v="0"/>
    <x v="2"/>
    <n v="188.04"/>
    <s v="Warehouse B"/>
    <d v="2023-12-20T00:00:00"/>
    <d v="2024-02-15T00:00:00"/>
    <m/>
  </r>
  <r>
    <x v="18"/>
    <x v="1"/>
    <n v="7"/>
    <n v="74"/>
    <x v="0"/>
    <x v="0"/>
    <n v="127.4"/>
    <s v="Warehouse B"/>
    <d v="2023-10-17T00:00:00"/>
    <d v="2023-11-17T00:00:00"/>
    <s v="Pending Coastal Logistics Partnersonfirmation"/>
  </r>
  <r>
    <x v="30"/>
    <x v="1"/>
    <n v="74"/>
    <n v="93"/>
    <x v="0"/>
    <x v="2"/>
    <n v="148.30000000000001"/>
    <s v="Warehouse C"/>
    <d v="2023-05-05T00:00:00"/>
    <d v="2023-05-23T00:00:00"/>
    <s v="Pending Coastal Logistics Partnersonfirmation"/>
  </r>
  <r>
    <x v="11"/>
    <x v="4"/>
    <n v="9"/>
    <n v="60"/>
    <x v="0"/>
    <x v="1"/>
    <n v="36.35"/>
    <s v="Warehouse A"/>
    <d v="2023-08-18T00:00:00"/>
    <d v="2023-10-28T00:00:00"/>
    <s v="Discontinued"/>
  </r>
  <r>
    <x v="7"/>
    <x v="0"/>
    <n v="45"/>
    <n v="81"/>
    <x v="0"/>
    <x v="2"/>
    <n v="214.37"/>
    <s v="Warehouse A"/>
    <d v="2023-10-08T00:00:00"/>
    <d v="2023-11-12T00:00:00"/>
    <s v="Pending Coastal Logistics Partnersonfirmation"/>
  </r>
  <r>
    <x v="43"/>
    <x v="0"/>
    <n v="80"/>
    <n v="93"/>
    <x v="0"/>
    <x v="0"/>
    <n v="411.48"/>
    <s v="Warehouse B"/>
    <d v="2023-10-06T00:00:00"/>
    <d v="2023-11-23T00:00:00"/>
    <s v="Pending Coastal Logistics Partnersonfirmation"/>
  </r>
  <r>
    <x v="13"/>
    <x v="0"/>
    <n v="33"/>
    <n v="42"/>
    <x v="0"/>
    <x v="1"/>
    <n v="52.71"/>
    <s v="Warehouse A"/>
    <d v="2023-05-03T00:00:00"/>
    <d v="2023-07-02T00:00:00"/>
    <s v="High demand"/>
  </r>
  <r>
    <x v="47"/>
    <x v="4"/>
    <n v="3"/>
    <n v="26"/>
    <x v="0"/>
    <x v="0"/>
    <n v="365.66"/>
    <s v="Warehouse B"/>
    <d v="2023-11-01T00:00:00"/>
    <d v="2023-11-30T00:00:00"/>
    <m/>
  </r>
  <r>
    <x v="12"/>
    <x v="1"/>
    <n v="81"/>
    <n v="95"/>
    <x v="0"/>
    <x v="0"/>
    <n v="375.62"/>
    <s v="Warehouse A"/>
    <d v="2023-07-02T00:00:00"/>
    <d v="2023-08-21T00:00:00"/>
    <s v="High demand"/>
  </r>
  <r>
    <x v="3"/>
    <x v="4"/>
    <n v="37"/>
    <n v="52"/>
    <x v="0"/>
    <x v="0"/>
    <n v="491.16"/>
    <s v="Warehouse A"/>
    <d v="2023-01-25T00:00:00"/>
    <d v="2023-04-21T00:00:00"/>
    <s v="Discontinued"/>
  </r>
  <r>
    <x v="24"/>
    <x v="0"/>
    <n v="24"/>
    <n v="77"/>
    <x v="0"/>
    <x v="1"/>
    <n v="161.91999999999999"/>
    <s v="Warehouse A"/>
    <d v="2023-03-18T00:00:00"/>
    <d v="2023-05-23T00:00:00"/>
    <m/>
  </r>
  <r>
    <x v="22"/>
    <x v="3"/>
    <n v="16"/>
    <n v="88"/>
    <x v="0"/>
    <x v="1"/>
    <n v="186.8"/>
    <s v="Warehouse C"/>
    <d v="2023-12-18T00:00:00"/>
    <d v="2024-01-19T00:00:00"/>
    <s v="Pending Coastal Logistics Partnersonfirmation"/>
  </r>
  <r>
    <x v="40"/>
    <x v="3"/>
    <n v="25"/>
    <n v="86"/>
    <x v="0"/>
    <x v="2"/>
    <n v="100.27"/>
    <s v="Warehouse C"/>
    <d v="2023-09-05T00:00:00"/>
    <d v="2023-11-04T00:00:00"/>
    <s v="Discontinued"/>
  </r>
  <r>
    <x v="35"/>
    <x v="4"/>
    <n v="40"/>
    <n v="80"/>
    <x v="0"/>
    <x v="2"/>
    <n v="116.33"/>
    <s v="Warehouse C"/>
    <d v="2023-05-21T00:00:00"/>
    <d v="2023-06-26T00:00:00"/>
    <s v="Discontinued"/>
  </r>
  <r>
    <x v="6"/>
    <x v="1"/>
    <n v="56"/>
    <n v="77"/>
    <x v="0"/>
    <x v="2"/>
    <n v="297.51"/>
    <s v="Warehouse C"/>
    <d v="2023-09-24T00:00:00"/>
    <d v="2023-12-17T00:00:00"/>
    <s v="High demand"/>
  </r>
  <r>
    <x v="26"/>
    <x v="2"/>
    <n v="19"/>
    <n v="52"/>
    <x v="0"/>
    <x v="1"/>
    <n v="453.31"/>
    <s v="Warehouse C"/>
    <d v="2023-09-27T00:00:00"/>
    <d v="2023-11-25T00:00:00"/>
    <s v="Discontinued"/>
  </r>
  <r>
    <x v="14"/>
    <x v="2"/>
    <n v="47"/>
    <n v="78"/>
    <x v="0"/>
    <x v="2"/>
    <n v="431"/>
    <s v="Warehouse C"/>
    <d v="2023-05-08T00:00:00"/>
    <d v="2023-07-04T00:00:00"/>
    <s v="Pending Coastal Logistics Partnersonfirmation"/>
  </r>
  <r>
    <x v="19"/>
    <x v="4"/>
    <n v="5"/>
    <n v="77"/>
    <x v="0"/>
    <x v="1"/>
    <n v="37.74"/>
    <s v="Warehouse C"/>
    <d v="2023-08-18T00:00:00"/>
    <d v="2023-10-10T00:00:00"/>
    <s v="Discontinued"/>
  </r>
  <r>
    <x v="37"/>
    <x v="4"/>
    <n v="9"/>
    <n v="39"/>
    <x v="0"/>
    <x v="2"/>
    <n v="100.74"/>
    <s v="Warehouse B"/>
    <d v="2023-06-10T00:00:00"/>
    <d v="2023-07-10T00:00:00"/>
    <s v="Discontinued"/>
  </r>
  <r>
    <x v="9"/>
    <x v="0"/>
    <n v="53"/>
    <n v="72"/>
    <x v="0"/>
    <x v="1"/>
    <n v="472.46"/>
    <s v="Warehouse C"/>
    <d v="2023-06-23T00:00:00"/>
    <d v="2023-08-06T00:00:00"/>
    <s v="High demand"/>
  </r>
  <r>
    <x v="8"/>
    <x v="0"/>
    <n v="5"/>
    <n v="39"/>
    <x v="0"/>
    <x v="1"/>
    <n v="150.83000000000001"/>
    <s v="Warehouse A"/>
    <d v="2023-08-31T00:00:00"/>
    <d v="2023-09-27T00:00:00"/>
    <m/>
  </r>
  <r>
    <x v="48"/>
    <x v="1"/>
    <n v="11"/>
    <n v="62"/>
    <x v="0"/>
    <x v="2"/>
    <n v="364.11"/>
    <s v="Warehouse C"/>
    <d v="2023-01-25T00:00:00"/>
    <d v="2023-03-21T00:00:00"/>
    <s v="Discontinued"/>
  </r>
  <r>
    <x v="39"/>
    <x v="1"/>
    <n v="38"/>
    <n v="61"/>
    <x v="0"/>
    <x v="1"/>
    <n v="72.66"/>
    <s v="Warehouse A"/>
    <d v="2023-12-09T00:00:00"/>
    <d v="2024-03-06T00:00:00"/>
    <m/>
  </r>
  <r>
    <x v="42"/>
    <x v="0"/>
    <n v="33"/>
    <n v="36"/>
    <x v="0"/>
    <x v="0"/>
    <n v="187.22"/>
    <s v="Warehouse A"/>
    <d v="2023-10-16T00:00:00"/>
    <d v="2023-12-11T00:00:00"/>
    <s v="Pending Coastal Logistics Partnersonfirmation"/>
  </r>
  <r>
    <x v="43"/>
    <x v="2"/>
    <n v="97"/>
    <n v="99"/>
    <x v="0"/>
    <x v="1"/>
    <n v="299.08"/>
    <s v="Warehouse C"/>
    <d v="2023-01-10T00:00:00"/>
    <d v="2023-04-01T00:00:00"/>
    <m/>
  </r>
  <r>
    <x v="19"/>
    <x v="0"/>
    <n v="62"/>
    <n v="69"/>
    <x v="0"/>
    <x v="2"/>
    <n v="324.61"/>
    <s v="Warehouse B"/>
    <d v="2023-07-07T00:00:00"/>
    <d v="2023-08-13T00:00:00"/>
    <m/>
  </r>
  <r>
    <x v="1"/>
    <x v="1"/>
    <n v="64"/>
    <n v="82"/>
    <x v="0"/>
    <x v="1"/>
    <n v="392.29"/>
    <s v="Warehouse B"/>
    <d v="2023-06-26T00:00:00"/>
    <d v="2023-08-18T00:00:00"/>
    <s v="Pending Coastal Logistics Partnersonfirmation"/>
  </r>
  <r>
    <x v="7"/>
    <x v="1"/>
    <n v="1"/>
    <n v="54"/>
    <x v="0"/>
    <x v="0"/>
    <n v="329.37"/>
    <s v="Warehouse C"/>
    <d v="2023-07-17T00:00:00"/>
    <d v="2023-08-10T00:00:00"/>
    <m/>
  </r>
  <r>
    <x v="45"/>
    <x v="0"/>
    <n v="13"/>
    <n v="25"/>
    <x v="0"/>
    <x v="2"/>
    <n v="330.36"/>
    <s v="Warehouse B"/>
    <d v="2023-05-30T00:00:00"/>
    <d v="2023-08-02T00:00:00"/>
    <s v="High demand"/>
  </r>
  <r>
    <x v="2"/>
    <x v="1"/>
    <n v="39"/>
    <n v="50"/>
    <x v="0"/>
    <x v="0"/>
    <n v="487.12"/>
    <s v="Warehouse B"/>
    <d v="2023-08-31T00:00:00"/>
    <d v="2023-10-19T00:00:00"/>
    <s v="High demand"/>
  </r>
  <r>
    <x v="23"/>
    <x v="3"/>
    <n v="20"/>
    <n v="74"/>
    <x v="0"/>
    <x v="0"/>
    <n v="257.12"/>
    <s v="Warehouse C"/>
    <d v="2023-10-28T00:00:00"/>
    <d v="2023-12-11T00:00:00"/>
    <s v="Discontinued"/>
  </r>
  <r>
    <x v="8"/>
    <x v="1"/>
    <n v="15"/>
    <n v="66"/>
    <x v="0"/>
    <x v="1"/>
    <n v="76.87"/>
    <s v="Warehouse C"/>
    <d v="2023-07-07T00:00:00"/>
    <d v="2023-08-16T00:00:00"/>
    <s v="Discontinued"/>
  </r>
  <r>
    <x v="10"/>
    <x v="1"/>
    <n v="47"/>
    <n v="56"/>
    <x v="0"/>
    <x v="2"/>
    <n v="353.47"/>
    <s v="Warehouse A"/>
    <d v="2023-02-11T00:00:00"/>
    <d v="2023-03-14T00:00:00"/>
    <s v="High demand"/>
  </r>
  <r>
    <x v="40"/>
    <x v="3"/>
    <n v="54"/>
    <n v="97"/>
    <x v="0"/>
    <x v="0"/>
    <n v="465.04"/>
    <s v="Warehouse A"/>
    <d v="2023-08-21T00:00:00"/>
    <d v="2023-09-18T00:00:00"/>
    <s v="High demand"/>
  </r>
  <r>
    <x v="22"/>
    <x v="0"/>
    <n v="61"/>
    <n v="82"/>
    <x v="0"/>
    <x v="1"/>
    <n v="241.96"/>
    <s v="Warehouse B"/>
    <d v="2023-01-26T00:00:00"/>
    <d v="2023-02-15T00:00:00"/>
    <s v="Pending Coastal Logistics Partnersonfirmation"/>
  </r>
  <r>
    <x v="17"/>
    <x v="1"/>
    <n v="22"/>
    <n v="92"/>
    <x v="0"/>
    <x v="0"/>
    <n v="400.69"/>
    <s v="Warehouse A"/>
    <d v="2023-03-14T00:00:00"/>
    <d v="2023-06-11T00:00:00"/>
    <s v="Pending Coastal Logistics Partnersonfirmation"/>
  </r>
  <r>
    <x v="4"/>
    <x v="0"/>
    <n v="38"/>
    <n v="53"/>
    <x v="0"/>
    <x v="2"/>
    <n v="138.38"/>
    <s v="Warehouse B"/>
    <d v="2023-01-31T00:00:00"/>
    <d v="2023-02-22T00:00:00"/>
    <s v="Discontinued"/>
  </r>
  <r>
    <x v="18"/>
    <x v="0"/>
    <n v="13"/>
    <n v="20"/>
    <x v="0"/>
    <x v="0"/>
    <n v="442.84"/>
    <s v="Warehouse C"/>
    <d v="2023-01-29T00:00:00"/>
    <d v="2023-04-28T00:00:00"/>
    <s v="Pending Coastal Logistics Partnersonfirmation"/>
  </r>
  <r>
    <x v="11"/>
    <x v="3"/>
    <n v="54"/>
    <n v="81"/>
    <x v="0"/>
    <x v="1"/>
    <n v="263.95"/>
    <s v="Warehouse A"/>
    <d v="2023-12-07T00:00:00"/>
    <d v="2023-12-30T00:00:00"/>
    <s v="Pending Coastal Logistics Partnersonfirmation"/>
  </r>
  <r>
    <x v="11"/>
    <x v="3"/>
    <n v="19"/>
    <n v="30"/>
    <x v="0"/>
    <x v="2"/>
    <n v="24.25"/>
    <s v="Warehouse A"/>
    <d v="2023-06-27T00:00:00"/>
    <d v="2023-07-31T00:00:00"/>
    <s v="Pending Coastal Logistics Partnersonfirmation"/>
  </r>
  <r>
    <x v="49"/>
    <x v="4"/>
    <n v="6"/>
    <n v="96"/>
    <x v="0"/>
    <x v="0"/>
    <n v="224.21"/>
    <s v="Warehouse C"/>
    <d v="2023-01-20T00:00:00"/>
    <d v="2023-03-04T00:00:00"/>
    <s v="Pending Coastal Logistics Partnersonfirmation"/>
  </r>
  <r>
    <x v="37"/>
    <x v="0"/>
    <n v="0"/>
    <n v="44"/>
    <x v="0"/>
    <x v="2"/>
    <n v="104.39"/>
    <s v="Warehouse A"/>
    <d v="2023-12-16T00:00:00"/>
    <d v="2024-01-30T00:00:00"/>
    <m/>
  </r>
  <r>
    <x v="23"/>
    <x v="3"/>
    <n v="3"/>
    <n v="65"/>
    <x v="0"/>
    <x v="2"/>
    <n v="418.9"/>
    <s v="Warehouse A"/>
    <d v="2023-03-13T00:00:00"/>
    <d v="2023-04-06T00:00:00"/>
    <s v="Discontinued"/>
  </r>
  <r>
    <x v="37"/>
    <x v="3"/>
    <n v="17"/>
    <n v="36"/>
    <x v="0"/>
    <x v="2"/>
    <n v="92.61"/>
    <s v="Warehouse C"/>
    <d v="2023-09-17T00:00:00"/>
    <d v="2023-10-03T00:00:00"/>
    <s v="High demand"/>
  </r>
  <r>
    <x v="17"/>
    <x v="1"/>
    <n v="23"/>
    <n v="85"/>
    <x v="0"/>
    <x v="1"/>
    <n v="103.28"/>
    <s v="Warehouse C"/>
    <d v="2023-01-28T00:00:00"/>
    <d v="2023-02-12T00:00:00"/>
    <s v="High demand"/>
  </r>
  <r>
    <x v="49"/>
    <x v="2"/>
    <n v="5"/>
    <n v="49"/>
    <x v="0"/>
    <x v="0"/>
    <n v="417.56"/>
    <s v="Warehouse C"/>
    <d v="2023-11-11T00:00:00"/>
    <d v="2024-01-16T00:00:00"/>
    <s v="Pending Coastal Logistics Partnersonfirmation"/>
  </r>
  <r>
    <x v="10"/>
    <x v="1"/>
    <n v="23"/>
    <n v="41"/>
    <x v="0"/>
    <x v="2"/>
    <n v="112.62"/>
    <s v="Warehouse A"/>
    <d v="2023-10-14T00:00:00"/>
    <d v="2023-12-03T00:00:00"/>
    <s v="Discontinued"/>
  </r>
  <r>
    <x v="5"/>
    <x v="2"/>
    <n v="25"/>
    <n v="29"/>
    <x v="0"/>
    <x v="2"/>
    <n v="362.59"/>
    <s v="Warehouse A"/>
    <d v="2023-07-17T00:00:00"/>
    <d v="2023-09-08T00:00:00"/>
    <s v="High demand"/>
  </r>
  <r>
    <x v="46"/>
    <x v="0"/>
    <n v="57"/>
    <n v="87"/>
    <x v="0"/>
    <x v="1"/>
    <n v="393.69"/>
    <s v="Warehouse B"/>
    <d v="2023-06-28T00:00:00"/>
    <d v="2023-09-04T00:00:00"/>
    <s v="Discontinued"/>
  </r>
  <r>
    <x v="5"/>
    <x v="0"/>
    <n v="60"/>
    <n v="78"/>
    <x v="0"/>
    <x v="2"/>
    <n v="65.290000000000006"/>
    <s v="Warehouse B"/>
    <d v="2023-04-04T00:00:00"/>
    <d v="2023-05-01T00:00:00"/>
    <s v="Pending Coastal Logistics Partnersonfirmation"/>
  </r>
  <r>
    <x v="39"/>
    <x v="0"/>
    <n v="5"/>
    <n v="97"/>
    <x v="0"/>
    <x v="2"/>
    <n v="498.09"/>
    <s v="Warehouse B"/>
    <d v="2023-12-02T00:00:00"/>
    <d v="2024-01-23T00:00:00"/>
    <s v="Discontinued"/>
  </r>
  <r>
    <x v="21"/>
    <x v="3"/>
    <n v="60"/>
    <n v="62"/>
    <x v="0"/>
    <x v="0"/>
    <n v="258.04000000000002"/>
    <s v="Warehouse C"/>
    <d v="2023-06-04T00:00:00"/>
    <d v="2023-06-27T00:00:00"/>
    <m/>
  </r>
  <r>
    <x v="9"/>
    <x v="0"/>
    <n v="6"/>
    <n v="96"/>
    <x v="0"/>
    <x v="1"/>
    <n v="181.36"/>
    <s v="Warehouse B"/>
    <d v="2023-08-02T00:00:00"/>
    <d v="2023-08-28T00:00:00"/>
    <s v="Pending Coastal Logistics Partnersonfirmation"/>
  </r>
  <r>
    <x v="15"/>
    <x v="3"/>
    <n v="1"/>
    <n v="81"/>
    <x v="0"/>
    <x v="0"/>
    <n v="438.83"/>
    <s v="Warehouse A"/>
    <d v="2023-07-12T00:00:00"/>
    <d v="2023-09-25T00:00:00"/>
    <s v="Pending Coastal Logistics Partnersonfirmation"/>
  </r>
  <r>
    <x v="18"/>
    <x v="3"/>
    <n v="80"/>
    <n v="88"/>
    <x v="0"/>
    <x v="0"/>
    <n v="270.45"/>
    <s v="Warehouse A"/>
    <d v="2023-01-24T00:00:00"/>
    <d v="2023-03-21T00:00:00"/>
    <m/>
  </r>
  <r>
    <x v="11"/>
    <x v="0"/>
    <n v="23"/>
    <n v="49"/>
    <x v="0"/>
    <x v="0"/>
    <n v="375.21"/>
    <s v="Warehouse A"/>
    <d v="2023-10-16T00:00:00"/>
    <d v="2023-12-21T00:00:00"/>
    <s v="High demand"/>
  </r>
  <r>
    <x v="32"/>
    <x v="2"/>
    <n v="45"/>
    <n v="64"/>
    <x v="0"/>
    <x v="1"/>
    <n v="66.569999999999993"/>
    <s v="Warehouse C"/>
    <d v="2023-07-07T00:00:00"/>
    <d v="2023-08-04T00:00:00"/>
    <s v="Pending Coastal Logistics Partnersonfirmation"/>
  </r>
  <r>
    <x v="45"/>
    <x v="2"/>
    <n v="12"/>
    <n v="49"/>
    <x v="0"/>
    <x v="2"/>
    <n v="117.82"/>
    <s v="Warehouse C"/>
    <d v="2023-08-09T00:00:00"/>
    <d v="2023-09-11T00:00:00"/>
    <m/>
  </r>
  <r>
    <x v="34"/>
    <x v="4"/>
    <n v="72"/>
    <n v="76"/>
    <x v="0"/>
    <x v="1"/>
    <n v="282.24"/>
    <s v="Warehouse C"/>
    <d v="2023-12-17T00:00:00"/>
    <d v="2024-01-12T00:00:00"/>
    <m/>
  </r>
  <r>
    <x v="42"/>
    <x v="2"/>
    <n v="14"/>
    <n v="85"/>
    <x v="0"/>
    <x v="1"/>
    <n v="10"/>
    <s v="Warehouse A"/>
    <d v="2023-06-28T00:00:00"/>
    <d v="2023-08-13T00:00:00"/>
    <m/>
  </r>
  <r>
    <x v="44"/>
    <x v="1"/>
    <n v="28"/>
    <n v="75"/>
    <x v="0"/>
    <x v="0"/>
    <n v="133.82"/>
    <s v="Warehouse A"/>
    <d v="2023-08-16T00:00:00"/>
    <d v="2023-09-12T00:00:00"/>
    <m/>
  </r>
  <r>
    <x v="39"/>
    <x v="1"/>
    <n v="52"/>
    <n v="54"/>
    <x v="0"/>
    <x v="2"/>
    <n v="182.03"/>
    <s v="Warehouse B"/>
    <d v="2023-12-06T00:00:00"/>
    <d v="2024-03-03T00:00:00"/>
    <m/>
  </r>
  <r>
    <x v="32"/>
    <x v="3"/>
    <n v="60"/>
    <n v="80"/>
    <x v="0"/>
    <x v="1"/>
    <n v="316.06"/>
    <s v="Warehouse A"/>
    <d v="2023-03-19T00:00:00"/>
    <d v="2023-04-03T00:00:00"/>
    <s v="Discontinued"/>
  </r>
  <r>
    <x v="0"/>
    <x v="3"/>
    <n v="65"/>
    <n v="68"/>
    <x v="0"/>
    <x v="1"/>
    <n v="283.48"/>
    <s v="Warehouse A"/>
    <d v="2023-02-13T00:00:00"/>
    <d v="2023-05-04T00:00:00"/>
    <s v="High demand"/>
  </r>
  <r>
    <x v="12"/>
    <x v="2"/>
    <n v="12"/>
    <n v="37"/>
    <x v="0"/>
    <x v="2"/>
    <n v="488.99"/>
    <s v="Warehouse A"/>
    <d v="2023-10-25T00:00:00"/>
    <d v="2024-01-21T00:00:00"/>
    <s v="Pending Coastal Logistics Partnersonfirmation"/>
  </r>
  <r>
    <x v="49"/>
    <x v="4"/>
    <n v="6"/>
    <n v="58"/>
    <x v="0"/>
    <x v="1"/>
    <n v="7.97"/>
    <s v="Warehouse C"/>
    <d v="2023-01-05T00:00:00"/>
    <d v="2023-01-20T00:00:00"/>
    <s v="Pending Coastal Logistics Partnersonfirmation"/>
  </r>
  <r>
    <x v="46"/>
    <x v="2"/>
    <n v="55"/>
    <n v="92"/>
    <x v="0"/>
    <x v="0"/>
    <n v="432.04"/>
    <s v="Warehouse C"/>
    <d v="2023-07-23T00:00:00"/>
    <d v="2023-09-13T00:00:00"/>
    <s v="Pending Coastal Logistics Partnersonfirmation"/>
  </r>
  <r>
    <x v="19"/>
    <x v="0"/>
    <n v="48"/>
    <n v="80"/>
    <x v="0"/>
    <x v="1"/>
    <n v="302.49"/>
    <s v="Warehouse B"/>
    <d v="2023-10-21T00:00:00"/>
    <d v="2024-01-14T00:00:00"/>
    <m/>
  </r>
  <r>
    <x v="24"/>
    <x v="0"/>
    <n v="26"/>
    <n v="67"/>
    <x v="0"/>
    <x v="1"/>
    <n v="475.03"/>
    <s v="Warehouse A"/>
    <d v="2023-02-05T00:00:00"/>
    <d v="2023-05-03T00:00:00"/>
    <s v="Discontinued"/>
  </r>
  <r>
    <x v="35"/>
    <x v="4"/>
    <n v="14"/>
    <n v="58"/>
    <x v="0"/>
    <x v="2"/>
    <n v="352.23"/>
    <s v="Warehouse C"/>
    <d v="2023-09-07T00:00:00"/>
    <d v="2023-09-29T00:00:00"/>
    <s v="Pending Coastal Logistics Partnersonfirmation"/>
  </r>
  <r>
    <x v="20"/>
    <x v="1"/>
    <n v="44"/>
    <n v="81"/>
    <x v="0"/>
    <x v="2"/>
    <n v="149.02000000000001"/>
    <s v="Warehouse B"/>
    <d v="2023-04-09T00:00:00"/>
    <d v="2023-06-24T00:00:00"/>
    <s v="Discontinued"/>
  </r>
  <r>
    <x v="29"/>
    <x v="1"/>
    <n v="35"/>
    <n v="54"/>
    <x v="0"/>
    <x v="2"/>
    <n v="346.89"/>
    <s v="Warehouse C"/>
    <d v="2023-12-14T00:00:00"/>
    <d v="2024-02-16T00:00:00"/>
    <s v="High demand"/>
  </r>
  <r>
    <x v="6"/>
    <x v="2"/>
    <n v="37"/>
    <n v="71"/>
    <x v="0"/>
    <x v="1"/>
    <n v="221.14"/>
    <s v="Warehouse B"/>
    <d v="2023-10-31T00:00:00"/>
    <d v="2023-12-11T00:00:00"/>
    <s v="Discontinued"/>
  </r>
  <r>
    <x v="42"/>
    <x v="3"/>
    <n v="0"/>
    <n v="20"/>
    <x v="0"/>
    <x v="1"/>
    <n v="432.75"/>
    <s v="Warehouse B"/>
    <d v="2023-10-28T00:00:00"/>
    <d v="2023-11-12T00:00:00"/>
    <s v="High demand"/>
  </r>
  <r>
    <x v="26"/>
    <x v="3"/>
    <n v="42"/>
    <n v="59"/>
    <x v="0"/>
    <x v="2"/>
    <n v="196.19"/>
    <s v="Warehouse A"/>
    <d v="2023-02-04T00:00:00"/>
    <d v="2023-04-07T00:00:00"/>
    <s v="Discontinued"/>
  </r>
  <r>
    <x v="11"/>
    <x v="3"/>
    <n v="8"/>
    <n v="35"/>
    <x v="0"/>
    <x v="1"/>
    <n v="276.33"/>
    <s v="Warehouse A"/>
    <d v="2023-05-01T00:00:00"/>
    <d v="2023-06-04T00:00:00"/>
    <s v="Pending Coastal Logistics Partnersonfirmation"/>
  </r>
  <r>
    <x v="5"/>
    <x v="3"/>
    <n v="60"/>
    <n v="77"/>
    <x v="0"/>
    <x v="0"/>
    <n v="490.97"/>
    <s v="Warehouse A"/>
    <d v="2023-02-01T00:00:00"/>
    <d v="2023-02-20T00:00:00"/>
    <s v="High demand"/>
  </r>
  <r>
    <x v="19"/>
    <x v="4"/>
    <n v="47"/>
    <n v="69"/>
    <x v="0"/>
    <x v="0"/>
    <n v="7.88"/>
    <s v="Warehouse B"/>
    <d v="2023-12-23T00:00:00"/>
    <d v="2024-03-10T00:00:00"/>
    <s v="Discontinued"/>
  </r>
  <r>
    <x v="3"/>
    <x v="0"/>
    <n v="42"/>
    <n v="46"/>
    <x v="0"/>
    <x v="0"/>
    <n v="225.92"/>
    <s v="Warehouse C"/>
    <d v="2023-05-11T00:00:00"/>
    <d v="2023-06-13T00:00:00"/>
    <m/>
  </r>
  <r>
    <x v="46"/>
    <x v="1"/>
    <n v="22"/>
    <n v="28"/>
    <x v="0"/>
    <x v="1"/>
    <n v="113.44"/>
    <s v="Warehouse C"/>
    <d v="2023-10-03T00:00:00"/>
    <d v="2023-10-31T00:00:00"/>
    <m/>
  </r>
  <r>
    <x v="48"/>
    <x v="0"/>
    <n v="20"/>
    <n v="79"/>
    <x v="0"/>
    <x v="0"/>
    <n v="305.37"/>
    <s v="Warehouse C"/>
    <d v="2023-11-12T00:00:00"/>
    <d v="2023-12-06T00:00:00"/>
    <m/>
  </r>
  <r>
    <x v="49"/>
    <x v="1"/>
    <n v="25"/>
    <n v="57"/>
    <x v="0"/>
    <x v="0"/>
    <n v="422.4"/>
    <s v="Warehouse C"/>
    <d v="2023-05-13T00:00:00"/>
    <d v="2023-07-13T00:00:00"/>
    <s v="Pending Coastal Logistics Partnersonfirmation"/>
  </r>
  <r>
    <x v="24"/>
    <x v="3"/>
    <n v="62"/>
    <n v="79"/>
    <x v="0"/>
    <x v="0"/>
    <n v="19.75"/>
    <s v="Warehouse C"/>
    <d v="2023-05-09T00:00:00"/>
    <d v="2023-07-14T00:00:00"/>
    <m/>
  </r>
  <r>
    <x v="42"/>
    <x v="3"/>
    <n v="36"/>
    <n v="88"/>
    <x v="0"/>
    <x v="0"/>
    <n v="417.74"/>
    <s v="Warehouse A"/>
    <d v="2023-03-27T00:00:00"/>
    <d v="2023-05-15T00:00:00"/>
    <s v="Pending Coastal Logistics Partnersonfirmation"/>
  </r>
  <r>
    <x v="10"/>
    <x v="3"/>
    <n v="88"/>
    <n v="92"/>
    <x v="0"/>
    <x v="1"/>
    <n v="110.96"/>
    <s v="Warehouse A"/>
    <d v="2023-04-03T00:00:00"/>
    <d v="2023-04-23T00:00:00"/>
    <m/>
  </r>
  <r>
    <x v="24"/>
    <x v="0"/>
    <n v="6"/>
    <n v="92"/>
    <x v="0"/>
    <x v="1"/>
    <n v="22.5"/>
    <s v="Warehouse B"/>
    <d v="2023-04-06T00:00:00"/>
    <d v="2023-05-10T00:00:00"/>
    <m/>
  </r>
  <r>
    <x v="27"/>
    <x v="1"/>
    <n v="66"/>
    <n v="68"/>
    <x v="0"/>
    <x v="2"/>
    <n v="80.23"/>
    <s v="Warehouse B"/>
    <d v="2023-10-06T00:00:00"/>
    <d v="2023-12-16T00:00:00"/>
    <s v="Pending Coastal Logistics Partnersonfirmation"/>
  </r>
  <r>
    <x v="26"/>
    <x v="3"/>
    <n v="26"/>
    <n v="54"/>
    <x v="0"/>
    <x v="1"/>
    <n v="235.37"/>
    <s v="Warehouse B"/>
    <d v="2023-07-17T00:00:00"/>
    <d v="2023-08-03T00:00:00"/>
    <s v="High demand"/>
  </r>
  <r>
    <x v="26"/>
    <x v="2"/>
    <n v="27"/>
    <n v="93"/>
    <x v="0"/>
    <x v="1"/>
    <n v="216.15"/>
    <s v="Warehouse A"/>
    <d v="2023-08-24T00:00:00"/>
    <d v="2023-10-26T00:00:00"/>
    <s v="Pending Coastal Logistics Partnersonfirmation"/>
  </r>
  <r>
    <x v="5"/>
    <x v="1"/>
    <n v="7"/>
    <n v="54"/>
    <x v="0"/>
    <x v="1"/>
    <n v="345.1"/>
    <s v="Warehouse C"/>
    <d v="2023-12-27T00:00:00"/>
    <d v="2024-03-19T00:00:00"/>
    <m/>
  </r>
  <r>
    <x v="19"/>
    <x v="4"/>
    <n v="36"/>
    <n v="87"/>
    <x v="0"/>
    <x v="0"/>
    <n v="403.77"/>
    <s v="Warehouse C"/>
    <d v="2023-10-11T00:00:00"/>
    <d v="2023-10-29T00:00:00"/>
    <m/>
  </r>
  <r>
    <x v="9"/>
    <x v="0"/>
    <n v="60"/>
    <n v="73"/>
    <x v="0"/>
    <x v="2"/>
    <n v="382.7"/>
    <s v="Warehouse C"/>
    <d v="2023-05-17T00:00:00"/>
    <d v="2023-06-05T00:00:00"/>
    <s v="Discontinued"/>
  </r>
  <r>
    <x v="31"/>
    <x v="0"/>
    <n v="28"/>
    <n v="58"/>
    <x v="0"/>
    <x v="1"/>
    <n v="300.67"/>
    <s v="Warehouse C"/>
    <d v="2023-02-26T00:00:00"/>
    <d v="2023-05-20T00:00:00"/>
    <m/>
  </r>
  <r>
    <x v="18"/>
    <x v="1"/>
    <n v="34"/>
    <n v="91"/>
    <x v="0"/>
    <x v="0"/>
    <n v="152.61000000000001"/>
    <s v="Warehouse B"/>
    <d v="2023-02-13T00:00:00"/>
    <d v="2023-04-26T00:00:00"/>
    <s v="Discontinued"/>
  </r>
  <r>
    <x v="13"/>
    <x v="0"/>
    <n v="2"/>
    <n v="83"/>
    <x v="0"/>
    <x v="0"/>
    <n v="427.89"/>
    <s v="Warehouse B"/>
    <d v="2023-04-17T00:00:00"/>
    <d v="2023-06-17T00:00:00"/>
    <s v="High demand"/>
  </r>
  <r>
    <x v="21"/>
    <x v="2"/>
    <n v="26"/>
    <n v="55"/>
    <x v="0"/>
    <x v="2"/>
    <n v="400.23"/>
    <s v="Warehouse A"/>
    <d v="2023-08-18T00:00:00"/>
    <d v="2023-10-15T00:00:00"/>
    <s v="High demand"/>
  </r>
  <r>
    <x v="44"/>
    <x v="1"/>
    <n v="8"/>
    <n v="67"/>
    <x v="0"/>
    <x v="2"/>
    <n v="351.98"/>
    <s v="Warehouse C"/>
    <d v="2023-06-18T00:00:00"/>
    <d v="2023-07-20T00:00:00"/>
    <s v="Pending Coastal Logistics Partnersonfirmation"/>
  </r>
  <r>
    <x v="48"/>
    <x v="4"/>
    <n v="19"/>
    <n v="75"/>
    <x v="0"/>
    <x v="0"/>
    <n v="127.54"/>
    <s v="Warehouse B"/>
    <d v="2023-11-30T00:00:00"/>
    <d v="2024-02-05T00:00:00"/>
    <s v="Pending Coastal Logistics Partnersonfirmation"/>
  </r>
  <r>
    <x v="35"/>
    <x v="2"/>
    <n v="39"/>
    <n v="98"/>
    <x v="0"/>
    <x v="0"/>
    <n v="209.6"/>
    <s v="Warehouse C"/>
    <d v="2023-02-16T00:00:00"/>
    <d v="2023-04-27T00:00:00"/>
    <s v="High demand"/>
  </r>
  <r>
    <x v="14"/>
    <x v="4"/>
    <n v="34"/>
    <n v="97"/>
    <x v="0"/>
    <x v="0"/>
    <n v="131.03"/>
    <s v="Warehouse A"/>
    <d v="2023-03-20T00:00:00"/>
    <d v="2023-06-11T00:00:00"/>
    <s v="Discontinued"/>
  </r>
  <r>
    <x v="36"/>
    <x v="4"/>
    <n v="45"/>
    <n v="62"/>
    <x v="0"/>
    <x v="2"/>
    <n v="332.12"/>
    <s v="Warehouse B"/>
    <d v="2023-04-10T00:00:00"/>
    <d v="2023-06-13T00:00:00"/>
    <s v="Pending Coastal Logistics Partnersonfirmation"/>
  </r>
  <r>
    <x v="13"/>
    <x v="3"/>
    <n v="41"/>
    <n v="83"/>
    <x v="0"/>
    <x v="0"/>
    <n v="269.93"/>
    <s v="Warehouse A"/>
    <d v="2023-05-25T00:00:00"/>
    <d v="2023-07-23T00:00:00"/>
    <m/>
  </r>
  <r>
    <x v="7"/>
    <x v="3"/>
    <n v="4"/>
    <n v="80"/>
    <x v="0"/>
    <x v="2"/>
    <n v="399.36"/>
    <s v="Warehouse B"/>
    <d v="2023-04-08T00:00:00"/>
    <d v="2023-04-27T00:00:00"/>
    <m/>
  </r>
  <r>
    <x v="17"/>
    <x v="0"/>
    <n v="49"/>
    <n v="86"/>
    <x v="0"/>
    <x v="1"/>
    <n v="156.29"/>
    <s v="Warehouse B"/>
    <d v="2023-11-25T00:00:00"/>
    <d v="2023-12-19T00:00:00"/>
    <m/>
  </r>
  <r>
    <x v="27"/>
    <x v="1"/>
    <n v="0"/>
    <n v="83"/>
    <x v="0"/>
    <x v="1"/>
    <n v="424.43"/>
    <s v="Warehouse C"/>
    <d v="2023-05-19T00:00:00"/>
    <d v="2023-07-13T00:00:00"/>
    <m/>
  </r>
  <r>
    <x v="44"/>
    <x v="2"/>
    <n v="48"/>
    <n v="58"/>
    <x v="0"/>
    <x v="0"/>
    <n v="53.84"/>
    <s v="Warehouse A"/>
    <d v="2023-10-04T00:00:00"/>
    <d v="2023-11-27T00:00:00"/>
    <s v="Discontinued"/>
  </r>
  <r>
    <x v="42"/>
    <x v="0"/>
    <n v="8"/>
    <n v="51"/>
    <x v="0"/>
    <x v="0"/>
    <n v="251.94"/>
    <s v="Warehouse B"/>
    <d v="2023-02-03T00:00:00"/>
    <d v="2023-03-16T00:00:00"/>
    <s v="Discontinued"/>
  </r>
  <r>
    <x v="43"/>
    <x v="0"/>
    <n v="33"/>
    <n v="51"/>
    <x v="0"/>
    <x v="2"/>
    <n v="496.39"/>
    <s v="Warehouse C"/>
    <d v="2023-09-17T00:00:00"/>
    <d v="2023-11-29T00:00:00"/>
    <m/>
  </r>
  <r>
    <x v="22"/>
    <x v="1"/>
    <n v="5"/>
    <n v="88"/>
    <x v="0"/>
    <x v="0"/>
    <n v="478.19"/>
    <s v="Warehouse B"/>
    <d v="2023-10-03T00:00:00"/>
    <d v="2023-11-26T00:00:00"/>
    <s v="Discontinued"/>
  </r>
  <r>
    <x v="33"/>
    <x v="2"/>
    <n v="27"/>
    <n v="56"/>
    <x v="0"/>
    <x v="1"/>
    <n v="57.06"/>
    <s v="Warehouse C"/>
    <d v="2023-08-22T00:00:00"/>
    <d v="2023-10-27T00:00:00"/>
    <s v="Discontinued"/>
  </r>
  <r>
    <x v="43"/>
    <x v="3"/>
    <n v="62"/>
    <n v="65"/>
    <x v="0"/>
    <x v="1"/>
    <n v="359.13"/>
    <s v="Warehouse C"/>
    <d v="2023-08-23T00:00:00"/>
    <d v="2023-09-23T00:00:00"/>
    <s v="Pending Coastal Logistics Partnersonfirmation"/>
  </r>
  <r>
    <x v="2"/>
    <x v="0"/>
    <n v="6"/>
    <n v="98"/>
    <x v="0"/>
    <x v="0"/>
    <n v="175.91"/>
    <s v="Warehouse C"/>
    <d v="2023-06-08T00:00:00"/>
    <d v="2023-07-11T00:00:00"/>
    <s v="Discontinued"/>
  </r>
  <r>
    <x v="38"/>
    <x v="2"/>
    <n v="27"/>
    <n v="44"/>
    <x v="0"/>
    <x v="1"/>
    <n v="498.67"/>
    <s v="Warehouse B"/>
    <d v="2023-03-23T00:00:00"/>
    <d v="2023-05-05T00:00:00"/>
    <m/>
  </r>
  <r>
    <x v="36"/>
    <x v="1"/>
    <n v="1"/>
    <n v="52"/>
    <x v="0"/>
    <x v="2"/>
    <n v="229.78"/>
    <s v="Warehouse A"/>
    <d v="2023-02-27T00:00:00"/>
    <d v="2023-03-23T00:00:00"/>
    <m/>
  </r>
  <r>
    <x v="41"/>
    <x v="3"/>
    <n v="16"/>
    <n v="49"/>
    <x v="0"/>
    <x v="0"/>
    <n v="498.17"/>
    <s v="Warehouse B"/>
    <d v="2023-11-04T00:00:00"/>
    <d v="2023-12-24T00:00:00"/>
    <s v="Discontinued"/>
  </r>
  <r>
    <x v="39"/>
    <x v="1"/>
    <n v="31"/>
    <n v="73"/>
    <x v="0"/>
    <x v="0"/>
    <n v="204.36"/>
    <s v="Warehouse A"/>
    <d v="2023-01-27T00:00:00"/>
    <d v="2023-02-28T00:00:00"/>
    <m/>
  </r>
  <r>
    <x v="39"/>
    <x v="3"/>
    <n v="45"/>
    <n v="97"/>
    <x v="0"/>
    <x v="0"/>
    <n v="432.31"/>
    <s v="Warehouse C"/>
    <d v="2023-04-25T00:00:00"/>
    <d v="2023-06-25T00:00:00"/>
    <s v="Discontinued"/>
  </r>
  <r>
    <x v="26"/>
    <x v="3"/>
    <n v="2"/>
    <n v="71"/>
    <x v="0"/>
    <x v="0"/>
    <n v="476.95"/>
    <s v="Warehouse B"/>
    <d v="2023-08-14T00:00:00"/>
    <d v="2023-10-15T00:00:00"/>
    <s v="High demand"/>
  </r>
  <r>
    <x v="32"/>
    <x v="2"/>
    <n v="11"/>
    <n v="23"/>
    <x v="0"/>
    <x v="1"/>
    <n v="346"/>
    <s v="Warehouse B"/>
    <d v="2023-07-30T00:00:00"/>
    <d v="2023-08-28T00:00:00"/>
    <s v="High demand"/>
  </r>
  <r>
    <x v="47"/>
    <x v="1"/>
    <n v="18"/>
    <n v="95"/>
    <x v="0"/>
    <x v="1"/>
    <n v="333.78"/>
    <s v="Warehouse A"/>
    <d v="2023-08-05T00:00:00"/>
    <d v="2023-09-08T00:00:00"/>
    <m/>
  </r>
  <r>
    <x v="49"/>
    <x v="3"/>
    <n v="23"/>
    <n v="40"/>
    <x v="0"/>
    <x v="1"/>
    <n v="187"/>
    <s v="Warehouse C"/>
    <d v="2023-07-26T00:00:00"/>
    <d v="2023-10-14T00:00:00"/>
    <m/>
  </r>
  <r>
    <x v="30"/>
    <x v="0"/>
    <n v="68"/>
    <n v="84"/>
    <x v="0"/>
    <x v="2"/>
    <n v="30.93"/>
    <s v="Warehouse C"/>
    <d v="2023-04-18T00:00:00"/>
    <d v="2023-05-17T00:00:00"/>
    <s v="Discontinued"/>
  </r>
  <r>
    <x v="12"/>
    <x v="3"/>
    <n v="10"/>
    <n v="88"/>
    <x v="0"/>
    <x v="2"/>
    <n v="187.69"/>
    <s v="Warehouse C"/>
    <d v="2023-09-17T00:00:00"/>
    <d v="2023-10-26T00:00:00"/>
    <s v="Pending Coastal Logistics Partnersonfirmation"/>
  </r>
  <r>
    <x v="18"/>
    <x v="4"/>
    <n v="81"/>
    <n v="89"/>
    <x v="0"/>
    <x v="0"/>
    <n v="418.97"/>
    <s v="Warehouse B"/>
    <d v="2023-04-22T00:00:00"/>
    <d v="2023-06-12T00:00:00"/>
    <s v="Discontinued"/>
  </r>
  <r>
    <x v="4"/>
    <x v="3"/>
    <n v="59"/>
    <n v="64"/>
    <x v="0"/>
    <x v="1"/>
    <n v="408.54"/>
    <s v="Warehouse B"/>
    <d v="2023-10-20T00:00:00"/>
    <d v="2023-12-02T00:00:00"/>
    <m/>
  </r>
  <r>
    <x v="20"/>
    <x v="2"/>
    <n v="23"/>
    <n v="84"/>
    <x v="0"/>
    <x v="2"/>
    <n v="493.58"/>
    <s v="Warehouse B"/>
    <d v="2023-02-22T00:00:00"/>
    <d v="2023-03-14T00:00:00"/>
    <s v="High demand"/>
  </r>
  <r>
    <x v="3"/>
    <x v="1"/>
    <n v="46"/>
    <n v="98"/>
    <x v="0"/>
    <x v="2"/>
    <n v="379.38"/>
    <s v="Warehouse B"/>
    <d v="2023-05-21T00:00:00"/>
    <d v="2023-06-15T00:00:00"/>
    <s v="Pending Coastal Logistics Partnersonfirmation"/>
  </r>
  <r>
    <x v="39"/>
    <x v="1"/>
    <n v="40"/>
    <n v="95"/>
    <x v="0"/>
    <x v="2"/>
    <n v="433.82"/>
    <s v="Warehouse A"/>
    <d v="2023-08-04T00:00:00"/>
    <d v="2023-10-30T00:00:00"/>
    <s v="Discontinued"/>
  </r>
  <r>
    <x v="1"/>
    <x v="4"/>
    <n v="62"/>
    <n v="83"/>
    <x v="0"/>
    <x v="2"/>
    <n v="254.07"/>
    <s v="Warehouse C"/>
    <d v="2023-08-01T00:00:00"/>
    <d v="2023-10-22T00:00:00"/>
    <s v="Pending Coastal Logistics Partnersonfirmation"/>
  </r>
  <r>
    <x v="32"/>
    <x v="3"/>
    <n v="52"/>
    <n v="81"/>
    <x v="0"/>
    <x v="2"/>
    <n v="477.87"/>
    <s v="Warehouse C"/>
    <d v="2023-06-09T00:00:00"/>
    <d v="2023-07-26T00:00:00"/>
    <s v="Discontinued"/>
  </r>
  <r>
    <x v="40"/>
    <x v="2"/>
    <n v="4"/>
    <n v="47"/>
    <x v="0"/>
    <x v="0"/>
    <n v="455.79"/>
    <s v="Warehouse C"/>
    <d v="2023-04-10T00:00:00"/>
    <d v="2023-06-04T00:00:00"/>
    <s v="Pending Coastal Logistics Partnersonfirmation"/>
  </r>
  <r>
    <x v="13"/>
    <x v="4"/>
    <n v="7"/>
    <n v="83"/>
    <x v="0"/>
    <x v="2"/>
    <n v="250.96"/>
    <s v="Warehouse A"/>
    <d v="2023-08-11T00:00:00"/>
    <d v="2023-09-28T00:00:00"/>
    <s v="Discontinued"/>
  </r>
  <r>
    <x v="17"/>
    <x v="0"/>
    <n v="15"/>
    <n v="91"/>
    <x v="0"/>
    <x v="0"/>
    <n v="273.8"/>
    <s v="Warehouse C"/>
    <d v="2023-09-22T00:00:00"/>
    <d v="2023-12-06T00:00:00"/>
    <m/>
  </r>
  <r>
    <x v="20"/>
    <x v="1"/>
    <n v="54"/>
    <n v="59"/>
    <x v="0"/>
    <x v="0"/>
    <n v="26.77"/>
    <s v="Warehouse C"/>
    <d v="2023-03-01T00:00:00"/>
    <d v="2023-04-13T00:00:00"/>
    <m/>
  </r>
  <r>
    <x v="20"/>
    <x v="4"/>
    <n v="53"/>
    <n v="81"/>
    <x v="0"/>
    <x v="2"/>
    <n v="118.77"/>
    <s v="Warehouse C"/>
    <d v="2023-09-09T00:00:00"/>
    <d v="2023-11-18T00:00:00"/>
    <m/>
  </r>
  <r>
    <x v="34"/>
    <x v="4"/>
    <n v="33"/>
    <n v="70"/>
    <x v="0"/>
    <x v="0"/>
    <n v="212.81"/>
    <s v="Warehouse A"/>
    <d v="2023-01-01T00:00:00"/>
    <d v="2023-03-17T00:00:00"/>
    <s v="High demand"/>
  </r>
  <r>
    <x v="16"/>
    <x v="3"/>
    <n v="69"/>
    <n v="73"/>
    <x v="0"/>
    <x v="0"/>
    <n v="452.98"/>
    <s v="Warehouse A"/>
    <d v="2023-04-29T00:00:00"/>
    <d v="2023-07-14T00:00:00"/>
    <m/>
  </r>
  <r>
    <x v="4"/>
    <x v="0"/>
    <n v="1"/>
    <n v="78"/>
    <x v="0"/>
    <x v="2"/>
    <n v="90.74"/>
    <s v="Warehouse B"/>
    <d v="2023-11-12T00:00:00"/>
    <d v="2023-12-27T00:00:00"/>
    <s v="Discontinued"/>
  </r>
  <r>
    <x v="27"/>
    <x v="1"/>
    <n v="19"/>
    <n v="57"/>
    <x v="0"/>
    <x v="2"/>
    <n v="461.4"/>
    <s v="Warehouse A"/>
    <d v="2023-12-27T00:00:00"/>
    <d v="2024-03-24T00:00:00"/>
    <m/>
  </r>
  <r>
    <x v="30"/>
    <x v="0"/>
    <n v="28"/>
    <n v="90"/>
    <x v="0"/>
    <x v="2"/>
    <n v="148.86000000000001"/>
    <s v="Warehouse A"/>
    <d v="2023-06-05T00:00:00"/>
    <d v="2023-07-30T00:00:00"/>
    <s v="Discontinued"/>
  </r>
  <r>
    <x v="49"/>
    <x v="3"/>
    <n v="1"/>
    <n v="46"/>
    <x v="0"/>
    <x v="2"/>
    <n v="231.06"/>
    <s v="Warehouse B"/>
    <d v="2023-03-10T00:00:00"/>
    <d v="2023-04-08T00:00:00"/>
    <s v="Pending Coastal Logistics Partnersonfirmation"/>
  </r>
  <r>
    <x v="41"/>
    <x v="1"/>
    <n v="20"/>
    <n v="33"/>
    <x v="0"/>
    <x v="1"/>
    <n v="134.62"/>
    <s v="Warehouse A"/>
    <d v="2023-01-03T00:00:00"/>
    <d v="2023-02-08T00:00:00"/>
    <s v="Discontinued"/>
  </r>
  <r>
    <x v="13"/>
    <x v="2"/>
    <n v="58"/>
    <n v="73"/>
    <x v="0"/>
    <x v="0"/>
    <n v="78.849999999999994"/>
    <s v="Warehouse B"/>
    <d v="2023-08-02T00:00:00"/>
    <d v="2023-09-06T00:00:00"/>
    <s v="Pending Coastal Logistics Partnersonfirmation"/>
  </r>
  <r>
    <x v="1"/>
    <x v="2"/>
    <n v="47"/>
    <n v="96"/>
    <x v="0"/>
    <x v="1"/>
    <n v="495.73"/>
    <s v="Warehouse A"/>
    <d v="2023-04-21T00:00:00"/>
    <d v="2023-07-10T00:00:00"/>
    <m/>
  </r>
  <r>
    <x v="50"/>
    <x v="3"/>
    <n v="36"/>
    <n v="66"/>
    <x v="0"/>
    <x v="2"/>
    <n v="366.03"/>
    <s v="Warehouse B"/>
    <d v="2024-02-23T00:00:00"/>
    <d v="2024-05-05T00:00:00"/>
    <s v="Pending Coastal Logistics Partnersonfirmation"/>
  </r>
  <r>
    <x v="51"/>
    <x v="3"/>
    <n v="30"/>
    <n v="93"/>
    <x v="0"/>
    <x v="0"/>
    <n v="424.97"/>
    <s v="Warehouse A"/>
    <d v="2024-02-15T00:00:00"/>
    <d v="2024-04-06T00:00:00"/>
    <s v="Pending Coastal Logistics Partnersonfirmation"/>
  </r>
  <r>
    <x v="38"/>
    <x v="2"/>
    <n v="39"/>
    <n v="66"/>
    <x v="0"/>
    <x v="2"/>
    <n v="409.31"/>
    <s v="Warehouse B"/>
    <d v="2024-07-05T00:00:00"/>
    <d v="2024-08-18T00:00:00"/>
    <s v="Pending Coastal Logistics Partnersonfirmation"/>
  </r>
  <r>
    <x v="52"/>
    <x v="0"/>
    <n v="40"/>
    <n v="95"/>
    <x v="0"/>
    <x v="2"/>
    <n v="94.9"/>
    <s v="Warehouse C"/>
    <d v="2024-06-17T00:00:00"/>
    <d v="2024-08-15T00:00:00"/>
    <s v="High demand"/>
  </r>
  <r>
    <x v="53"/>
    <x v="2"/>
    <n v="10"/>
    <n v="91"/>
    <x v="0"/>
    <x v="0"/>
    <n v="188.62"/>
    <s v="Warehouse B"/>
    <d v="2024-05-22T00:00:00"/>
    <d v="2024-06-23T00:00:00"/>
    <s v="Pending Coastal Logistics Partnersonfirmation"/>
  </r>
  <r>
    <x v="54"/>
    <x v="4"/>
    <n v="0"/>
    <n v="87"/>
    <x v="0"/>
    <x v="1"/>
    <n v="404.31"/>
    <s v="Warehouse B"/>
    <d v="2024-03-19T00:00:00"/>
    <d v="2024-05-08T00:00:00"/>
    <m/>
  </r>
  <r>
    <x v="55"/>
    <x v="2"/>
    <n v="45"/>
    <n v="52"/>
    <x v="0"/>
    <x v="2"/>
    <n v="492.5"/>
    <s v="Warehouse C"/>
    <d v="2024-03-30T00:00:00"/>
    <d v="2024-06-04T00:00:00"/>
    <s v="Discontinued"/>
  </r>
  <r>
    <x v="56"/>
    <x v="1"/>
    <n v="56"/>
    <n v="67"/>
    <x v="0"/>
    <x v="0"/>
    <n v="356.11"/>
    <s v="Warehouse C"/>
    <d v="2024-08-31T00:00:00"/>
    <d v="2024-11-19T00:00:00"/>
    <s v="High demand"/>
  </r>
  <r>
    <x v="57"/>
    <x v="0"/>
    <n v="0"/>
    <n v="88"/>
    <x v="0"/>
    <x v="2"/>
    <n v="87.82"/>
    <s v="Warehouse B"/>
    <d v="2024-01-07T00:00:00"/>
    <d v="2024-03-30T00:00:00"/>
    <s v="High demand"/>
  </r>
  <r>
    <x v="53"/>
    <x v="2"/>
    <n v="62"/>
    <n v="81"/>
    <x v="0"/>
    <x v="0"/>
    <n v="391.41"/>
    <s v="Warehouse A"/>
    <d v="2024-05-25T00:00:00"/>
    <d v="2024-08-02T00:00:00"/>
    <s v="High demand"/>
  </r>
  <r>
    <x v="58"/>
    <x v="1"/>
    <n v="54"/>
    <n v="83"/>
    <x v="0"/>
    <x v="2"/>
    <n v="476.35"/>
    <s v="Warehouse A"/>
    <d v="2024-10-22T00:00:00"/>
    <d v="2024-12-17T00:00:00"/>
    <s v="High demand"/>
  </r>
  <r>
    <x v="59"/>
    <x v="1"/>
    <n v="52"/>
    <n v="67"/>
    <x v="0"/>
    <x v="2"/>
    <n v="380.71"/>
    <s v="Warehouse C"/>
    <d v="2024-01-26T00:00:00"/>
    <d v="2024-03-31T00:00:00"/>
    <s v="Pending Coastal Logistics Partnersonfirmation"/>
  </r>
  <r>
    <x v="60"/>
    <x v="0"/>
    <n v="56"/>
    <n v="96"/>
    <x v="0"/>
    <x v="0"/>
    <n v="256.89999999999998"/>
    <s v="Warehouse A"/>
    <d v="2024-05-31T00:00:00"/>
    <d v="2024-08-18T00:00:00"/>
    <s v="High demand"/>
  </r>
  <r>
    <x v="61"/>
    <x v="4"/>
    <n v="24"/>
    <n v="89"/>
    <x v="0"/>
    <x v="1"/>
    <n v="233.55"/>
    <s v="Warehouse A"/>
    <d v="2024-02-11T00:00:00"/>
    <d v="2024-04-23T00:00:00"/>
    <s v="Discontinued"/>
  </r>
  <r>
    <x v="62"/>
    <x v="0"/>
    <n v="37"/>
    <n v="94"/>
    <x v="0"/>
    <x v="2"/>
    <n v="365.85"/>
    <s v="Warehouse B"/>
    <d v="2024-11-26T00:00:00"/>
    <d v="2025-01-31T00:00:00"/>
    <s v="Discontinued"/>
  </r>
  <r>
    <x v="55"/>
    <x v="3"/>
    <n v="16"/>
    <n v="84"/>
    <x v="0"/>
    <x v="1"/>
    <n v="175.94"/>
    <s v="Warehouse B"/>
    <d v="2024-12-24T00:00:00"/>
    <d v="2025-03-11T00:00:00"/>
    <s v="High demand"/>
  </r>
  <r>
    <x v="50"/>
    <x v="2"/>
    <n v="24"/>
    <n v="68"/>
    <x v="0"/>
    <x v="0"/>
    <n v="250.65"/>
    <s v="Warehouse B"/>
    <d v="2024-06-04T00:00:00"/>
    <d v="2024-07-24T00:00:00"/>
    <m/>
  </r>
  <r>
    <x v="50"/>
    <x v="2"/>
    <n v="87"/>
    <n v="91"/>
    <x v="0"/>
    <x v="2"/>
    <n v="368.55"/>
    <s v="Warehouse C"/>
    <d v="2024-11-19T00:00:00"/>
    <d v="2024-12-04T00:00:00"/>
    <s v="Discontinued"/>
  </r>
  <r>
    <x v="63"/>
    <x v="2"/>
    <n v="28"/>
    <n v="85"/>
    <x v="0"/>
    <x v="0"/>
    <n v="420.3"/>
    <s v="Warehouse B"/>
    <d v="2024-07-11T00:00:00"/>
    <d v="2024-08-15T00:00:00"/>
    <s v="High demand"/>
  </r>
  <r>
    <x v="64"/>
    <x v="2"/>
    <n v="62"/>
    <n v="65"/>
    <x v="0"/>
    <x v="1"/>
    <n v="10.65"/>
    <s v="Warehouse A"/>
    <d v="2024-12-24T00:00:00"/>
    <d v="2025-03-04T00:00:00"/>
    <s v="Pending Coastal Logistics Partnersonfirmation"/>
  </r>
  <r>
    <x v="58"/>
    <x v="3"/>
    <n v="48"/>
    <n v="67"/>
    <x v="0"/>
    <x v="2"/>
    <n v="353.91"/>
    <s v="Warehouse B"/>
    <d v="2024-12-25T00:00:00"/>
    <d v="2025-01-13T00:00:00"/>
    <s v="High demand"/>
  </r>
  <r>
    <x v="65"/>
    <x v="4"/>
    <n v="80"/>
    <n v="89"/>
    <x v="0"/>
    <x v="2"/>
    <n v="275.48"/>
    <s v="Warehouse B"/>
    <d v="2024-08-19T00:00:00"/>
    <d v="2024-09-20T00:00:00"/>
    <s v="Discontinued"/>
  </r>
  <r>
    <x v="66"/>
    <x v="2"/>
    <n v="0"/>
    <n v="67"/>
    <x v="0"/>
    <x v="1"/>
    <n v="82.85"/>
    <s v="Warehouse B"/>
    <d v="2024-06-25T00:00:00"/>
    <d v="2024-09-02T00:00:00"/>
    <m/>
  </r>
  <r>
    <x v="67"/>
    <x v="4"/>
    <n v="31"/>
    <n v="99"/>
    <x v="0"/>
    <x v="2"/>
    <n v="128.97999999999999"/>
    <s v="Warehouse A"/>
    <d v="2024-06-30T00:00:00"/>
    <d v="2024-09-25T00:00:00"/>
    <s v="High demand"/>
  </r>
  <r>
    <x v="68"/>
    <x v="3"/>
    <n v="28"/>
    <n v="34"/>
    <x v="0"/>
    <x v="2"/>
    <n v="288.01"/>
    <s v="Warehouse B"/>
    <d v="2024-05-23T00:00:00"/>
    <d v="2024-06-25T00:00:00"/>
    <s v="Discontinued"/>
  </r>
  <r>
    <x v="69"/>
    <x v="4"/>
    <n v="29"/>
    <n v="94"/>
    <x v="0"/>
    <x v="0"/>
    <n v="11.02"/>
    <s v="Warehouse C"/>
    <d v="2024-07-05T00:00:00"/>
    <d v="2024-08-30T00:00:00"/>
    <s v="Discontinued"/>
  </r>
  <r>
    <x v="70"/>
    <x v="2"/>
    <n v="18"/>
    <n v="87"/>
    <x v="0"/>
    <x v="0"/>
    <n v="276.69"/>
    <s v="Warehouse C"/>
    <d v="2024-05-21T00:00:00"/>
    <d v="2024-06-24T00:00:00"/>
    <s v="Pending Coastal Logistics Partnersonfirmation"/>
  </r>
  <r>
    <x v="71"/>
    <x v="0"/>
    <n v="17"/>
    <n v="40"/>
    <x v="0"/>
    <x v="2"/>
    <n v="147.38"/>
    <s v="Warehouse C"/>
    <d v="2024-05-31T00:00:00"/>
    <d v="2024-08-26T00:00:00"/>
    <s v="Discontinued"/>
  </r>
  <r>
    <x v="72"/>
    <x v="4"/>
    <n v="0"/>
    <n v="32"/>
    <x v="0"/>
    <x v="0"/>
    <n v="156.85"/>
    <s v="Warehouse C"/>
    <d v="2024-11-02T00:00:00"/>
    <d v="2024-12-03T00:00:00"/>
    <m/>
  </r>
  <r>
    <x v="53"/>
    <x v="0"/>
    <n v="7"/>
    <n v="55"/>
    <x v="0"/>
    <x v="2"/>
    <n v="33.01"/>
    <s v="Warehouse A"/>
    <d v="2024-12-24T00:00:00"/>
    <d v="2025-02-12T00:00:00"/>
    <s v="Discontinued"/>
  </r>
  <r>
    <x v="62"/>
    <x v="2"/>
    <n v="31"/>
    <n v="96"/>
    <x v="0"/>
    <x v="2"/>
    <n v="317.98"/>
    <s v="Warehouse A"/>
    <d v="2024-07-12T00:00:00"/>
    <d v="2024-10-03T00:00:00"/>
    <s v="Pending Coastal Logistics Partnersonfirmation"/>
  </r>
  <r>
    <x v="61"/>
    <x v="3"/>
    <n v="9"/>
    <n v="23"/>
    <x v="0"/>
    <x v="1"/>
    <n v="103.5"/>
    <s v="Warehouse C"/>
    <d v="2024-10-05T00:00:00"/>
    <d v="2024-11-18T00:00:00"/>
    <s v="Pending Coastal Logistics Partnersonfirmation"/>
  </r>
  <r>
    <x v="73"/>
    <x v="3"/>
    <n v="31"/>
    <n v="50"/>
    <x v="0"/>
    <x v="1"/>
    <n v="218.85"/>
    <s v="Warehouse C"/>
    <d v="2024-10-29T00:00:00"/>
    <d v="2024-12-06T00:00:00"/>
    <s v="Pending Coastal Logistics Partnersonfirmation"/>
  </r>
  <r>
    <x v="74"/>
    <x v="2"/>
    <n v="7"/>
    <n v="61"/>
    <x v="0"/>
    <x v="0"/>
    <n v="93.79"/>
    <s v="Warehouse A"/>
    <d v="2024-05-18T00:00:00"/>
    <d v="2024-07-13T00:00:00"/>
    <m/>
  </r>
  <r>
    <x v="75"/>
    <x v="3"/>
    <n v="64"/>
    <n v="80"/>
    <x v="0"/>
    <x v="0"/>
    <n v="485.48"/>
    <s v="Warehouse C"/>
    <d v="2024-11-13T00:00:00"/>
    <d v="2025-01-23T00:00:00"/>
    <m/>
  </r>
  <r>
    <x v="0"/>
    <x v="1"/>
    <n v="56"/>
    <n v="61"/>
    <x v="0"/>
    <x v="2"/>
    <n v="61.09"/>
    <s v="Warehouse C"/>
    <d v="2024-05-21T00:00:00"/>
    <d v="2024-06-16T00:00:00"/>
    <s v="Discontinued"/>
  </r>
  <r>
    <x v="66"/>
    <x v="1"/>
    <n v="66"/>
    <n v="75"/>
    <x v="0"/>
    <x v="0"/>
    <n v="204.78"/>
    <s v="Warehouse C"/>
    <d v="2024-12-28T00:00:00"/>
    <d v="2025-01-28T00:00:00"/>
    <s v="Discontinued"/>
  </r>
  <r>
    <x v="76"/>
    <x v="0"/>
    <n v="71"/>
    <n v="87"/>
    <x v="0"/>
    <x v="1"/>
    <n v="353.75"/>
    <s v="Warehouse C"/>
    <d v="2024-09-23T00:00:00"/>
    <d v="2024-12-21T00:00:00"/>
    <m/>
  </r>
  <r>
    <x v="77"/>
    <x v="3"/>
    <n v="66"/>
    <n v="73"/>
    <x v="0"/>
    <x v="1"/>
    <n v="176.53"/>
    <s v="Warehouse B"/>
    <d v="2024-04-05T00:00:00"/>
    <d v="2024-04-20T00:00:00"/>
    <s v="High demand"/>
  </r>
  <r>
    <x v="78"/>
    <x v="2"/>
    <n v="7"/>
    <n v="66"/>
    <x v="0"/>
    <x v="2"/>
    <n v="244.1"/>
    <s v="Warehouse C"/>
    <d v="2024-04-02T00:00:00"/>
    <d v="2024-05-14T00:00:00"/>
    <m/>
  </r>
  <r>
    <x v="79"/>
    <x v="2"/>
    <n v="34"/>
    <n v="41"/>
    <x v="0"/>
    <x v="0"/>
    <n v="147.29"/>
    <s v="Warehouse A"/>
    <d v="2024-09-06T00:00:00"/>
    <d v="2024-11-19T00:00:00"/>
    <m/>
  </r>
  <r>
    <x v="75"/>
    <x v="1"/>
    <n v="6"/>
    <n v="87"/>
    <x v="0"/>
    <x v="0"/>
    <n v="482.68"/>
    <s v="Warehouse C"/>
    <d v="2024-10-13T00:00:00"/>
    <d v="2024-11-23T00:00:00"/>
    <s v="Discontinued"/>
  </r>
  <r>
    <x v="69"/>
    <x v="4"/>
    <n v="6"/>
    <n v="43"/>
    <x v="0"/>
    <x v="2"/>
    <n v="339.63"/>
    <s v="Warehouse B"/>
    <d v="2024-11-14T00:00:00"/>
    <d v="2025-01-06T00:00:00"/>
    <m/>
  </r>
  <r>
    <x v="80"/>
    <x v="2"/>
    <n v="35"/>
    <n v="93"/>
    <x v="0"/>
    <x v="0"/>
    <n v="57.42"/>
    <s v="Warehouse B"/>
    <d v="2024-04-06T00:00:00"/>
    <d v="2024-05-08T00:00:00"/>
    <s v="High demand"/>
  </r>
  <r>
    <x v="81"/>
    <x v="4"/>
    <n v="28"/>
    <n v="74"/>
    <x v="0"/>
    <x v="0"/>
    <n v="81.64"/>
    <s v="Warehouse B"/>
    <d v="2024-12-30T00:00:00"/>
    <d v="2025-02-20T00:00:00"/>
    <m/>
  </r>
  <r>
    <x v="82"/>
    <x v="2"/>
    <n v="1"/>
    <n v="68"/>
    <x v="0"/>
    <x v="2"/>
    <n v="442.08"/>
    <s v="Warehouse A"/>
    <d v="2024-05-09T00:00:00"/>
    <d v="2024-08-04T00:00:00"/>
    <s v="High demand"/>
  </r>
  <r>
    <x v="65"/>
    <x v="3"/>
    <n v="10"/>
    <n v="56"/>
    <x v="0"/>
    <x v="1"/>
    <n v="207.04"/>
    <s v="Warehouse C"/>
    <d v="2024-06-22T00:00:00"/>
    <d v="2024-07-20T00:00:00"/>
    <s v="High demand"/>
  </r>
  <r>
    <x v="83"/>
    <x v="0"/>
    <n v="19"/>
    <n v="30"/>
    <x v="0"/>
    <x v="0"/>
    <n v="479"/>
    <s v="Warehouse B"/>
    <d v="2024-02-25T00:00:00"/>
    <d v="2024-04-04T00:00:00"/>
    <s v="High demand"/>
  </r>
  <r>
    <x v="66"/>
    <x v="0"/>
    <n v="4"/>
    <n v="29"/>
    <x v="0"/>
    <x v="0"/>
    <n v="202.52"/>
    <s v="Warehouse A"/>
    <d v="2024-06-05T00:00:00"/>
    <d v="2024-07-17T00:00:00"/>
    <s v="High demand"/>
  </r>
  <r>
    <x v="63"/>
    <x v="2"/>
    <n v="36"/>
    <n v="92"/>
    <x v="0"/>
    <x v="2"/>
    <n v="420.7"/>
    <s v="Warehouse B"/>
    <d v="2024-01-09T00:00:00"/>
    <d v="2024-03-29T00:00:00"/>
    <s v="Pending Coastal Logistics Partnersonfirmation"/>
  </r>
  <r>
    <x v="43"/>
    <x v="4"/>
    <n v="52"/>
    <n v="76"/>
    <x v="0"/>
    <x v="0"/>
    <n v="488.62"/>
    <s v="Warehouse A"/>
    <d v="2024-09-28T00:00:00"/>
    <d v="2024-11-04T00:00:00"/>
    <s v="Discontinued"/>
  </r>
  <r>
    <x v="84"/>
    <x v="0"/>
    <n v="23"/>
    <n v="26"/>
    <x v="0"/>
    <x v="2"/>
    <n v="375.45"/>
    <s v="Warehouse B"/>
    <d v="2024-12-09T00:00:00"/>
    <d v="2025-03-01T00:00:00"/>
    <s v="High demand"/>
  </r>
  <r>
    <x v="85"/>
    <x v="1"/>
    <n v="13"/>
    <n v="79"/>
    <x v="0"/>
    <x v="1"/>
    <n v="308.58"/>
    <s v="Warehouse C"/>
    <d v="2024-01-30T00:00:00"/>
    <d v="2024-02-25T00:00:00"/>
    <s v="Discontinued"/>
  </r>
  <r>
    <x v="86"/>
    <x v="4"/>
    <n v="8"/>
    <n v="65"/>
    <x v="0"/>
    <x v="0"/>
    <n v="320.66000000000003"/>
    <s v="Warehouse C"/>
    <d v="2024-08-23T00:00:00"/>
    <d v="2024-09-24T00:00:00"/>
    <s v="Discontinued"/>
  </r>
  <r>
    <x v="81"/>
    <x v="1"/>
    <n v="24"/>
    <n v="61"/>
    <x v="0"/>
    <x v="2"/>
    <n v="50.24"/>
    <s v="Warehouse C"/>
    <d v="2024-01-16T00:00:00"/>
    <d v="2024-02-16T00:00:00"/>
    <s v="Discontinued"/>
  </r>
  <r>
    <x v="87"/>
    <x v="1"/>
    <n v="21"/>
    <n v="58"/>
    <x v="0"/>
    <x v="2"/>
    <n v="439.35"/>
    <s v="Warehouse B"/>
    <d v="2024-02-10T00:00:00"/>
    <d v="2024-05-05T00:00:00"/>
    <s v="High demand"/>
  </r>
  <r>
    <x v="82"/>
    <x v="2"/>
    <n v="3"/>
    <n v="55"/>
    <x v="0"/>
    <x v="2"/>
    <n v="370.67"/>
    <s v="Warehouse B"/>
    <d v="2024-10-23T00:00:00"/>
    <d v="2025-01-07T00:00:00"/>
    <s v="Discontinued"/>
  </r>
  <r>
    <x v="80"/>
    <x v="2"/>
    <n v="28"/>
    <n v="92"/>
    <x v="0"/>
    <x v="1"/>
    <n v="111.13"/>
    <s v="Warehouse C"/>
    <d v="2024-02-28T00:00:00"/>
    <d v="2024-05-22T00:00:00"/>
    <s v="High demand"/>
  </r>
  <r>
    <x v="88"/>
    <x v="1"/>
    <n v="36"/>
    <n v="60"/>
    <x v="0"/>
    <x v="0"/>
    <n v="35.950000000000003"/>
    <s v="Warehouse C"/>
    <d v="2024-06-13T00:00:00"/>
    <d v="2024-08-17T00:00:00"/>
    <s v="High demand"/>
  </r>
  <r>
    <x v="75"/>
    <x v="1"/>
    <n v="74"/>
    <n v="87"/>
    <x v="0"/>
    <x v="0"/>
    <n v="232.18"/>
    <s v="Warehouse A"/>
    <d v="2024-06-17T00:00:00"/>
    <d v="2024-08-04T00:00:00"/>
    <s v="High demand"/>
  </r>
  <r>
    <x v="62"/>
    <x v="0"/>
    <n v="41"/>
    <n v="79"/>
    <x v="0"/>
    <x v="1"/>
    <n v="475.99"/>
    <s v="Warehouse B"/>
    <d v="2024-09-22T00:00:00"/>
    <d v="2024-11-07T00:00:00"/>
    <s v="High demand"/>
  </r>
  <r>
    <x v="47"/>
    <x v="1"/>
    <n v="40"/>
    <n v="63"/>
    <x v="0"/>
    <x v="2"/>
    <n v="403.52"/>
    <s v="Warehouse B"/>
    <d v="2024-02-15T00:00:00"/>
    <d v="2024-03-03T00:00:00"/>
    <m/>
  </r>
  <r>
    <x v="89"/>
    <x v="4"/>
    <n v="33"/>
    <n v="51"/>
    <x v="0"/>
    <x v="2"/>
    <n v="466.69"/>
    <s v="Warehouse A"/>
    <d v="2024-03-28T00:00:00"/>
    <d v="2024-06-01T00:00:00"/>
    <s v="Pending Coastal Logistics Partnersonfirmation"/>
  </r>
  <r>
    <x v="51"/>
    <x v="4"/>
    <n v="16"/>
    <n v="40"/>
    <x v="0"/>
    <x v="0"/>
    <n v="274.41000000000003"/>
    <s v="Warehouse A"/>
    <d v="2024-07-22T00:00:00"/>
    <d v="2024-10-11T00:00:00"/>
    <s v="Pending Coastal Logistics Partnersonfirmation"/>
  </r>
  <r>
    <x v="90"/>
    <x v="2"/>
    <n v="75"/>
    <n v="86"/>
    <x v="0"/>
    <x v="2"/>
    <n v="370.27"/>
    <s v="Warehouse A"/>
    <d v="2024-12-13T00:00:00"/>
    <d v="2025-01-09T00:00:00"/>
    <m/>
  </r>
  <r>
    <x v="69"/>
    <x v="2"/>
    <n v="85"/>
    <n v="89"/>
    <x v="0"/>
    <x v="0"/>
    <n v="460.78"/>
    <s v="Warehouse B"/>
    <d v="2024-05-29T00:00:00"/>
    <d v="2024-06-29T00:00:00"/>
    <s v="Pending Coastal Logistics Partnersonfirmation"/>
  </r>
  <r>
    <x v="91"/>
    <x v="0"/>
    <n v="56"/>
    <n v="63"/>
    <x v="0"/>
    <x v="1"/>
    <n v="271.47000000000003"/>
    <s v="Warehouse B"/>
    <d v="2024-04-15T00:00:00"/>
    <d v="2024-05-05T00:00:00"/>
    <s v="Discontinued"/>
  </r>
  <r>
    <x v="92"/>
    <x v="1"/>
    <n v="11"/>
    <n v="41"/>
    <x v="0"/>
    <x v="0"/>
    <n v="394.76"/>
    <s v="Warehouse A"/>
    <d v="2024-11-02T00:00:00"/>
    <d v="2024-12-10T00:00:00"/>
    <s v="High demand"/>
  </r>
  <r>
    <x v="93"/>
    <x v="4"/>
    <n v="52"/>
    <n v="63"/>
    <x v="0"/>
    <x v="0"/>
    <n v="229.9"/>
    <s v="Warehouse C"/>
    <d v="2024-11-29T00:00:00"/>
    <d v="2024-12-17T00:00:00"/>
    <s v="Discontinued"/>
  </r>
  <r>
    <x v="83"/>
    <x v="1"/>
    <n v="45"/>
    <n v="99"/>
    <x v="0"/>
    <x v="1"/>
    <n v="36.68"/>
    <s v="Warehouse B"/>
    <d v="2024-02-17T00:00:00"/>
    <d v="2024-04-06T00:00:00"/>
    <s v="Discontinued"/>
  </r>
  <r>
    <x v="94"/>
    <x v="4"/>
    <n v="63"/>
    <n v="81"/>
    <x v="0"/>
    <x v="2"/>
    <n v="413.25"/>
    <s v="Warehouse B"/>
    <d v="2024-03-16T00:00:00"/>
    <d v="2024-05-25T00:00:00"/>
    <s v="High demand"/>
  </r>
  <r>
    <x v="95"/>
    <x v="2"/>
    <n v="53"/>
    <n v="74"/>
    <x v="0"/>
    <x v="2"/>
    <n v="224.74"/>
    <s v="Warehouse B"/>
    <d v="2024-01-04T00:00:00"/>
    <d v="2024-03-26T00:00:00"/>
    <s v="High demand"/>
  </r>
  <r>
    <x v="69"/>
    <x v="0"/>
    <n v="28"/>
    <n v="35"/>
    <x v="0"/>
    <x v="2"/>
    <n v="383.4"/>
    <s v="Warehouse B"/>
    <d v="2024-07-13T00:00:00"/>
    <d v="2024-09-17T00:00:00"/>
    <s v="Discontinued"/>
  </r>
  <r>
    <x v="93"/>
    <x v="3"/>
    <n v="10"/>
    <n v="42"/>
    <x v="0"/>
    <x v="0"/>
    <n v="329.31"/>
    <s v="Warehouse C"/>
    <d v="2024-06-25T00:00:00"/>
    <d v="2024-08-30T00:00:00"/>
    <s v="Pending Coastal Logistics Partnersonfirmation"/>
  </r>
  <r>
    <x v="10"/>
    <x v="2"/>
    <n v="10"/>
    <n v="84"/>
    <x v="0"/>
    <x v="1"/>
    <n v="83.95"/>
    <s v="Warehouse B"/>
    <d v="2024-08-07T00:00:00"/>
    <d v="2024-09-12T00:00:00"/>
    <s v="Discontinued"/>
  </r>
  <r>
    <x v="10"/>
    <x v="3"/>
    <n v="38"/>
    <n v="41"/>
    <x v="0"/>
    <x v="0"/>
    <n v="333.79"/>
    <s v="Warehouse B"/>
    <d v="2024-01-12T00:00:00"/>
    <d v="2024-03-24T00:00:00"/>
    <s v="High demand"/>
  </r>
  <r>
    <x v="96"/>
    <x v="2"/>
    <n v="53"/>
    <n v="91"/>
    <x v="0"/>
    <x v="1"/>
    <n v="441.44"/>
    <s v="Warehouse C"/>
    <d v="2024-02-21T00:00:00"/>
    <d v="2024-03-18T00:00:00"/>
    <s v="High demand"/>
  </r>
  <r>
    <x v="74"/>
    <x v="1"/>
    <n v="32"/>
    <n v="42"/>
    <x v="0"/>
    <x v="2"/>
    <n v="270.10000000000002"/>
    <s v="Warehouse B"/>
    <d v="2024-03-10T00:00:00"/>
    <d v="2024-04-06T00:00:00"/>
    <s v="Discontinued"/>
  </r>
  <r>
    <x v="92"/>
    <x v="1"/>
    <n v="35"/>
    <n v="85"/>
    <x v="0"/>
    <x v="1"/>
    <n v="181.66"/>
    <s v="Warehouse A"/>
    <d v="2024-10-22T00:00:00"/>
    <d v="2025-01-18T00:00:00"/>
    <s v="Discontinued"/>
  </r>
  <r>
    <x v="69"/>
    <x v="0"/>
    <n v="80"/>
    <n v="92"/>
    <x v="0"/>
    <x v="2"/>
    <n v="415.14"/>
    <s v="Warehouse A"/>
    <d v="2024-10-24T00:00:00"/>
    <d v="2024-12-17T00:00:00"/>
    <m/>
  </r>
  <r>
    <x v="50"/>
    <x v="3"/>
    <n v="72"/>
    <n v="81"/>
    <x v="0"/>
    <x v="1"/>
    <n v="166.74"/>
    <s v="Warehouse C"/>
    <d v="2024-02-01T00:00:00"/>
    <d v="2024-02-26T00:00:00"/>
    <s v="Discontinued"/>
  </r>
  <r>
    <x v="66"/>
    <x v="2"/>
    <n v="39"/>
    <n v="42"/>
    <x v="0"/>
    <x v="1"/>
    <n v="180.44"/>
    <s v="Warehouse B"/>
    <d v="2024-12-22T00:00:00"/>
    <d v="2025-03-17T00:00:00"/>
    <s v="High demand"/>
  </r>
  <r>
    <x v="72"/>
    <x v="3"/>
    <n v="16"/>
    <n v="45"/>
    <x v="0"/>
    <x v="2"/>
    <n v="255.29"/>
    <s v="Warehouse C"/>
    <d v="2024-04-24T00:00:00"/>
    <d v="2024-07-03T00:00:00"/>
    <m/>
  </r>
  <r>
    <x v="97"/>
    <x v="2"/>
    <n v="60"/>
    <n v="74"/>
    <x v="0"/>
    <x v="2"/>
    <n v="438.78"/>
    <s v="Warehouse C"/>
    <d v="2024-03-08T00:00:00"/>
    <d v="2024-04-25T00:00:00"/>
    <s v="Discontinued"/>
  </r>
  <r>
    <x v="98"/>
    <x v="2"/>
    <n v="24"/>
    <n v="62"/>
    <x v="0"/>
    <x v="1"/>
    <n v="254.05"/>
    <s v="Warehouse A"/>
    <d v="2024-08-25T00:00:00"/>
    <d v="2024-11-22T00:00:00"/>
    <m/>
  </r>
  <r>
    <x v="91"/>
    <x v="3"/>
    <n v="34"/>
    <n v="79"/>
    <x v="0"/>
    <x v="2"/>
    <n v="430.11"/>
    <s v="Warehouse A"/>
    <d v="2024-02-07T00:00:00"/>
    <d v="2024-04-27T00:00:00"/>
    <m/>
  </r>
  <r>
    <x v="99"/>
    <x v="4"/>
    <n v="11"/>
    <n v="49"/>
    <x v="0"/>
    <x v="1"/>
    <n v="84.38"/>
    <s v="Warehouse A"/>
    <d v="2024-06-29T00:00:00"/>
    <d v="2024-09-01T00:00:00"/>
    <s v="Discontinued"/>
  </r>
  <r>
    <x v="91"/>
    <x v="3"/>
    <n v="18"/>
    <n v="49"/>
    <x v="0"/>
    <x v="2"/>
    <n v="338.45"/>
    <s v="Warehouse B"/>
    <d v="2024-02-19T00:00:00"/>
    <d v="2024-03-29T00:00:00"/>
    <s v="Discontinued"/>
  </r>
  <r>
    <x v="100"/>
    <x v="2"/>
    <n v="48"/>
    <n v="99"/>
    <x v="0"/>
    <x v="0"/>
    <n v="63.19"/>
    <s v="Warehouse B"/>
    <d v="2024-12-09T00:00:00"/>
    <d v="2025-01-09T00:00:00"/>
    <s v="High demand"/>
  </r>
  <r>
    <x v="80"/>
    <x v="3"/>
    <n v="16"/>
    <n v="71"/>
    <x v="0"/>
    <x v="0"/>
    <n v="5.99"/>
    <s v="Warehouse A"/>
    <d v="2024-08-27T00:00:00"/>
    <d v="2024-09-21T00:00:00"/>
    <s v="Pending Coastal Logistics Partnersonfirmation"/>
  </r>
  <r>
    <x v="80"/>
    <x v="1"/>
    <n v="56"/>
    <n v="92"/>
    <x v="0"/>
    <x v="1"/>
    <n v="367.54"/>
    <s v="Warehouse B"/>
    <d v="2024-09-24T00:00:00"/>
    <d v="2024-10-31T00:00:00"/>
    <s v="Discontinued"/>
  </r>
  <r>
    <x v="94"/>
    <x v="0"/>
    <n v="11"/>
    <n v="54"/>
    <x v="0"/>
    <x v="1"/>
    <n v="46.36"/>
    <s v="Warehouse A"/>
    <d v="2024-09-10T00:00:00"/>
    <d v="2024-09-26T00:00:00"/>
    <m/>
  </r>
  <r>
    <x v="43"/>
    <x v="0"/>
    <n v="61"/>
    <n v="85"/>
    <x v="0"/>
    <x v="2"/>
    <n v="14.47"/>
    <s v="Warehouse A"/>
    <d v="2024-04-28T00:00:00"/>
    <d v="2024-07-23T00:00:00"/>
    <s v="Discontinued"/>
  </r>
  <r>
    <x v="77"/>
    <x v="0"/>
    <n v="7"/>
    <n v="97"/>
    <x v="0"/>
    <x v="0"/>
    <n v="124.56"/>
    <s v="Warehouse B"/>
    <d v="2024-03-12T00:00:00"/>
    <d v="2024-05-17T00:00:00"/>
    <m/>
  </r>
  <r>
    <x v="51"/>
    <x v="4"/>
    <n v="24"/>
    <n v="73"/>
    <x v="0"/>
    <x v="0"/>
    <n v="126.45"/>
    <s v="Warehouse A"/>
    <d v="2024-03-15T00:00:00"/>
    <d v="2024-05-05T00:00:00"/>
    <s v="Discontinued"/>
  </r>
  <r>
    <x v="101"/>
    <x v="1"/>
    <n v="11"/>
    <n v="55"/>
    <x v="0"/>
    <x v="0"/>
    <n v="198.56"/>
    <s v="Warehouse C"/>
    <d v="2024-02-27T00:00:00"/>
    <d v="2024-03-22T00:00:00"/>
    <m/>
  </r>
  <r>
    <x v="81"/>
    <x v="0"/>
    <n v="58"/>
    <n v="84"/>
    <x v="0"/>
    <x v="0"/>
    <n v="113.68"/>
    <s v="Warehouse C"/>
    <d v="2024-06-16T00:00:00"/>
    <d v="2024-08-17T00:00:00"/>
    <s v="Discontinued"/>
  </r>
  <r>
    <x v="99"/>
    <x v="0"/>
    <n v="25"/>
    <n v="71"/>
    <x v="0"/>
    <x v="0"/>
    <n v="280.64999999999998"/>
    <s v="Warehouse B"/>
    <d v="2024-05-26T00:00:00"/>
    <d v="2024-08-02T00:00:00"/>
    <s v="Pending Coastal Logistics Partnersonfirmation"/>
  </r>
  <r>
    <x v="67"/>
    <x v="3"/>
    <n v="31"/>
    <n v="60"/>
    <x v="0"/>
    <x v="2"/>
    <n v="217.33"/>
    <s v="Warehouse A"/>
    <d v="2024-12-15T00:00:00"/>
    <d v="2025-01-26T00:00:00"/>
    <s v="High demand"/>
  </r>
  <r>
    <x v="0"/>
    <x v="2"/>
    <n v="9"/>
    <n v="25"/>
    <x v="0"/>
    <x v="0"/>
    <n v="272.75"/>
    <s v="Warehouse C"/>
    <d v="2024-10-31T00:00:00"/>
    <d v="2024-11-16T00:00:00"/>
    <s v="Discontinued"/>
  </r>
  <r>
    <x v="102"/>
    <x v="0"/>
    <n v="15"/>
    <n v="44"/>
    <x v="0"/>
    <x v="1"/>
    <n v="349.73"/>
    <s v="Warehouse B"/>
    <d v="2024-11-07T00:00:00"/>
    <d v="2024-12-04T00:00:00"/>
    <s v="Discontinued"/>
  </r>
  <r>
    <x v="103"/>
    <x v="2"/>
    <n v="25"/>
    <n v="87"/>
    <x v="0"/>
    <x v="0"/>
    <n v="208.92"/>
    <s v="Warehouse C"/>
    <d v="2024-10-27T00:00:00"/>
    <d v="2025-01-02T00:00:00"/>
    <s v="Discontinued"/>
  </r>
  <r>
    <x v="104"/>
    <x v="1"/>
    <n v="13"/>
    <n v="87"/>
    <x v="0"/>
    <x v="2"/>
    <n v="268.58999999999997"/>
    <s v="Warehouse B"/>
    <d v="2024-06-22T00:00:00"/>
    <d v="2024-07-30T00:00:00"/>
    <m/>
  </r>
  <r>
    <x v="105"/>
    <x v="0"/>
    <n v="6"/>
    <n v="31"/>
    <x v="0"/>
    <x v="2"/>
    <n v="63.02"/>
    <s v="Warehouse A"/>
    <d v="2024-06-27T00:00:00"/>
    <d v="2024-08-07T00:00:00"/>
    <m/>
  </r>
  <r>
    <x v="106"/>
    <x v="3"/>
    <n v="71"/>
    <n v="97"/>
    <x v="0"/>
    <x v="0"/>
    <n v="107.09"/>
    <s v="Warehouse C"/>
    <d v="2024-09-14T00:00:00"/>
    <d v="2024-11-14T00:00:00"/>
    <s v="Pending Coastal Logistics Partnersonfirmation"/>
  </r>
  <r>
    <x v="103"/>
    <x v="3"/>
    <n v="16"/>
    <n v="21"/>
    <x v="0"/>
    <x v="2"/>
    <n v="39.18"/>
    <s v="Warehouse A"/>
    <d v="2024-09-26T00:00:00"/>
    <d v="2024-11-27T00:00:00"/>
    <s v="High demand"/>
  </r>
  <r>
    <x v="54"/>
    <x v="4"/>
    <n v="13"/>
    <n v="79"/>
    <x v="0"/>
    <x v="1"/>
    <n v="239.76"/>
    <s v="Warehouse C"/>
    <d v="2024-08-06T00:00:00"/>
    <d v="2024-09-08T00:00:00"/>
    <s v="Pending Coastal Logistics Partnersonfirmation"/>
  </r>
  <r>
    <x v="107"/>
    <x v="2"/>
    <n v="36"/>
    <n v="69"/>
    <x v="0"/>
    <x v="1"/>
    <n v="418.88"/>
    <s v="Warehouse A"/>
    <d v="2024-03-18T00:00:00"/>
    <d v="2024-06-04T00:00:00"/>
    <s v="Discontinued"/>
  </r>
  <r>
    <x v="108"/>
    <x v="0"/>
    <n v="14"/>
    <n v="40"/>
    <x v="0"/>
    <x v="0"/>
    <n v="228.39"/>
    <s v="Warehouse C"/>
    <d v="2024-06-16T00:00:00"/>
    <d v="2024-07-21T00:00:00"/>
    <m/>
  </r>
  <r>
    <x v="109"/>
    <x v="4"/>
    <n v="3"/>
    <n v="47"/>
    <x v="0"/>
    <x v="1"/>
    <n v="428.21"/>
    <s v="Warehouse B"/>
    <d v="2024-11-16T00:00:00"/>
    <d v="2025-01-15T00:00:00"/>
    <s v="High demand"/>
  </r>
  <r>
    <x v="59"/>
    <x v="3"/>
    <n v="15"/>
    <n v="23"/>
    <x v="0"/>
    <x v="0"/>
    <n v="402.75"/>
    <s v="Warehouse C"/>
    <d v="2024-11-17T00:00:00"/>
    <d v="2025-02-02T00:00:00"/>
    <m/>
  </r>
  <r>
    <x v="83"/>
    <x v="3"/>
    <n v="54"/>
    <n v="71"/>
    <x v="0"/>
    <x v="0"/>
    <n v="197.76"/>
    <s v="Warehouse C"/>
    <d v="2024-09-13T00:00:00"/>
    <d v="2024-10-22T00:00:00"/>
    <s v="Discontinued"/>
  </r>
  <r>
    <x v="66"/>
    <x v="0"/>
    <n v="33"/>
    <n v="57"/>
    <x v="0"/>
    <x v="2"/>
    <n v="484.19"/>
    <s v="Warehouse C"/>
    <d v="2024-06-22T00:00:00"/>
    <d v="2024-09-11T00:00:00"/>
    <m/>
  </r>
  <r>
    <x v="66"/>
    <x v="4"/>
    <n v="12"/>
    <n v="82"/>
    <x v="0"/>
    <x v="2"/>
    <n v="325.92"/>
    <s v="Warehouse B"/>
    <d v="2024-06-29T00:00:00"/>
    <d v="2024-09-02T00:00:00"/>
    <s v="Pending Coastal Logistics Partnersonfirmation"/>
  </r>
  <r>
    <x v="59"/>
    <x v="4"/>
    <n v="17"/>
    <n v="81"/>
    <x v="0"/>
    <x v="0"/>
    <n v="190.86"/>
    <s v="Warehouse C"/>
    <d v="2024-02-18T00:00:00"/>
    <d v="2024-05-06T00:00:00"/>
    <m/>
  </r>
  <r>
    <x v="79"/>
    <x v="3"/>
    <n v="38"/>
    <n v="90"/>
    <x v="0"/>
    <x v="0"/>
    <n v="281.73"/>
    <s v="Warehouse C"/>
    <d v="2024-01-30T00:00:00"/>
    <d v="2024-02-15T00:00:00"/>
    <s v="Discontinued"/>
  </r>
  <r>
    <x v="110"/>
    <x v="3"/>
    <n v="28"/>
    <n v="74"/>
    <x v="0"/>
    <x v="0"/>
    <n v="113.96"/>
    <s v="Warehouse A"/>
    <d v="2024-03-12T00:00:00"/>
    <d v="2024-05-25T00:00:00"/>
    <s v="Pending Coastal Logistics Partnersonfirmation"/>
  </r>
  <r>
    <x v="110"/>
    <x v="2"/>
    <n v="61"/>
    <n v="81"/>
    <x v="0"/>
    <x v="0"/>
    <n v="189.4"/>
    <s v="Warehouse A"/>
    <d v="2024-06-06T00:00:00"/>
    <d v="2024-07-21T00:00:00"/>
    <s v="High demand"/>
  </r>
  <r>
    <x v="80"/>
    <x v="1"/>
    <n v="15"/>
    <n v="98"/>
    <x v="0"/>
    <x v="2"/>
    <n v="187.94"/>
    <s v="Warehouse B"/>
    <d v="2024-07-30T00:00:00"/>
    <d v="2024-09-18T00:00:00"/>
    <s v="Discontinued"/>
  </r>
  <r>
    <x v="111"/>
    <x v="3"/>
    <n v="9"/>
    <n v="77"/>
    <x v="0"/>
    <x v="2"/>
    <n v="330.08"/>
    <s v="Warehouse A"/>
    <d v="2024-10-25T00:00:00"/>
    <d v="2024-12-27T00:00:00"/>
    <s v="Discontinued"/>
  </r>
  <r>
    <x v="112"/>
    <x v="0"/>
    <n v="2"/>
    <n v="55"/>
    <x v="0"/>
    <x v="2"/>
    <n v="387.54"/>
    <s v="Warehouse A"/>
    <d v="2024-12-28T00:00:00"/>
    <d v="2025-01-26T00:00:00"/>
    <m/>
  </r>
  <r>
    <x v="50"/>
    <x v="0"/>
    <n v="67"/>
    <n v="71"/>
    <x v="0"/>
    <x v="0"/>
    <n v="392.07"/>
    <s v="Warehouse B"/>
    <d v="2024-11-18T00:00:00"/>
    <d v="2024-12-05T00:00:00"/>
    <s v="Pending Coastal Logistics Partnersonfirmation"/>
  </r>
  <r>
    <x v="74"/>
    <x v="2"/>
    <n v="36"/>
    <n v="87"/>
    <x v="0"/>
    <x v="1"/>
    <n v="261.41000000000003"/>
    <s v="Warehouse C"/>
    <d v="2024-10-31T00:00:00"/>
    <d v="2024-11-27T00:00:00"/>
    <s v="Discontinued"/>
  </r>
  <r>
    <x v="97"/>
    <x v="2"/>
    <n v="36"/>
    <n v="60"/>
    <x v="0"/>
    <x v="1"/>
    <n v="445.12"/>
    <s v="Warehouse C"/>
    <d v="2024-06-05T00:00:00"/>
    <d v="2024-08-29T00:00:00"/>
    <m/>
  </r>
  <r>
    <x v="10"/>
    <x v="1"/>
    <n v="38"/>
    <n v="48"/>
    <x v="0"/>
    <x v="0"/>
    <n v="359.62"/>
    <s v="Warehouse A"/>
    <d v="2024-07-14T00:00:00"/>
    <d v="2024-09-30T00:00:00"/>
    <m/>
  </r>
  <r>
    <x v="111"/>
    <x v="4"/>
    <n v="62"/>
    <n v="77"/>
    <x v="0"/>
    <x v="1"/>
    <n v="105.12"/>
    <s v="Warehouse C"/>
    <d v="2024-06-10T00:00:00"/>
    <d v="2024-07-02T00:00:00"/>
    <s v="High demand"/>
  </r>
  <r>
    <x v="113"/>
    <x v="4"/>
    <n v="45"/>
    <n v="79"/>
    <x v="0"/>
    <x v="2"/>
    <n v="160.34"/>
    <s v="Warehouse C"/>
    <d v="2024-11-05T00:00:00"/>
    <d v="2025-01-16T00:00:00"/>
    <s v="Pending Coastal Logistics Partnersonfirmation"/>
  </r>
  <r>
    <x v="114"/>
    <x v="1"/>
    <n v="10"/>
    <n v="47"/>
    <x v="0"/>
    <x v="1"/>
    <n v="111.38"/>
    <s v="Warehouse C"/>
    <d v="2024-11-20T00:00:00"/>
    <d v="2025-01-04T00:00:00"/>
    <m/>
  </r>
  <r>
    <x v="81"/>
    <x v="1"/>
    <n v="61"/>
    <n v="94"/>
    <x v="0"/>
    <x v="0"/>
    <n v="215.3"/>
    <s v="Warehouse C"/>
    <d v="2024-11-29T00:00:00"/>
    <d v="2024-12-22T00:00:00"/>
    <m/>
  </r>
  <r>
    <x v="109"/>
    <x v="4"/>
    <n v="51"/>
    <n v="91"/>
    <x v="0"/>
    <x v="2"/>
    <n v="43.1"/>
    <s v="Warehouse B"/>
    <d v="2024-03-22T00:00:00"/>
    <d v="2024-05-04T00:00:00"/>
    <s v="Discontinued"/>
  </r>
  <r>
    <x v="40"/>
    <x v="4"/>
    <n v="3"/>
    <n v="68"/>
    <x v="0"/>
    <x v="2"/>
    <n v="349.6"/>
    <s v="Warehouse C"/>
    <d v="2024-06-05T00:00:00"/>
    <d v="2024-07-25T00:00:00"/>
    <s v="High demand"/>
  </r>
  <r>
    <x v="50"/>
    <x v="0"/>
    <n v="58"/>
    <n v="98"/>
    <x v="0"/>
    <x v="0"/>
    <n v="194.49"/>
    <s v="Warehouse C"/>
    <d v="2024-02-15T00:00:00"/>
    <d v="2024-04-06T00:00:00"/>
    <s v="Pending Coastal Logistics Partnersonfirmation"/>
  </r>
  <r>
    <x v="87"/>
    <x v="3"/>
    <n v="62"/>
    <n v="88"/>
    <x v="0"/>
    <x v="2"/>
    <n v="139.61000000000001"/>
    <s v="Warehouse C"/>
    <d v="2024-03-14T00:00:00"/>
    <d v="2024-04-25T00:00:00"/>
    <m/>
  </r>
  <r>
    <x v="52"/>
    <x v="1"/>
    <n v="56"/>
    <n v="91"/>
    <x v="0"/>
    <x v="0"/>
    <n v="138.41"/>
    <s v="Warehouse A"/>
    <d v="2024-05-30T00:00:00"/>
    <d v="2024-07-12T00:00:00"/>
    <m/>
  </r>
  <r>
    <x v="115"/>
    <x v="0"/>
    <n v="2"/>
    <n v="20"/>
    <x v="0"/>
    <x v="1"/>
    <n v="348.85"/>
    <s v="Warehouse C"/>
    <d v="2024-06-11T00:00:00"/>
    <d v="2024-08-13T00:00:00"/>
    <m/>
  </r>
  <r>
    <x v="113"/>
    <x v="0"/>
    <n v="5"/>
    <n v="43"/>
    <x v="0"/>
    <x v="1"/>
    <n v="299.68"/>
    <s v="Warehouse C"/>
    <d v="2024-12-06T00:00:00"/>
    <d v="2025-03-02T00:00:00"/>
    <s v="High demand"/>
  </r>
  <r>
    <x v="82"/>
    <x v="0"/>
    <n v="4"/>
    <n v="43"/>
    <x v="0"/>
    <x v="1"/>
    <n v="135.99"/>
    <s v="Warehouse C"/>
    <d v="2024-09-21T00:00:00"/>
    <d v="2024-10-10T00:00:00"/>
    <s v="High demand"/>
  </r>
  <r>
    <x v="13"/>
    <x v="0"/>
    <n v="4"/>
    <n v="36"/>
    <x v="0"/>
    <x v="0"/>
    <n v="332.67"/>
    <s v="Warehouse C"/>
    <d v="2024-07-08T00:00:00"/>
    <d v="2024-09-02T00:00:00"/>
    <s v="Pending Coastal Logistics Partnersonfirmation"/>
  </r>
  <r>
    <x v="103"/>
    <x v="2"/>
    <n v="8"/>
    <n v="77"/>
    <x v="0"/>
    <x v="0"/>
    <n v="97.92"/>
    <s v="Warehouse B"/>
    <d v="2024-01-22T00:00:00"/>
    <d v="2024-03-03T00:00:00"/>
    <s v="High demand"/>
  </r>
  <r>
    <x v="116"/>
    <x v="3"/>
    <n v="19"/>
    <n v="30"/>
    <x v="0"/>
    <x v="2"/>
    <n v="350.98"/>
    <s v="Warehouse B"/>
    <d v="2024-09-25T00:00:00"/>
    <d v="2024-11-24T00:00:00"/>
    <s v="Pending Coastal Logistics Partnersonfirmation"/>
  </r>
  <r>
    <x v="40"/>
    <x v="4"/>
    <n v="2"/>
    <n v="27"/>
    <x v="0"/>
    <x v="2"/>
    <n v="24.29"/>
    <s v="Warehouse A"/>
    <d v="2024-02-11T00:00:00"/>
    <d v="2024-03-21T00:00:00"/>
    <s v="Pending Coastal Logistics Partnersonfirmation"/>
  </r>
  <r>
    <x v="101"/>
    <x v="0"/>
    <n v="12"/>
    <n v="29"/>
    <x v="0"/>
    <x v="1"/>
    <n v="164.9"/>
    <s v="Warehouse B"/>
    <d v="2024-04-02T00:00:00"/>
    <d v="2024-06-22T00:00:00"/>
    <m/>
  </r>
  <r>
    <x v="117"/>
    <x v="4"/>
    <n v="72"/>
    <n v="92"/>
    <x v="0"/>
    <x v="1"/>
    <n v="450.98"/>
    <s v="Warehouse C"/>
    <d v="2024-07-16T00:00:00"/>
    <d v="2024-09-21T00:00:00"/>
    <s v="Discontinued"/>
  </r>
  <r>
    <x v="118"/>
    <x v="1"/>
    <n v="67"/>
    <n v="85"/>
    <x v="0"/>
    <x v="1"/>
    <n v="498.1"/>
    <s v="Warehouse A"/>
    <d v="2024-06-11T00:00:00"/>
    <d v="2024-08-30T00:00:00"/>
    <s v="Discontinued"/>
  </r>
  <r>
    <x v="52"/>
    <x v="3"/>
    <n v="10"/>
    <n v="68"/>
    <x v="0"/>
    <x v="1"/>
    <n v="290.47000000000003"/>
    <s v="Warehouse C"/>
    <d v="2024-08-01T00:00:00"/>
    <d v="2024-09-21T00:00:00"/>
    <s v="Discontinued"/>
  </r>
  <r>
    <x v="119"/>
    <x v="3"/>
    <n v="66"/>
    <n v="97"/>
    <x v="0"/>
    <x v="0"/>
    <n v="499.45"/>
    <s v="Warehouse C"/>
    <d v="2024-11-19T00:00:00"/>
    <d v="2025-02-06T00:00:00"/>
    <s v="Discontinued"/>
  </r>
  <r>
    <x v="120"/>
    <x v="1"/>
    <n v="28"/>
    <n v="81"/>
    <x v="0"/>
    <x v="1"/>
    <n v="375.35"/>
    <s v="Warehouse C"/>
    <d v="2024-09-21T00:00:00"/>
    <d v="2024-10-06T00:00:00"/>
    <m/>
  </r>
  <r>
    <x v="0"/>
    <x v="3"/>
    <n v="8"/>
    <n v="32"/>
    <x v="0"/>
    <x v="2"/>
    <n v="208.54"/>
    <s v="Warehouse A"/>
    <d v="2024-07-27T00:00:00"/>
    <d v="2024-09-24T00:00:00"/>
    <s v="Pending Coastal Logistics Partnersonfirmation"/>
  </r>
  <r>
    <x v="119"/>
    <x v="1"/>
    <n v="39"/>
    <n v="72"/>
    <x v="0"/>
    <x v="0"/>
    <n v="69.39"/>
    <s v="Warehouse B"/>
    <d v="2024-05-22T00:00:00"/>
    <d v="2024-07-01T00:00:00"/>
    <s v="Discontinued"/>
  </r>
  <r>
    <x v="102"/>
    <x v="1"/>
    <n v="24"/>
    <n v="51"/>
    <x v="0"/>
    <x v="2"/>
    <n v="16.100000000000001"/>
    <s v="Warehouse A"/>
    <d v="2024-08-21T00:00:00"/>
    <d v="2024-11-08T00:00:00"/>
    <s v="Pending Coastal Logistics Partnersonfirmation"/>
  </r>
  <r>
    <x v="88"/>
    <x v="4"/>
    <n v="4"/>
    <n v="35"/>
    <x v="0"/>
    <x v="2"/>
    <n v="183.41"/>
    <s v="Warehouse C"/>
    <d v="2024-01-28T00:00:00"/>
    <d v="2024-03-06T00:00:00"/>
    <s v="Discontinued"/>
  </r>
  <r>
    <x v="83"/>
    <x v="0"/>
    <n v="36"/>
    <n v="44"/>
    <x v="0"/>
    <x v="1"/>
    <n v="419.37"/>
    <s v="Warehouse A"/>
    <d v="2024-01-20T00:00:00"/>
    <d v="2024-04-08T00:00:00"/>
    <m/>
  </r>
  <r>
    <x v="54"/>
    <x v="3"/>
    <n v="59"/>
    <n v="78"/>
    <x v="0"/>
    <x v="0"/>
    <n v="311.67"/>
    <s v="Warehouse C"/>
    <d v="2024-12-05T00:00:00"/>
    <d v="2025-02-25T00:00:00"/>
    <m/>
  </r>
  <r>
    <x v="111"/>
    <x v="1"/>
    <n v="27"/>
    <n v="41"/>
    <x v="0"/>
    <x v="0"/>
    <n v="314.18"/>
    <s v="Warehouse A"/>
    <d v="2024-07-30T00:00:00"/>
    <d v="2024-10-21T00:00:00"/>
    <s v="Discontinued"/>
  </r>
  <r>
    <x v="63"/>
    <x v="1"/>
    <n v="39"/>
    <n v="70"/>
    <x v="0"/>
    <x v="1"/>
    <n v="495.39"/>
    <s v="Warehouse C"/>
    <d v="2024-01-28T00:00:00"/>
    <d v="2024-03-23T00:00:00"/>
    <s v="Pending Coastal Logistics Partnersonfirmation"/>
  </r>
  <r>
    <x v="85"/>
    <x v="3"/>
    <n v="44"/>
    <n v="65"/>
    <x v="0"/>
    <x v="1"/>
    <n v="379.58"/>
    <s v="Warehouse C"/>
    <d v="2024-07-03T00:00:00"/>
    <d v="2024-09-05T00:00:00"/>
    <m/>
  </r>
  <r>
    <x v="53"/>
    <x v="0"/>
    <n v="39"/>
    <n v="40"/>
    <x v="0"/>
    <x v="1"/>
    <n v="464.92"/>
    <s v="Warehouse B"/>
    <d v="2024-06-30T00:00:00"/>
    <d v="2024-08-09T00:00:00"/>
    <s v="Pending Coastal Logistics Partnersonfirmation"/>
  </r>
  <r>
    <x v="109"/>
    <x v="3"/>
    <n v="39"/>
    <n v="40"/>
    <x v="0"/>
    <x v="0"/>
    <n v="266.2"/>
    <s v="Warehouse B"/>
    <d v="2024-08-22T00:00:00"/>
    <d v="2024-10-23T00:00:00"/>
    <s v="Discontinued"/>
  </r>
  <r>
    <x v="120"/>
    <x v="3"/>
    <n v="32"/>
    <n v="65"/>
    <x v="0"/>
    <x v="0"/>
    <n v="497.84"/>
    <s v="Warehouse B"/>
    <d v="2024-11-12T00:00:00"/>
    <d v="2025-02-05T00:00:00"/>
    <s v="Pending Coastal Logistics Partnersonfirmation"/>
  </r>
  <r>
    <x v="40"/>
    <x v="1"/>
    <n v="5"/>
    <n v="26"/>
    <x v="0"/>
    <x v="0"/>
    <n v="490.65"/>
    <s v="Warehouse A"/>
    <d v="2024-11-06T00:00:00"/>
    <d v="2024-12-22T00:00:00"/>
    <s v="Discontinued"/>
  </r>
  <r>
    <x v="121"/>
    <x v="0"/>
    <n v="79"/>
    <n v="94"/>
    <x v="0"/>
    <x v="0"/>
    <n v="403.18"/>
    <s v="Warehouse B"/>
    <d v="2024-01-11T00:00:00"/>
    <d v="2024-02-14T00:00:00"/>
    <s v="Pending Coastal Logistics Partnersonfirmation"/>
  </r>
  <r>
    <x v="105"/>
    <x v="4"/>
    <n v="47"/>
    <n v="48"/>
    <x v="0"/>
    <x v="0"/>
    <n v="340.38"/>
    <s v="Warehouse B"/>
    <d v="2024-11-15T00:00:00"/>
    <d v="2025-01-24T00:00:00"/>
    <s v="Pending Coastal Logistics Partnersonfirmation"/>
  </r>
  <r>
    <x v="122"/>
    <x v="3"/>
    <n v="12"/>
    <n v="71"/>
    <x v="0"/>
    <x v="2"/>
    <n v="471.14"/>
    <s v="Warehouse A"/>
    <d v="2024-01-10T00:00:00"/>
    <d v="2024-02-23T00:00:00"/>
    <s v="Pending Coastal Logistics Partnersonfirmation"/>
  </r>
  <r>
    <x v="123"/>
    <x v="4"/>
    <n v="44"/>
    <n v="69"/>
    <x v="0"/>
    <x v="0"/>
    <n v="252.68"/>
    <s v="Warehouse A"/>
    <d v="2024-02-25T00:00:00"/>
    <d v="2024-04-15T00:00:00"/>
    <s v="Discontinued"/>
  </r>
  <r>
    <x v="95"/>
    <x v="0"/>
    <n v="88"/>
    <n v="98"/>
    <x v="0"/>
    <x v="2"/>
    <n v="346.99"/>
    <s v="Warehouse B"/>
    <d v="2024-02-17T00:00:00"/>
    <d v="2024-04-26T00:00:00"/>
    <m/>
  </r>
  <r>
    <x v="76"/>
    <x v="3"/>
    <n v="6"/>
    <n v="75"/>
    <x v="0"/>
    <x v="1"/>
    <n v="354.04"/>
    <s v="Warehouse B"/>
    <d v="2024-07-27T00:00:00"/>
    <d v="2024-10-17T00:00:00"/>
    <s v="High demand"/>
  </r>
  <r>
    <x v="124"/>
    <x v="2"/>
    <n v="44"/>
    <n v="82"/>
    <x v="0"/>
    <x v="0"/>
    <n v="335.54"/>
    <s v="Warehouse A"/>
    <d v="2024-08-19T00:00:00"/>
    <d v="2024-10-24T00:00:00"/>
    <s v="High demand"/>
  </r>
  <r>
    <x v="125"/>
    <x v="4"/>
    <n v="30"/>
    <n v="42"/>
    <x v="0"/>
    <x v="2"/>
    <n v="89.02"/>
    <s v="Warehouse A"/>
    <d v="2024-01-30T00:00:00"/>
    <d v="2024-04-03T00:00:00"/>
    <m/>
  </r>
  <r>
    <x v="126"/>
    <x v="3"/>
    <n v="22"/>
    <n v="48"/>
    <x v="0"/>
    <x v="1"/>
    <n v="14.48"/>
    <s v="Warehouse C"/>
    <d v="2024-10-21T00:00:00"/>
    <d v="2024-12-15T00:00:00"/>
    <s v="Pending Coastal Logistics Partnersonfirmation"/>
  </r>
  <r>
    <x v="54"/>
    <x v="1"/>
    <n v="38"/>
    <n v="91"/>
    <x v="0"/>
    <x v="0"/>
    <n v="270.29000000000002"/>
    <s v="Warehouse B"/>
    <d v="2024-06-15T00:00:00"/>
    <d v="2024-08-07T00:00:00"/>
    <s v="Discontinued"/>
  </r>
  <r>
    <x v="66"/>
    <x v="1"/>
    <n v="1"/>
    <n v="84"/>
    <x v="0"/>
    <x v="1"/>
    <n v="288.44"/>
    <s v="Warehouse C"/>
    <d v="2024-03-05T00:00:00"/>
    <d v="2024-05-18T00:00:00"/>
    <s v="High demand"/>
  </r>
  <r>
    <x v="104"/>
    <x v="3"/>
    <n v="11"/>
    <n v="83"/>
    <x v="0"/>
    <x v="0"/>
    <n v="461.05"/>
    <s v="Warehouse C"/>
    <d v="2024-10-29T00:00:00"/>
    <d v="2025-01-24T00:00:00"/>
    <s v="Discontinued"/>
  </r>
  <r>
    <x v="127"/>
    <x v="0"/>
    <n v="12"/>
    <n v="65"/>
    <x v="0"/>
    <x v="0"/>
    <n v="180.69"/>
    <s v="Warehouse C"/>
    <d v="2024-12-29T00:00:00"/>
    <d v="2025-03-01T00:00:00"/>
    <s v="High demand"/>
  </r>
  <r>
    <x v="61"/>
    <x v="2"/>
    <n v="45"/>
    <n v="46"/>
    <x v="0"/>
    <x v="2"/>
    <n v="30.73"/>
    <s v="Warehouse B"/>
    <d v="2024-09-14T00:00:00"/>
    <d v="2024-10-12T00:00:00"/>
    <s v="High demand"/>
  </r>
  <r>
    <x v="94"/>
    <x v="4"/>
    <n v="16"/>
    <n v="32"/>
    <x v="0"/>
    <x v="2"/>
    <n v="46.86"/>
    <s v="Warehouse A"/>
    <d v="2024-08-13T00:00:00"/>
    <d v="2024-10-24T00:00:00"/>
    <m/>
  </r>
  <r>
    <x v="34"/>
    <x v="0"/>
    <n v="73"/>
    <n v="94"/>
    <x v="0"/>
    <x v="0"/>
    <n v="402.31"/>
    <s v="Warehouse C"/>
    <d v="2024-10-26T00:00:00"/>
    <d v="2024-11-14T00:00:00"/>
    <s v="Discontinued"/>
  </r>
  <r>
    <x v="128"/>
    <x v="3"/>
    <n v="59"/>
    <n v="75"/>
    <x v="0"/>
    <x v="2"/>
    <n v="449.2"/>
    <s v="Warehouse C"/>
    <d v="2024-10-13T00:00:00"/>
    <d v="2024-12-09T00:00:00"/>
    <s v="Discontinued"/>
  </r>
  <r>
    <x v="114"/>
    <x v="3"/>
    <n v="21"/>
    <n v="23"/>
    <x v="0"/>
    <x v="2"/>
    <n v="235.18"/>
    <s v="Warehouse C"/>
    <d v="2024-01-29T00:00:00"/>
    <d v="2024-02-21T00:00:00"/>
    <m/>
  </r>
  <r>
    <x v="52"/>
    <x v="1"/>
    <n v="16"/>
    <n v="73"/>
    <x v="0"/>
    <x v="1"/>
    <n v="409.4"/>
    <s v="Warehouse C"/>
    <d v="2024-06-27T00:00:00"/>
    <d v="2024-09-06T00:00:00"/>
    <s v="High demand"/>
  </r>
  <r>
    <x v="104"/>
    <x v="2"/>
    <n v="11"/>
    <n v="40"/>
    <x v="0"/>
    <x v="2"/>
    <n v="427.01"/>
    <s v="Warehouse A"/>
    <d v="2024-11-15T00:00:00"/>
    <d v="2024-12-28T00:00:00"/>
    <s v="Pending Coastal Logistics Partnersonfirmation"/>
  </r>
  <r>
    <x v="70"/>
    <x v="3"/>
    <n v="21"/>
    <n v="76"/>
    <x v="0"/>
    <x v="2"/>
    <n v="118.54"/>
    <s v="Warehouse A"/>
    <d v="2024-10-14T00:00:00"/>
    <d v="2024-11-01T00:00:00"/>
    <s v="Pending Coastal Logistics Partnersonfirmation"/>
  </r>
  <r>
    <x v="59"/>
    <x v="1"/>
    <n v="13"/>
    <n v="36"/>
    <x v="0"/>
    <x v="0"/>
    <n v="54.98"/>
    <s v="Warehouse B"/>
    <d v="2024-07-22T00:00:00"/>
    <d v="2024-09-18T00:00:00"/>
    <s v="High demand"/>
  </r>
  <r>
    <x v="61"/>
    <x v="2"/>
    <n v="28"/>
    <n v="33"/>
    <x v="0"/>
    <x v="0"/>
    <n v="486.67"/>
    <s v="Warehouse B"/>
    <d v="2024-08-19T00:00:00"/>
    <d v="2024-09-05T00:00:00"/>
    <m/>
  </r>
  <r>
    <x v="95"/>
    <x v="2"/>
    <n v="6"/>
    <n v="74"/>
    <x v="0"/>
    <x v="2"/>
    <n v="142.79"/>
    <s v="Warehouse B"/>
    <d v="2024-12-13T00:00:00"/>
    <d v="2025-02-23T00:00:00"/>
    <s v="Pending Coastal Logistics Partnersonfirmation"/>
  </r>
  <r>
    <x v="129"/>
    <x v="0"/>
    <n v="32"/>
    <n v="53"/>
    <x v="0"/>
    <x v="2"/>
    <n v="153.19"/>
    <s v="Warehouse A"/>
    <d v="2024-08-30T00:00:00"/>
    <d v="2024-11-09T00:00:00"/>
    <s v="Discontinued"/>
  </r>
  <r>
    <x v="64"/>
    <x v="2"/>
    <n v="25"/>
    <n v="68"/>
    <x v="0"/>
    <x v="2"/>
    <n v="109.2"/>
    <s v="Warehouse C"/>
    <d v="2024-04-13T00:00:00"/>
    <d v="2024-07-05T00:00:00"/>
    <s v="Pending Coastal Logistics Partnersonfirmation"/>
  </r>
  <r>
    <x v="121"/>
    <x v="4"/>
    <n v="28"/>
    <n v="41"/>
    <x v="0"/>
    <x v="0"/>
    <n v="77.73"/>
    <s v="Warehouse B"/>
    <d v="2024-07-29T00:00:00"/>
    <d v="2024-09-26T00:00:00"/>
    <m/>
  </r>
  <r>
    <x v="92"/>
    <x v="4"/>
    <n v="3"/>
    <n v="43"/>
    <x v="0"/>
    <x v="1"/>
    <n v="174.61"/>
    <s v="Warehouse B"/>
    <d v="2024-11-08T00:00:00"/>
    <d v="2024-12-01T00:00:00"/>
    <s v="Discontinued"/>
  </r>
  <r>
    <x v="0"/>
    <x v="2"/>
    <n v="38"/>
    <n v="77"/>
    <x v="0"/>
    <x v="2"/>
    <n v="45.95"/>
    <s v="Warehouse C"/>
    <d v="2024-03-02T00:00:00"/>
    <d v="2024-05-22T00:00:00"/>
    <s v="Pending Coastal Logistics Partnersonfirmation"/>
  </r>
  <r>
    <x v="64"/>
    <x v="3"/>
    <n v="14"/>
    <n v="50"/>
    <x v="0"/>
    <x v="0"/>
    <n v="244.85"/>
    <s v="Warehouse B"/>
    <d v="2024-08-18T00:00:00"/>
    <d v="2024-10-01T00:00:00"/>
    <s v="High demand"/>
  </r>
  <r>
    <x v="99"/>
    <x v="3"/>
    <n v="28"/>
    <n v="38"/>
    <x v="0"/>
    <x v="2"/>
    <n v="283.89"/>
    <s v="Warehouse A"/>
    <d v="2024-12-20T00:00:00"/>
    <d v="2025-01-06T00:00:00"/>
    <s v="Pending Coastal Logistics Partnersonfirmation"/>
  </r>
  <r>
    <x v="104"/>
    <x v="0"/>
    <n v="31"/>
    <n v="74"/>
    <x v="0"/>
    <x v="1"/>
    <n v="255.23"/>
    <s v="Warehouse C"/>
    <d v="2024-12-08T00:00:00"/>
    <d v="2025-01-17T00:00:00"/>
    <s v="High demand"/>
  </r>
  <r>
    <x v="55"/>
    <x v="0"/>
    <n v="21"/>
    <n v="94"/>
    <x v="0"/>
    <x v="1"/>
    <n v="246.48"/>
    <s v="Warehouse B"/>
    <d v="2024-04-04T00:00:00"/>
    <d v="2024-06-03T00:00:00"/>
    <m/>
  </r>
  <r>
    <x v="99"/>
    <x v="0"/>
    <n v="26"/>
    <n v="76"/>
    <x v="0"/>
    <x v="1"/>
    <n v="45.72"/>
    <s v="Warehouse A"/>
    <d v="2024-09-29T00:00:00"/>
    <d v="2024-12-20T00:00:00"/>
    <s v="High demand"/>
  </r>
  <r>
    <x v="105"/>
    <x v="4"/>
    <n v="20"/>
    <n v="39"/>
    <x v="0"/>
    <x v="2"/>
    <n v="231.92"/>
    <s v="Warehouse B"/>
    <d v="2024-02-07T00:00:00"/>
    <d v="2024-04-16T00:00:00"/>
    <s v="Pending Coastal Logistics Partnersonfirmation"/>
  </r>
  <r>
    <x v="59"/>
    <x v="0"/>
    <n v="46"/>
    <n v="66"/>
    <x v="0"/>
    <x v="2"/>
    <n v="363.88"/>
    <s v="Warehouse B"/>
    <d v="2024-09-16T00:00:00"/>
    <d v="2024-10-09T00:00:00"/>
    <s v="High demand"/>
  </r>
  <r>
    <x v="130"/>
    <x v="0"/>
    <n v="5"/>
    <n v="97"/>
    <x v="0"/>
    <x v="2"/>
    <n v="431.79"/>
    <s v="Warehouse A"/>
    <d v="2024-12-17T00:00:00"/>
    <d v="2025-02-13T00:00:00"/>
    <s v="Discontinued"/>
  </r>
  <r>
    <x v="69"/>
    <x v="3"/>
    <n v="0"/>
    <n v="80"/>
    <x v="0"/>
    <x v="2"/>
    <n v="445.31"/>
    <s v="Warehouse C"/>
    <d v="2024-09-03T00:00:00"/>
    <d v="2024-11-25T00:00:00"/>
    <s v="Pending Coastal Logistics Partnersonfirmation"/>
  </r>
  <r>
    <x v="58"/>
    <x v="1"/>
    <n v="14"/>
    <n v="96"/>
    <x v="0"/>
    <x v="1"/>
    <n v="372.11"/>
    <s v="Warehouse A"/>
    <d v="2024-12-21T00:00:00"/>
    <d v="2025-03-01T00:00:00"/>
    <s v="Discontinued"/>
  </r>
  <r>
    <x v="34"/>
    <x v="3"/>
    <n v="24"/>
    <n v="54"/>
    <x v="0"/>
    <x v="2"/>
    <n v="430.6"/>
    <s v="Warehouse C"/>
    <d v="2024-04-07T00:00:00"/>
    <d v="2024-06-30T00:00:00"/>
    <s v="High demand"/>
  </r>
  <r>
    <x v="86"/>
    <x v="3"/>
    <n v="23"/>
    <n v="65"/>
    <x v="0"/>
    <x v="0"/>
    <n v="206.37"/>
    <s v="Warehouse A"/>
    <d v="2024-01-07T00:00:00"/>
    <d v="2024-03-16T00:00:00"/>
    <s v="Discontinued"/>
  </r>
  <r>
    <x v="95"/>
    <x v="1"/>
    <n v="11"/>
    <n v="45"/>
    <x v="0"/>
    <x v="0"/>
    <n v="167.48"/>
    <s v="Warehouse B"/>
    <d v="2024-12-27T00:00:00"/>
    <d v="2025-03-18T00:00:00"/>
    <m/>
  </r>
  <r>
    <x v="131"/>
    <x v="3"/>
    <n v="17"/>
    <n v="88"/>
    <x v="0"/>
    <x v="1"/>
    <n v="229.73"/>
    <s v="Warehouse A"/>
    <d v="2024-01-12T00:00:00"/>
    <d v="2024-02-08T00:00:00"/>
    <s v="Pending Coastal Logistics Partnersonfirmation"/>
  </r>
  <r>
    <x v="100"/>
    <x v="3"/>
    <n v="14"/>
    <n v="83"/>
    <x v="0"/>
    <x v="2"/>
    <n v="382.41"/>
    <s v="Warehouse C"/>
    <d v="2024-09-16T00:00:00"/>
    <d v="2024-10-03T00:00:00"/>
    <s v="High demand"/>
  </r>
  <r>
    <x v="132"/>
    <x v="3"/>
    <n v="26"/>
    <n v="56"/>
    <x v="0"/>
    <x v="1"/>
    <n v="67.37"/>
    <s v="Warehouse B"/>
    <d v="2024-10-07T00:00:00"/>
    <d v="2024-11-16T00:00:00"/>
    <s v="High demand"/>
  </r>
  <r>
    <x v="103"/>
    <x v="3"/>
    <n v="52"/>
    <n v="89"/>
    <x v="0"/>
    <x v="1"/>
    <n v="247.36"/>
    <s v="Warehouse A"/>
    <d v="2024-12-12T00:00:00"/>
    <d v="2025-02-24T00:00:00"/>
    <s v="Discontinued"/>
  </r>
  <r>
    <x v="121"/>
    <x v="4"/>
    <n v="7"/>
    <n v="23"/>
    <x v="0"/>
    <x v="2"/>
    <n v="324.14999999999998"/>
    <s v="Warehouse C"/>
    <d v="2024-08-23T00:00:00"/>
    <d v="2024-11-03T00:00:00"/>
    <s v="High demand"/>
  </r>
  <r>
    <x v="58"/>
    <x v="1"/>
    <n v="26"/>
    <n v="54"/>
    <x v="0"/>
    <x v="0"/>
    <n v="278.57"/>
    <s v="Warehouse C"/>
    <d v="2024-10-11T00:00:00"/>
    <d v="2024-12-06T00:00:00"/>
    <m/>
  </r>
  <r>
    <x v="43"/>
    <x v="0"/>
    <n v="23"/>
    <n v="79"/>
    <x v="0"/>
    <x v="1"/>
    <n v="413.73"/>
    <s v="Warehouse A"/>
    <d v="2024-12-29T00:00:00"/>
    <d v="2025-03-12T00:00:00"/>
    <s v="High demand"/>
  </r>
  <r>
    <x v="0"/>
    <x v="0"/>
    <n v="59"/>
    <n v="76"/>
    <x v="0"/>
    <x v="2"/>
    <n v="146.43"/>
    <s v="Warehouse A"/>
    <d v="2024-12-23T00:00:00"/>
    <d v="2025-02-05T00:00:00"/>
    <s v="Pending Coastal Logistics Partnersonfirmation"/>
  </r>
  <r>
    <x v="120"/>
    <x v="2"/>
    <n v="45"/>
    <n v="49"/>
    <x v="0"/>
    <x v="0"/>
    <n v="75.790000000000006"/>
    <s v="Warehouse B"/>
    <d v="2024-02-26T00:00:00"/>
    <d v="2024-03-31T00:00:00"/>
    <s v="High demand"/>
  </r>
  <r>
    <x v="38"/>
    <x v="4"/>
    <n v="14"/>
    <n v="43"/>
    <x v="0"/>
    <x v="2"/>
    <n v="190.4"/>
    <s v="Warehouse C"/>
    <d v="2024-05-17T00:00:00"/>
    <d v="2024-06-25T00:00:00"/>
    <m/>
  </r>
  <r>
    <x v="57"/>
    <x v="1"/>
    <n v="16"/>
    <n v="54"/>
    <x v="0"/>
    <x v="0"/>
    <n v="48.07"/>
    <s v="Warehouse C"/>
    <d v="2024-09-10T00:00:00"/>
    <d v="2024-12-08T00:00:00"/>
    <s v="Discontinued"/>
  </r>
  <r>
    <x v="38"/>
    <x v="3"/>
    <n v="8"/>
    <n v="29"/>
    <x v="0"/>
    <x v="2"/>
    <n v="398.98"/>
    <s v="Warehouse A"/>
    <d v="2024-01-04T00:00:00"/>
    <d v="2024-02-27T00:00:00"/>
    <s v="Discontinued"/>
  </r>
  <r>
    <x v="133"/>
    <x v="1"/>
    <n v="62"/>
    <n v="96"/>
    <x v="0"/>
    <x v="2"/>
    <n v="113.01"/>
    <s v="Warehouse A"/>
    <d v="2024-05-03T00:00:00"/>
    <d v="2024-07-06T00:00:00"/>
    <s v="Discontinued"/>
  </r>
  <r>
    <x v="125"/>
    <x v="0"/>
    <n v="87"/>
    <n v="92"/>
    <x v="0"/>
    <x v="0"/>
    <n v="135.31"/>
    <s v="Warehouse C"/>
    <d v="2024-05-09T00:00:00"/>
    <d v="2024-07-01T00:00:00"/>
    <s v="Pending Coastal Logistics Partnersonfirmation"/>
  </r>
  <r>
    <x v="64"/>
    <x v="1"/>
    <n v="63"/>
    <n v="76"/>
    <x v="0"/>
    <x v="2"/>
    <n v="397.33"/>
    <s v="Warehouse B"/>
    <d v="2024-12-11T00:00:00"/>
    <d v="2025-01-27T00:00:00"/>
    <s v="Pending Coastal Logistics Partnersonfirmation"/>
  </r>
  <r>
    <x v="70"/>
    <x v="0"/>
    <n v="20"/>
    <n v="87"/>
    <x v="0"/>
    <x v="2"/>
    <n v="376.38"/>
    <s v="Warehouse A"/>
    <d v="2024-01-23T00:00:00"/>
    <d v="2024-02-29T00:00:00"/>
    <s v="Pending Coastal Logistics Partnersonfirmation"/>
  </r>
  <r>
    <x v="134"/>
    <x v="2"/>
    <n v="17"/>
    <n v="69"/>
    <x v="0"/>
    <x v="2"/>
    <n v="80.260000000000005"/>
    <s v="Warehouse B"/>
    <d v="2024-08-18T00:00:00"/>
    <d v="2024-09-08T00:00:00"/>
    <s v="High demand"/>
  </r>
  <r>
    <x v="10"/>
    <x v="4"/>
    <n v="31"/>
    <n v="94"/>
    <x v="0"/>
    <x v="2"/>
    <n v="24.83"/>
    <s v="Warehouse B"/>
    <d v="2024-10-06T00:00:00"/>
    <d v="2024-12-08T00:00:00"/>
    <s v="Pending Coastal Logistics Partnersonfirmation"/>
  </r>
  <r>
    <x v="60"/>
    <x v="3"/>
    <n v="10"/>
    <n v="39"/>
    <x v="0"/>
    <x v="1"/>
    <n v="149.27000000000001"/>
    <s v="Warehouse A"/>
    <d v="2024-11-17T00:00:00"/>
    <d v="2024-12-27T00:00:00"/>
    <s v="High demand"/>
  </r>
  <r>
    <x v="113"/>
    <x v="2"/>
    <n v="32"/>
    <n v="67"/>
    <x v="0"/>
    <x v="2"/>
    <n v="122.88"/>
    <s v="Warehouse B"/>
    <d v="2024-08-08T00:00:00"/>
    <d v="2024-09-13T00:00:00"/>
    <s v="Pending Coastal Logistics Partnersonfirmation"/>
  </r>
  <r>
    <x v="13"/>
    <x v="4"/>
    <n v="10"/>
    <n v="45"/>
    <x v="0"/>
    <x v="1"/>
    <n v="381.48"/>
    <s v="Warehouse B"/>
    <d v="2024-11-10T00:00:00"/>
    <d v="2024-12-17T00:00:00"/>
    <s v="Discontinued"/>
  </r>
  <r>
    <x v="92"/>
    <x v="3"/>
    <n v="40"/>
    <n v="56"/>
    <x v="0"/>
    <x v="2"/>
    <n v="217.84"/>
    <s v="Warehouse A"/>
    <d v="2024-06-14T00:00:00"/>
    <d v="2024-07-24T00:00:00"/>
    <s v="Discontinued"/>
  </r>
  <r>
    <x v="78"/>
    <x v="1"/>
    <n v="1"/>
    <n v="52"/>
    <x v="0"/>
    <x v="0"/>
    <n v="29.87"/>
    <s v="Warehouse C"/>
    <d v="2024-10-18T00:00:00"/>
    <d v="2024-12-12T00:00:00"/>
    <s v="Pending Coastal Logistics Partnersonfirmation"/>
  </r>
  <r>
    <x v="122"/>
    <x v="1"/>
    <n v="32"/>
    <n v="43"/>
    <x v="0"/>
    <x v="2"/>
    <n v="22.28"/>
    <s v="Warehouse A"/>
    <d v="2024-09-12T00:00:00"/>
    <d v="2024-12-07T00:00:00"/>
    <s v="Pending Coastal Logistics Partnersonfirmation"/>
  </r>
  <r>
    <x v="13"/>
    <x v="0"/>
    <n v="48"/>
    <n v="85"/>
    <x v="0"/>
    <x v="1"/>
    <n v="67.12"/>
    <s v="Warehouse B"/>
    <d v="2024-04-17T00:00:00"/>
    <d v="2024-06-20T00:00:00"/>
    <s v="Pending Coastal Logistics Partnersonfirmation"/>
  </r>
  <r>
    <x v="68"/>
    <x v="4"/>
    <n v="8"/>
    <n v="59"/>
    <x v="0"/>
    <x v="2"/>
    <n v="196.72"/>
    <s v="Warehouse C"/>
    <d v="2024-03-15T00:00:00"/>
    <d v="2024-03-31T00:00:00"/>
    <m/>
  </r>
  <r>
    <x v="95"/>
    <x v="0"/>
    <n v="5"/>
    <n v="57"/>
    <x v="0"/>
    <x v="0"/>
    <n v="37.75"/>
    <s v="Warehouse A"/>
    <d v="2024-04-29T00:00:00"/>
    <d v="2024-06-07T00:00:00"/>
    <s v="Pending Coastal Logistics Partnersonfirmation"/>
  </r>
  <r>
    <x v="135"/>
    <x v="4"/>
    <n v="72"/>
    <n v="79"/>
    <x v="0"/>
    <x v="1"/>
    <n v="14.48"/>
    <s v="Warehouse B"/>
    <d v="2024-09-12T00:00:00"/>
    <d v="2024-10-09T00:00:00"/>
    <m/>
  </r>
  <r>
    <x v="80"/>
    <x v="3"/>
    <n v="40"/>
    <n v="83"/>
    <x v="0"/>
    <x v="1"/>
    <n v="388.75"/>
    <s v="Warehouse C"/>
    <d v="2024-10-20T00:00:00"/>
    <d v="2024-12-07T00:00:00"/>
    <s v="High demand"/>
  </r>
  <r>
    <x v="64"/>
    <x v="0"/>
    <n v="7"/>
    <n v="68"/>
    <x v="0"/>
    <x v="1"/>
    <n v="175.82"/>
    <s v="Warehouse B"/>
    <d v="2024-07-12T00:00:00"/>
    <d v="2024-07-29T00:00:00"/>
    <m/>
  </r>
  <r>
    <x v="57"/>
    <x v="2"/>
    <n v="71"/>
    <n v="83"/>
    <x v="0"/>
    <x v="0"/>
    <n v="19.899999999999999"/>
    <s v="Warehouse C"/>
    <d v="2024-02-26T00:00:00"/>
    <d v="2024-05-09T00:00:00"/>
    <m/>
  </r>
  <r>
    <x v="93"/>
    <x v="0"/>
    <n v="6"/>
    <n v="98"/>
    <x v="0"/>
    <x v="1"/>
    <n v="424.81"/>
    <s v="Warehouse B"/>
    <d v="2024-07-23T00:00:00"/>
    <d v="2024-10-12T00:00:00"/>
    <s v="Discontinued"/>
  </r>
  <r>
    <x v="116"/>
    <x v="1"/>
    <n v="57"/>
    <n v="77"/>
    <x v="0"/>
    <x v="1"/>
    <n v="142.35"/>
    <s v="Warehouse A"/>
    <d v="2024-02-11T00:00:00"/>
    <d v="2024-02-26T00:00:00"/>
    <m/>
  </r>
  <r>
    <x v="40"/>
    <x v="1"/>
    <n v="21"/>
    <n v="47"/>
    <x v="0"/>
    <x v="1"/>
    <n v="144.4"/>
    <s v="Warehouse A"/>
    <d v="2024-11-19T00:00:00"/>
    <d v="2025-02-04T00:00:00"/>
    <s v="High demand"/>
  </r>
  <r>
    <x v="68"/>
    <x v="3"/>
    <n v="2"/>
    <n v="85"/>
    <x v="0"/>
    <x v="0"/>
    <n v="359.44"/>
    <s v="Warehouse C"/>
    <d v="2024-01-16T00:00:00"/>
    <d v="2024-03-11T00:00:00"/>
    <s v="Discontinued"/>
  </r>
  <r>
    <x v="86"/>
    <x v="4"/>
    <n v="13"/>
    <n v="61"/>
    <x v="0"/>
    <x v="2"/>
    <n v="173.29"/>
    <s v="Warehouse C"/>
    <d v="2024-06-06T00:00:00"/>
    <d v="2024-07-14T00:00:00"/>
    <s v="Pending Coastal Logistics Partnersonfirmation"/>
  </r>
  <r>
    <x v="125"/>
    <x v="3"/>
    <n v="11"/>
    <n v="25"/>
    <x v="0"/>
    <x v="2"/>
    <n v="44.08"/>
    <s v="Warehouse B"/>
    <d v="2024-02-14T00:00:00"/>
    <d v="2024-03-21T00:00:00"/>
    <s v="Discontinued"/>
  </r>
  <r>
    <x v="71"/>
    <x v="0"/>
    <n v="11"/>
    <n v="71"/>
    <x v="0"/>
    <x v="2"/>
    <n v="134.22"/>
    <s v="Warehouse C"/>
    <d v="2024-03-26T00:00:00"/>
    <d v="2024-06-06T00:00:00"/>
    <s v="Pending Coastal Logistics Partnersonfirmation"/>
  </r>
  <r>
    <x v="136"/>
    <x v="4"/>
    <n v="24"/>
    <n v="69"/>
    <x v="0"/>
    <x v="0"/>
    <n v="418.11"/>
    <s v="Warehouse C"/>
    <d v="2024-02-26T00:00:00"/>
    <d v="2024-04-09T00:00:00"/>
    <s v="Pending Coastal Logistics Partnersonfirmation"/>
  </r>
  <r>
    <x v="71"/>
    <x v="0"/>
    <n v="44"/>
    <n v="62"/>
    <x v="0"/>
    <x v="2"/>
    <n v="468.06"/>
    <s v="Warehouse C"/>
    <d v="2024-12-13T00:00:00"/>
    <d v="2025-01-31T00:00:00"/>
    <m/>
  </r>
  <r>
    <x v="122"/>
    <x v="4"/>
    <n v="54"/>
    <n v="70"/>
    <x v="0"/>
    <x v="0"/>
    <n v="464.67"/>
    <s v="Warehouse A"/>
    <d v="2024-12-26T00:00:00"/>
    <d v="2025-02-20T00:00:00"/>
    <s v="Discontinued"/>
  </r>
  <r>
    <x v="103"/>
    <x v="4"/>
    <n v="31"/>
    <n v="55"/>
    <x v="0"/>
    <x v="2"/>
    <n v="226.12"/>
    <s v="Warehouse B"/>
    <d v="2024-09-18T00:00:00"/>
    <d v="2024-10-04T00:00:00"/>
    <s v="Pending Coastal Logistics Partnersonfirmation"/>
  </r>
  <r>
    <x v="0"/>
    <x v="3"/>
    <n v="50"/>
    <n v="91"/>
    <x v="0"/>
    <x v="0"/>
    <n v="253.25"/>
    <s v="Warehouse A"/>
    <d v="2024-06-28T00:00:00"/>
    <d v="2024-08-05T00:00:00"/>
    <s v="High demand"/>
  </r>
  <r>
    <x v="76"/>
    <x v="0"/>
    <n v="43"/>
    <n v="74"/>
    <x v="0"/>
    <x v="2"/>
    <n v="127.1"/>
    <s v="Warehouse B"/>
    <d v="2024-04-25T00:00:00"/>
    <d v="2024-07-14T00:00:00"/>
    <s v="Discontinued"/>
  </r>
  <r>
    <x v="120"/>
    <x v="1"/>
    <n v="36"/>
    <n v="61"/>
    <x v="0"/>
    <x v="0"/>
    <n v="291.06"/>
    <s v="Warehouse A"/>
    <d v="2024-10-10T00:00:00"/>
    <d v="2024-12-30T00:00:00"/>
    <s v="High demand"/>
  </r>
  <r>
    <x v="72"/>
    <x v="4"/>
    <n v="55"/>
    <n v="89"/>
    <x v="0"/>
    <x v="1"/>
    <n v="409.62"/>
    <s v="Warehouse C"/>
    <d v="2024-04-17T00:00:00"/>
    <d v="2024-06-18T00:00:00"/>
    <s v="Discontinued"/>
  </r>
  <r>
    <x v="128"/>
    <x v="2"/>
    <n v="48"/>
    <n v="67"/>
    <x v="0"/>
    <x v="1"/>
    <n v="139.46"/>
    <s v="Warehouse C"/>
    <d v="2024-02-05T00:00:00"/>
    <d v="2024-03-18T00:00:00"/>
    <s v="Pending Coastal Logistics Partnersonfirmation"/>
  </r>
  <r>
    <x v="117"/>
    <x v="3"/>
    <n v="23"/>
    <n v="28"/>
    <x v="0"/>
    <x v="1"/>
    <n v="416.32"/>
    <s v="Warehouse C"/>
    <d v="2024-07-06T00:00:00"/>
    <d v="2024-09-24T00:00:00"/>
    <m/>
  </r>
  <r>
    <x v="109"/>
    <x v="2"/>
    <n v="3"/>
    <n v="65"/>
    <x v="0"/>
    <x v="2"/>
    <n v="268.07"/>
    <s v="Warehouse C"/>
    <d v="2024-04-27T00:00:00"/>
    <d v="2024-07-19T00:00:00"/>
    <s v="Discontinued"/>
  </r>
  <r>
    <x v="112"/>
    <x v="2"/>
    <n v="19"/>
    <n v="82"/>
    <x v="0"/>
    <x v="2"/>
    <n v="153.47"/>
    <s v="Warehouse A"/>
    <d v="2024-11-21T00:00:00"/>
    <d v="2025-02-12T00:00:00"/>
    <s v="Pending Coastal Logistics Partnersonfirmation"/>
  </r>
  <r>
    <x v="127"/>
    <x v="2"/>
    <n v="78"/>
    <n v="87"/>
    <x v="0"/>
    <x v="0"/>
    <n v="285.47000000000003"/>
    <s v="Warehouse C"/>
    <d v="2024-08-02T00:00:00"/>
    <d v="2024-08-18T00:00:00"/>
    <m/>
  </r>
  <r>
    <x v="68"/>
    <x v="4"/>
    <n v="5"/>
    <n v="53"/>
    <x v="0"/>
    <x v="1"/>
    <n v="202.76"/>
    <s v="Warehouse A"/>
    <d v="2024-05-08T00:00:00"/>
    <d v="2024-05-27T00:00:00"/>
    <s v="High demand"/>
  </r>
  <r>
    <x v="58"/>
    <x v="2"/>
    <n v="38"/>
    <n v="45"/>
    <x v="0"/>
    <x v="0"/>
    <n v="166.76"/>
    <s v="Warehouse A"/>
    <d v="2024-05-08T00:00:00"/>
    <d v="2024-07-13T00:00:00"/>
    <s v="Discontinued"/>
  </r>
  <r>
    <x v="40"/>
    <x v="3"/>
    <n v="11"/>
    <n v="25"/>
    <x v="0"/>
    <x v="2"/>
    <n v="290.54000000000002"/>
    <s v="Warehouse B"/>
    <d v="2024-06-25T00:00:00"/>
    <d v="2024-07-29T00:00:00"/>
    <s v="Discontinued"/>
  </r>
  <r>
    <x v="134"/>
    <x v="2"/>
    <n v="17"/>
    <n v="63"/>
    <x v="0"/>
    <x v="0"/>
    <n v="63.76"/>
    <s v="Warehouse A"/>
    <d v="2024-10-24T00:00:00"/>
    <d v="2024-11-09T00:00:00"/>
    <s v="High demand"/>
  </r>
  <r>
    <x v="113"/>
    <x v="1"/>
    <n v="20"/>
    <n v="85"/>
    <x v="0"/>
    <x v="2"/>
    <n v="111.27"/>
    <s v="Warehouse C"/>
    <d v="2024-01-30T00:00:00"/>
    <d v="2024-03-10T00:00:00"/>
    <m/>
  </r>
  <r>
    <x v="86"/>
    <x v="0"/>
    <n v="7"/>
    <n v="95"/>
    <x v="0"/>
    <x v="0"/>
    <n v="21.06"/>
    <s v="Warehouse A"/>
    <d v="2024-03-06T00:00:00"/>
    <d v="2024-03-21T00:00:00"/>
    <s v="Pending Coastal Logistics Partnersonfirmation"/>
  </r>
  <r>
    <x v="60"/>
    <x v="2"/>
    <n v="41"/>
    <n v="47"/>
    <x v="0"/>
    <x v="0"/>
    <n v="56.12"/>
    <s v="Warehouse A"/>
    <d v="2024-04-19T00:00:00"/>
    <d v="2024-05-16T00:00:00"/>
    <m/>
  </r>
  <r>
    <x v="78"/>
    <x v="3"/>
    <n v="13"/>
    <n v="52"/>
    <x v="0"/>
    <x v="2"/>
    <n v="286.14999999999998"/>
    <s v="Warehouse B"/>
    <d v="2024-05-25T00:00:00"/>
    <d v="2024-06-20T00:00:00"/>
    <m/>
  </r>
  <r>
    <x v="43"/>
    <x v="2"/>
    <n v="1"/>
    <n v="71"/>
    <x v="0"/>
    <x v="0"/>
    <n v="469.47"/>
    <s v="Warehouse B"/>
    <d v="2024-12-19T00:00:00"/>
    <d v="2025-01-27T00:00:00"/>
    <m/>
  </r>
  <r>
    <x v="108"/>
    <x v="3"/>
    <n v="36"/>
    <n v="60"/>
    <x v="0"/>
    <x v="0"/>
    <n v="491.87"/>
    <s v="Warehouse A"/>
    <d v="2024-05-01T00:00:00"/>
    <d v="2024-06-19T00:00:00"/>
    <s v="High demand"/>
  </r>
  <r>
    <x v="74"/>
    <x v="4"/>
    <n v="68"/>
    <n v="70"/>
    <x v="0"/>
    <x v="2"/>
    <n v="133.54"/>
    <s v="Warehouse A"/>
    <d v="2024-07-02T00:00:00"/>
    <d v="2024-07-21T00:00:00"/>
    <s v="High demand"/>
  </r>
  <r>
    <x v="67"/>
    <x v="4"/>
    <n v="40"/>
    <n v="77"/>
    <x v="0"/>
    <x v="0"/>
    <n v="218.46"/>
    <s v="Warehouse B"/>
    <d v="2024-02-23T00:00:00"/>
    <d v="2024-05-04T00:00:00"/>
    <s v="Pending Coastal Logistics Partnersonfirmation"/>
  </r>
  <r>
    <x v="121"/>
    <x v="1"/>
    <n v="61"/>
    <n v="94"/>
    <x v="0"/>
    <x v="0"/>
    <n v="177.02"/>
    <s v="Warehouse A"/>
    <d v="2024-09-23T00:00:00"/>
    <d v="2024-11-23T00:00:00"/>
    <s v="Discontinued"/>
  </r>
  <r>
    <x v="0"/>
    <x v="1"/>
    <n v="59"/>
    <n v="76"/>
    <x v="0"/>
    <x v="2"/>
    <n v="29.92"/>
    <s v="Warehouse C"/>
    <d v="2024-06-17T00:00:00"/>
    <d v="2024-08-24T00:00:00"/>
    <m/>
  </r>
  <r>
    <x v="99"/>
    <x v="2"/>
    <n v="13"/>
    <n v="41"/>
    <x v="0"/>
    <x v="1"/>
    <n v="231.67"/>
    <s v="Warehouse C"/>
    <d v="2024-09-19T00:00:00"/>
    <d v="2024-11-03T00:00:00"/>
    <m/>
  </r>
  <r>
    <x v="98"/>
    <x v="2"/>
    <n v="27"/>
    <n v="35"/>
    <x v="0"/>
    <x v="0"/>
    <n v="411.24"/>
    <s v="Warehouse A"/>
    <d v="2024-07-03T00:00:00"/>
    <d v="2024-09-01T00:00:00"/>
    <s v="High demand"/>
  </r>
  <r>
    <x v="122"/>
    <x v="4"/>
    <n v="4"/>
    <n v="59"/>
    <x v="0"/>
    <x v="1"/>
    <n v="184.47"/>
    <s v="Warehouse C"/>
    <d v="2024-11-05T00:00:00"/>
    <d v="2024-11-28T00:00:00"/>
    <m/>
  </r>
  <r>
    <x v="101"/>
    <x v="3"/>
    <n v="44"/>
    <n v="92"/>
    <x v="0"/>
    <x v="0"/>
    <n v="236.01"/>
    <s v="Warehouse A"/>
    <d v="2024-02-28T00:00:00"/>
    <d v="2024-05-15T00:00:00"/>
    <m/>
  </r>
  <r>
    <x v="50"/>
    <x v="3"/>
    <n v="30"/>
    <n v="91"/>
    <x v="0"/>
    <x v="0"/>
    <n v="114.51"/>
    <s v="Warehouse B"/>
    <d v="2024-08-10T00:00:00"/>
    <d v="2024-11-06T00:00:00"/>
    <m/>
  </r>
  <r>
    <x v="109"/>
    <x v="3"/>
    <n v="9"/>
    <n v="86"/>
    <x v="0"/>
    <x v="2"/>
    <n v="405.16"/>
    <s v="Warehouse B"/>
    <d v="2024-04-14T00:00:00"/>
    <d v="2024-06-16T00:00:00"/>
    <m/>
  </r>
  <r>
    <x v="0"/>
    <x v="0"/>
    <n v="13"/>
    <n v="44"/>
    <x v="0"/>
    <x v="2"/>
    <n v="232.27"/>
    <s v="Warehouse C"/>
    <d v="2024-07-02T00:00:00"/>
    <d v="2024-07-20T00:00:00"/>
    <s v="Discontinued"/>
  </r>
  <r>
    <x v="52"/>
    <x v="3"/>
    <n v="9"/>
    <n v="34"/>
    <x v="0"/>
    <x v="1"/>
    <n v="63.73"/>
    <s v="Warehouse B"/>
    <d v="2024-12-27T00:00:00"/>
    <d v="2025-03-06T00:00:00"/>
    <s v="Pending Coastal Logistics Partnersonfirmation"/>
  </r>
  <r>
    <x v="114"/>
    <x v="0"/>
    <n v="75"/>
    <n v="82"/>
    <x v="0"/>
    <x v="2"/>
    <n v="467.21"/>
    <s v="Warehouse C"/>
    <d v="2024-01-15T00:00:00"/>
    <d v="2024-02-14T00:00:00"/>
    <s v="Pending Coastal Logistics Partnersonfirmation"/>
  </r>
  <r>
    <x v="125"/>
    <x v="1"/>
    <n v="0"/>
    <n v="72"/>
    <x v="0"/>
    <x v="2"/>
    <n v="21.17"/>
    <s v="Warehouse B"/>
    <d v="2024-03-25T00:00:00"/>
    <d v="2024-04-22T00:00:00"/>
    <m/>
  </r>
  <r>
    <x v="78"/>
    <x v="4"/>
    <n v="19"/>
    <n v="33"/>
    <x v="0"/>
    <x v="0"/>
    <n v="206.84"/>
    <s v="Warehouse A"/>
    <d v="2024-09-24T00:00:00"/>
    <d v="2024-11-10T00:00:00"/>
    <s v="High demand"/>
  </r>
  <r>
    <x v="58"/>
    <x v="4"/>
    <n v="7"/>
    <n v="95"/>
    <x v="0"/>
    <x v="2"/>
    <n v="84.8"/>
    <s v="Warehouse B"/>
    <d v="2024-09-21T00:00:00"/>
    <d v="2024-10-30T00:00:00"/>
    <m/>
  </r>
  <r>
    <x v="10"/>
    <x v="4"/>
    <n v="0"/>
    <n v="58"/>
    <x v="0"/>
    <x v="1"/>
    <n v="485.72"/>
    <s v="Warehouse B"/>
    <d v="2024-10-31T00:00:00"/>
    <d v="2024-12-01T00:00:00"/>
    <m/>
  </r>
  <r>
    <x v="75"/>
    <x v="0"/>
    <n v="63"/>
    <n v="96"/>
    <x v="0"/>
    <x v="0"/>
    <n v="358.8"/>
    <s v="Warehouse A"/>
    <d v="2024-08-07T00:00:00"/>
    <d v="2024-10-17T00:00:00"/>
    <s v="Discontinued"/>
  </r>
  <r>
    <x v="127"/>
    <x v="3"/>
    <n v="48"/>
    <n v="91"/>
    <x v="0"/>
    <x v="2"/>
    <n v="180.56"/>
    <s v="Warehouse C"/>
    <d v="2024-06-07T00:00:00"/>
    <d v="2024-07-14T00:00:00"/>
    <m/>
  </r>
  <r>
    <x v="94"/>
    <x v="2"/>
    <n v="43"/>
    <n v="54"/>
    <x v="0"/>
    <x v="0"/>
    <n v="204.59"/>
    <s v="Warehouse C"/>
    <d v="2024-07-14T00:00:00"/>
    <d v="2024-08-30T00:00:00"/>
    <s v="Pending Coastal Logistics Partnersonfirmation"/>
  </r>
  <r>
    <x v="13"/>
    <x v="0"/>
    <n v="19"/>
    <n v="61"/>
    <x v="0"/>
    <x v="0"/>
    <n v="200.65"/>
    <s v="Warehouse A"/>
    <d v="2024-04-24T00:00:00"/>
    <d v="2024-07-15T00:00:00"/>
    <m/>
  </r>
  <r>
    <x v="51"/>
    <x v="3"/>
    <n v="25"/>
    <n v="38"/>
    <x v="0"/>
    <x v="1"/>
    <n v="94.98"/>
    <s v="Warehouse A"/>
    <d v="2024-01-19T00:00:00"/>
    <d v="2024-04-16T00:00:00"/>
    <s v="High demand"/>
  </r>
  <r>
    <x v="113"/>
    <x v="1"/>
    <n v="28"/>
    <n v="92"/>
    <x v="0"/>
    <x v="0"/>
    <n v="82.62"/>
    <s v="Warehouse B"/>
    <d v="2024-01-22T00:00:00"/>
    <d v="2024-04-19T00:00:00"/>
    <s v="Discontinued"/>
  </r>
  <r>
    <x v="90"/>
    <x v="0"/>
    <n v="0"/>
    <n v="47"/>
    <x v="0"/>
    <x v="0"/>
    <n v="414.51"/>
    <s v="Warehouse A"/>
    <d v="2024-07-10T00:00:00"/>
    <d v="2024-08-04T00:00:00"/>
    <s v="High demand"/>
  </r>
  <r>
    <x v="137"/>
    <x v="3"/>
    <n v="34"/>
    <n v="90"/>
    <x v="0"/>
    <x v="2"/>
    <n v="212.5"/>
    <s v="Warehouse C"/>
    <d v="2024-04-29T00:00:00"/>
    <d v="2024-07-13T00:00:00"/>
    <s v="High demand"/>
  </r>
  <r>
    <x v="47"/>
    <x v="3"/>
    <n v="58"/>
    <n v="82"/>
    <x v="0"/>
    <x v="0"/>
    <n v="440.27"/>
    <s v="Warehouse A"/>
    <d v="2024-11-12T00:00:00"/>
    <d v="2024-12-12T00:00:00"/>
    <s v="High demand"/>
  </r>
  <r>
    <x v="13"/>
    <x v="2"/>
    <n v="68"/>
    <n v="92"/>
    <x v="0"/>
    <x v="0"/>
    <n v="280.74"/>
    <s v="Warehouse C"/>
    <d v="2024-03-12T00:00:00"/>
    <d v="2024-04-11T00:00:00"/>
    <s v="High demand"/>
  </r>
  <r>
    <x v="43"/>
    <x v="3"/>
    <n v="11"/>
    <n v="33"/>
    <x v="0"/>
    <x v="1"/>
    <n v="367.09"/>
    <s v="Warehouse B"/>
    <d v="2024-11-02T00:00:00"/>
    <d v="2024-12-21T00:00:00"/>
    <m/>
  </r>
  <r>
    <x v="83"/>
    <x v="2"/>
    <n v="19"/>
    <n v="57"/>
    <x v="0"/>
    <x v="2"/>
    <n v="479.27"/>
    <s v="Warehouse C"/>
    <d v="2024-02-11T00:00:00"/>
    <d v="2024-03-17T00:00:00"/>
    <m/>
  </r>
  <r>
    <x v="60"/>
    <x v="3"/>
    <n v="42"/>
    <n v="80"/>
    <x v="0"/>
    <x v="0"/>
    <n v="443.66"/>
    <s v="Warehouse A"/>
    <d v="2024-05-30T00:00:00"/>
    <d v="2024-07-26T00:00:00"/>
    <s v="High demand"/>
  </r>
  <r>
    <x v="0"/>
    <x v="1"/>
    <n v="49"/>
    <n v="59"/>
    <x v="0"/>
    <x v="2"/>
    <n v="458.63"/>
    <s v="Warehouse B"/>
    <d v="2024-05-13T00:00:00"/>
    <d v="2024-06-28T00:00:00"/>
    <s v="Discontinued"/>
  </r>
  <r>
    <x v="105"/>
    <x v="1"/>
    <n v="28"/>
    <n v="49"/>
    <x v="0"/>
    <x v="2"/>
    <n v="319.52999999999997"/>
    <s v="Warehouse A"/>
    <d v="2024-04-28T00:00:00"/>
    <d v="2024-06-22T00:00:00"/>
    <m/>
  </r>
  <r>
    <x v="34"/>
    <x v="2"/>
    <n v="38"/>
    <n v="83"/>
    <x v="0"/>
    <x v="2"/>
    <n v="204.59"/>
    <s v="Warehouse A"/>
    <d v="2024-07-16T00:00:00"/>
    <d v="2024-08-26T00:00:00"/>
    <s v="High demand"/>
  </r>
  <r>
    <x v="56"/>
    <x v="2"/>
    <n v="37"/>
    <n v="78"/>
    <x v="0"/>
    <x v="2"/>
    <n v="413.11"/>
    <s v="Warehouse A"/>
    <d v="2024-07-07T00:00:00"/>
    <d v="2024-09-20T00:00:00"/>
    <m/>
  </r>
  <r>
    <x v="30"/>
    <x v="1"/>
    <n v="83"/>
    <n v="97"/>
    <x v="0"/>
    <x v="1"/>
    <n v="77.489999999999995"/>
    <s v="Warehouse B"/>
    <d v="2024-10-12T00:00:00"/>
    <d v="2024-12-03T00:00:00"/>
    <s v="High demand"/>
  </r>
  <r>
    <x v="81"/>
    <x v="2"/>
    <n v="7"/>
    <n v="67"/>
    <x v="0"/>
    <x v="0"/>
    <n v="259.48"/>
    <s v="Warehouse B"/>
    <d v="2024-10-16T00:00:00"/>
    <d v="2024-12-23T00:00:00"/>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1">
  <r>
    <x v="0"/>
    <x v="0"/>
    <n v="82"/>
    <n v="75"/>
    <x v="0"/>
    <x v="0"/>
    <n v="359.97"/>
    <s v="Warehouse C"/>
    <x v="0"/>
    <d v="2023-05-20T00:00:00"/>
    <s v="Pending Coastal Logistics Partnersonfirmation"/>
  </r>
  <r>
    <x v="1"/>
    <x v="1"/>
    <n v="156"/>
    <n v="79"/>
    <x v="0"/>
    <x v="1"/>
    <n v="149.97"/>
    <s v="Warehouse C"/>
    <x v="1"/>
    <d v="2023-03-23T00:00:00"/>
    <s v="Discontinued"/>
  </r>
  <r>
    <x v="2"/>
    <x v="1"/>
    <n v="70"/>
    <n v="97"/>
    <x v="1"/>
    <x v="1"/>
    <n v="487.27"/>
    <s v="Warehouse A"/>
    <x v="2"/>
    <d v="2024-01-24T00:00:00"/>
    <s v="High demand"/>
  </r>
  <r>
    <x v="3"/>
    <x v="2"/>
    <n v="79"/>
    <n v="36"/>
    <x v="0"/>
    <x v="0"/>
    <n v="384.7"/>
    <s v="Warehouse C"/>
    <x v="3"/>
    <d v="2023-09-08T00:00:00"/>
    <s v="Pending Coastal Logistics Partnersonfirmation"/>
  </r>
  <r>
    <x v="4"/>
    <x v="0"/>
    <n v="16"/>
    <n v="97"/>
    <x v="1"/>
    <x v="1"/>
    <n v="156.4"/>
    <s v="Warehouse C"/>
    <x v="4"/>
    <d v="2024-03-09T00:00:00"/>
    <s v="Discontinued"/>
  </r>
  <r>
    <x v="5"/>
    <x v="0"/>
    <n v="62"/>
    <n v="30"/>
    <x v="0"/>
    <x v="0"/>
    <n v="378.58"/>
    <s v="Warehouse B"/>
    <x v="5"/>
    <d v="2023-08-22T00:00:00"/>
    <s v="Pending Coastal Logistics Partnersonfirmation"/>
  </r>
  <r>
    <x v="6"/>
    <x v="3"/>
    <n v="170"/>
    <n v="66"/>
    <x v="0"/>
    <x v="1"/>
    <n v="33.06"/>
    <s v="Warehouse A"/>
    <x v="6"/>
    <d v="2023-10-20T00:00:00"/>
    <s v="High demand"/>
  </r>
  <r>
    <x v="7"/>
    <x v="0"/>
    <n v="133"/>
    <n v="85"/>
    <x v="0"/>
    <x v="1"/>
    <n v="257"/>
    <s v="Warehouse A"/>
    <x v="7"/>
    <d v="2023-06-04T00:00:00"/>
    <s v="High demand"/>
  </r>
  <r>
    <x v="4"/>
    <x v="4"/>
    <n v="48"/>
    <n v="40"/>
    <x v="0"/>
    <x v="1"/>
    <n v="384.48"/>
    <s v="Warehouse C"/>
    <x v="8"/>
    <d v="2023-12-10T00:00:00"/>
    <m/>
  </r>
  <r>
    <x v="8"/>
    <x v="0"/>
    <n v="131"/>
    <n v="27"/>
    <x v="0"/>
    <x v="2"/>
    <n v="76.430000000000007"/>
    <s v="Warehouse B"/>
    <x v="9"/>
    <d v="2024-02-09T00:00:00"/>
    <s v="Discontinued"/>
  </r>
  <r>
    <x v="9"/>
    <x v="2"/>
    <n v="42"/>
    <n v="72"/>
    <x v="1"/>
    <x v="2"/>
    <n v="287.44"/>
    <s v="Warehouse A"/>
    <x v="10"/>
    <d v="2023-10-12T00:00:00"/>
    <s v="High demand"/>
  </r>
  <r>
    <x v="10"/>
    <x v="4"/>
    <n v="158"/>
    <n v="34"/>
    <x v="0"/>
    <x v="0"/>
    <n v="43.32"/>
    <s v="Warehouse C"/>
    <x v="11"/>
    <d v="2023-10-25T00:00:00"/>
    <s v="High demand"/>
  </r>
  <r>
    <x v="11"/>
    <x v="1"/>
    <n v="10"/>
    <n v="71"/>
    <x v="1"/>
    <x v="1"/>
    <n v="201.76"/>
    <s v="Warehouse B"/>
    <x v="12"/>
    <d v="2024-01-30T00:00:00"/>
    <s v="Discontinued"/>
  </r>
  <r>
    <x v="0"/>
    <x v="3"/>
    <n v="156"/>
    <n v="76"/>
    <x v="0"/>
    <x v="1"/>
    <n v="150.87"/>
    <s v="Warehouse B"/>
    <x v="13"/>
    <d v="2023-08-13T00:00:00"/>
    <s v="High demand"/>
  </r>
  <r>
    <x v="2"/>
    <x v="0"/>
    <n v="18"/>
    <n v="55"/>
    <x v="1"/>
    <x v="1"/>
    <n v="21.19"/>
    <s v="Warehouse B"/>
    <x v="14"/>
    <d v="2023-09-18T00:00:00"/>
    <s v="Pending Coastal Logistics Partnersonfirmation"/>
  </r>
  <r>
    <x v="7"/>
    <x v="2"/>
    <n v="174"/>
    <n v="85"/>
    <x v="0"/>
    <x v="1"/>
    <n v="79.02"/>
    <s v="Warehouse C"/>
    <x v="15"/>
    <d v="2023-02-11T00:00:00"/>
    <m/>
  </r>
  <r>
    <x v="12"/>
    <x v="0"/>
    <n v="96"/>
    <n v="44"/>
    <x v="0"/>
    <x v="0"/>
    <n v="331.36"/>
    <s v="Warehouse C"/>
    <x v="16"/>
    <d v="2023-06-21T00:00:00"/>
    <m/>
  </r>
  <r>
    <x v="11"/>
    <x v="2"/>
    <n v="66"/>
    <n v="50"/>
    <x v="0"/>
    <x v="2"/>
    <n v="273.18"/>
    <s v="Warehouse A"/>
    <x v="17"/>
    <d v="2023-08-26T00:00:00"/>
    <m/>
  </r>
  <r>
    <x v="13"/>
    <x v="2"/>
    <n v="99"/>
    <n v="40"/>
    <x v="0"/>
    <x v="2"/>
    <n v="74.849999999999994"/>
    <s v="Warehouse A"/>
    <x v="18"/>
    <d v="2023-05-25T00:00:00"/>
    <m/>
  </r>
  <r>
    <x v="11"/>
    <x v="3"/>
    <n v="54"/>
    <n v="62"/>
    <x v="1"/>
    <x v="2"/>
    <n v="203.75"/>
    <s v="Warehouse A"/>
    <x v="19"/>
    <d v="2023-08-07T00:00:00"/>
    <s v="Discontinued"/>
  </r>
  <r>
    <x v="5"/>
    <x v="0"/>
    <n v="141"/>
    <n v="61"/>
    <x v="0"/>
    <x v="1"/>
    <n v="69.25"/>
    <s v="Warehouse A"/>
    <x v="20"/>
    <d v="2023-05-17T00:00:00"/>
    <s v="Discontinued"/>
  </r>
  <r>
    <x v="6"/>
    <x v="3"/>
    <n v="177"/>
    <n v="69"/>
    <x v="0"/>
    <x v="2"/>
    <n v="344.68"/>
    <s v="Warehouse B"/>
    <x v="21"/>
    <d v="2024-02-01T00:00:00"/>
    <s v="Pending Coastal Logistics Partnersonfirmation"/>
  </r>
  <r>
    <x v="14"/>
    <x v="0"/>
    <n v="132"/>
    <n v="96"/>
    <x v="0"/>
    <x v="1"/>
    <n v="59.64"/>
    <s v="Warehouse B"/>
    <x v="22"/>
    <d v="2024-01-01T00:00:00"/>
    <s v="High demand"/>
  </r>
  <r>
    <x v="15"/>
    <x v="1"/>
    <n v="141"/>
    <n v="71"/>
    <x v="0"/>
    <x v="0"/>
    <n v="79.78"/>
    <s v="Warehouse C"/>
    <x v="23"/>
    <d v="2023-06-16T00:00:00"/>
    <s v="Discontinued"/>
  </r>
  <r>
    <x v="16"/>
    <x v="4"/>
    <n v="98"/>
    <n v="58"/>
    <x v="0"/>
    <x v="2"/>
    <n v="175.59"/>
    <s v="Warehouse A"/>
    <x v="24"/>
    <d v="2023-12-13T00:00:00"/>
    <m/>
  </r>
  <r>
    <x v="17"/>
    <x v="3"/>
    <n v="144"/>
    <n v="79"/>
    <x v="0"/>
    <x v="0"/>
    <n v="37.909999999999997"/>
    <s v="Warehouse A"/>
    <x v="25"/>
    <d v="2023-02-17T00:00:00"/>
    <m/>
  </r>
  <r>
    <x v="18"/>
    <x v="1"/>
    <n v="76"/>
    <n v="92"/>
    <x v="1"/>
    <x v="2"/>
    <n v="316.94"/>
    <s v="Warehouse A"/>
    <x v="26"/>
    <d v="2023-10-31T00:00:00"/>
    <m/>
  </r>
  <r>
    <x v="4"/>
    <x v="3"/>
    <n v="139"/>
    <n v="90"/>
    <x v="0"/>
    <x v="1"/>
    <n v="362.07"/>
    <s v="Warehouse B"/>
    <x v="27"/>
    <d v="2023-12-09T00:00:00"/>
    <m/>
  </r>
  <r>
    <x v="19"/>
    <x v="0"/>
    <n v="177"/>
    <n v="95"/>
    <x v="0"/>
    <x v="0"/>
    <n v="457.94"/>
    <s v="Warehouse B"/>
    <x v="28"/>
    <d v="2023-03-05T00:00:00"/>
    <s v="Pending Coastal Logistics Partnersonfirmation"/>
  </r>
  <r>
    <x v="20"/>
    <x v="0"/>
    <n v="124"/>
    <n v="97"/>
    <x v="0"/>
    <x v="1"/>
    <n v="156.26"/>
    <s v="Warehouse A"/>
    <x v="29"/>
    <d v="2023-03-25T00:00:00"/>
    <s v="High demand"/>
  </r>
  <r>
    <x v="18"/>
    <x v="1"/>
    <n v="0"/>
    <n v="32"/>
    <x v="1"/>
    <x v="0"/>
    <n v="106.61"/>
    <s v="Warehouse C"/>
    <x v="30"/>
    <d v="2023-08-19T00:00:00"/>
    <s v="High demand"/>
  </r>
  <r>
    <x v="5"/>
    <x v="0"/>
    <n v="14"/>
    <n v="32"/>
    <x v="1"/>
    <x v="0"/>
    <n v="275.22000000000003"/>
    <s v="Warehouse B"/>
    <x v="31"/>
    <d v="2023-10-10T00:00:00"/>
    <s v="Discontinued"/>
  </r>
  <r>
    <x v="21"/>
    <x v="4"/>
    <n v="34"/>
    <n v="58"/>
    <x v="1"/>
    <x v="0"/>
    <n v="59.33"/>
    <s v="Warehouse C"/>
    <x v="32"/>
    <d v="2023-11-21T00:00:00"/>
    <s v="Pending Coastal Logistics Partnersonfirmation"/>
  </r>
  <r>
    <x v="22"/>
    <x v="2"/>
    <n v="128"/>
    <n v="52"/>
    <x v="0"/>
    <x v="0"/>
    <n v="461.84"/>
    <s v="Warehouse B"/>
    <x v="33"/>
    <d v="2023-08-15T00:00:00"/>
    <s v="Discontinued"/>
  </r>
  <r>
    <x v="8"/>
    <x v="4"/>
    <n v="148"/>
    <n v="57"/>
    <x v="0"/>
    <x v="1"/>
    <n v="120.15"/>
    <s v="Warehouse A"/>
    <x v="34"/>
    <d v="2024-02-14T00:00:00"/>
    <s v="High demand"/>
  </r>
  <r>
    <x v="23"/>
    <x v="3"/>
    <n v="180"/>
    <n v="25"/>
    <x v="0"/>
    <x v="1"/>
    <n v="344.3"/>
    <s v="Warehouse B"/>
    <x v="35"/>
    <d v="2023-03-11T00:00:00"/>
    <m/>
  </r>
  <r>
    <x v="8"/>
    <x v="0"/>
    <n v="26"/>
    <n v="65"/>
    <x v="1"/>
    <x v="1"/>
    <n v="491.66"/>
    <s v="Warehouse B"/>
    <x v="36"/>
    <d v="2023-07-21T00:00:00"/>
    <s v="Pending Coastal Logistics Partnersonfirmation"/>
  </r>
  <r>
    <x v="3"/>
    <x v="0"/>
    <n v="44"/>
    <n v="40"/>
    <x v="0"/>
    <x v="0"/>
    <n v="225.81"/>
    <s v="Warehouse A"/>
    <x v="37"/>
    <d v="2024-02-11T00:00:00"/>
    <s v="Discontinued"/>
  </r>
  <r>
    <x v="24"/>
    <x v="1"/>
    <n v="178"/>
    <n v="27"/>
    <x v="0"/>
    <x v="2"/>
    <n v="447.6"/>
    <s v="Warehouse B"/>
    <x v="38"/>
    <d v="2023-08-04T00:00:00"/>
    <s v="Pending Coastal Logistics Partnersonfirmation"/>
  </r>
  <r>
    <x v="21"/>
    <x v="4"/>
    <n v="160"/>
    <n v="49"/>
    <x v="0"/>
    <x v="1"/>
    <n v="167.88"/>
    <s v="Warehouse A"/>
    <x v="39"/>
    <d v="2023-04-12T00:00:00"/>
    <s v="Discontinued"/>
  </r>
  <r>
    <x v="25"/>
    <x v="2"/>
    <n v="96"/>
    <n v="77"/>
    <x v="0"/>
    <x v="1"/>
    <n v="194.86"/>
    <s v="Warehouse A"/>
    <x v="40"/>
    <d v="2023-12-30T00:00:00"/>
    <m/>
  </r>
  <r>
    <x v="3"/>
    <x v="2"/>
    <n v="93"/>
    <n v="77"/>
    <x v="0"/>
    <x v="0"/>
    <n v="443.2"/>
    <s v="Warehouse C"/>
    <x v="41"/>
    <d v="2023-01-21T00:00:00"/>
    <s v="Pending Coastal Logistics Partnersonfirmation"/>
  </r>
  <r>
    <x v="24"/>
    <x v="4"/>
    <n v="165"/>
    <n v="58"/>
    <x v="0"/>
    <x v="2"/>
    <n v="215.69"/>
    <s v="Warehouse B"/>
    <x v="42"/>
    <d v="2023-05-08T00:00:00"/>
    <s v="Pending Coastal Logistics Partnersonfirmation"/>
  </r>
  <r>
    <x v="18"/>
    <x v="3"/>
    <n v="48"/>
    <n v="21"/>
    <x v="0"/>
    <x v="1"/>
    <n v="475.48"/>
    <s v="Warehouse A"/>
    <x v="43"/>
    <d v="2023-07-21T00:00:00"/>
    <m/>
  </r>
  <r>
    <x v="26"/>
    <x v="1"/>
    <n v="54"/>
    <n v="79"/>
    <x v="1"/>
    <x v="1"/>
    <n v="205.05"/>
    <s v="Warehouse A"/>
    <x v="44"/>
    <d v="2023-08-21T00:00:00"/>
    <s v="Discontinued"/>
  </r>
  <r>
    <x v="21"/>
    <x v="1"/>
    <n v="192"/>
    <n v="51"/>
    <x v="0"/>
    <x v="2"/>
    <n v="27.74"/>
    <s v="Warehouse A"/>
    <x v="45"/>
    <d v="2023-10-31T00:00:00"/>
    <s v="Discontinued"/>
  </r>
  <r>
    <x v="26"/>
    <x v="2"/>
    <n v="141"/>
    <n v="68"/>
    <x v="0"/>
    <x v="2"/>
    <n v="354.46"/>
    <s v="Warehouse A"/>
    <x v="46"/>
    <d v="2023-12-16T00:00:00"/>
    <s v="High demand"/>
  </r>
  <r>
    <x v="12"/>
    <x v="4"/>
    <n v="150"/>
    <n v="60"/>
    <x v="0"/>
    <x v="1"/>
    <n v="473.18"/>
    <s v="Warehouse B"/>
    <x v="47"/>
    <d v="2024-01-19T00:00:00"/>
    <s v="High demand"/>
  </r>
  <r>
    <x v="21"/>
    <x v="4"/>
    <n v="52"/>
    <n v="62"/>
    <x v="1"/>
    <x v="1"/>
    <n v="275.11"/>
    <s v="Warehouse C"/>
    <x v="48"/>
    <d v="2024-01-17T00:00:00"/>
    <s v="High demand"/>
  </r>
  <r>
    <x v="27"/>
    <x v="2"/>
    <n v="162"/>
    <n v="45"/>
    <x v="0"/>
    <x v="2"/>
    <n v="172.92"/>
    <s v="Warehouse B"/>
    <x v="42"/>
    <d v="2023-06-05T00:00:00"/>
    <s v="High demand"/>
  </r>
  <r>
    <x v="28"/>
    <x v="0"/>
    <n v="143"/>
    <n v="80"/>
    <x v="0"/>
    <x v="2"/>
    <n v="473.11"/>
    <s v="Warehouse C"/>
    <x v="49"/>
    <d v="2023-10-16T00:00:00"/>
    <s v="Pending Coastal Logistics Partnersonfirmation"/>
  </r>
  <r>
    <x v="29"/>
    <x v="2"/>
    <n v="1"/>
    <n v="86"/>
    <x v="1"/>
    <x v="0"/>
    <n v="321.79000000000002"/>
    <s v="Warehouse A"/>
    <x v="50"/>
    <d v="2023-04-16T00:00:00"/>
    <s v="High demand"/>
  </r>
  <r>
    <x v="30"/>
    <x v="4"/>
    <n v="115"/>
    <n v="73"/>
    <x v="0"/>
    <x v="0"/>
    <n v="178.62"/>
    <s v="Warehouse A"/>
    <x v="51"/>
    <d v="2023-05-25T00:00:00"/>
    <s v="High demand"/>
  </r>
  <r>
    <x v="1"/>
    <x v="2"/>
    <n v="183"/>
    <n v="92"/>
    <x v="0"/>
    <x v="2"/>
    <n v="140.44999999999999"/>
    <s v="Warehouse C"/>
    <x v="52"/>
    <d v="2023-05-24T00:00:00"/>
    <s v="Pending Coastal Logistics Partnersonfirmation"/>
  </r>
  <r>
    <x v="22"/>
    <x v="1"/>
    <n v="107"/>
    <n v="36"/>
    <x v="0"/>
    <x v="0"/>
    <n v="307.82"/>
    <s v="Warehouse C"/>
    <x v="53"/>
    <d v="2023-12-03T00:00:00"/>
    <s v="Discontinued"/>
  </r>
  <r>
    <x v="31"/>
    <x v="2"/>
    <n v="20"/>
    <n v="78"/>
    <x v="1"/>
    <x v="0"/>
    <n v="368.04"/>
    <s v="Warehouse C"/>
    <x v="54"/>
    <d v="2023-10-11T00:00:00"/>
    <s v="Discontinued"/>
  </r>
  <r>
    <x v="5"/>
    <x v="1"/>
    <n v="108"/>
    <n v="54"/>
    <x v="0"/>
    <x v="1"/>
    <n v="186.85"/>
    <s v="Warehouse C"/>
    <x v="55"/>
    <d v="2023-05-04T00:00:00"/>
    <s v="Pending Coastal Logistics Partnersonfirmation"/>
  </r>
  <r>
    <x v="27"/>
    <x v="1"/>
    <n v="119"/>
    <n v="21"/>
    <x v="0"/>
    <x v="0"/>
    <n v="181.53"/>
    <s v="Warehouse A"/>
    <x v="13"/>
    <d v="2023-10-09T00:00:00"/>
    <m/>
  </r>
  <r>
    <x v="32"/>
    <x v="4"/>
    <n v="139"/>
    <n v="71"/>
    <x v="0"/>
    <x v="1"/>
    <n v="453.49"/>
    <s v="Warehouse B"/>
    <x v="56"/>
    <d v="2023-04-08T00:00:00"/>
    <s v="Pending Coastal Logistics Partnersonfirmation"/>
  </r>
  <r>
    <x v="26"/>
    <x v="3"/>
    <n v="198"/>
    <n v="24"/>
    <x v="0"/>
    <x v="0"/>
    <n v="465.85"/>
    <s v="Warehouse A"/>
    <x v="57"/>
    <d v="2023-10-03T00:00:00"/>
    <s v="Pending Coastal Logistics Partnersonfirmation"/>
  </r>
  <r>
    <x v="33"/>
    <x v="4"/>
    <n v="8"/>
    <n v="22"/>
    <x v="1"/>
    <x v="0"/>
    <n v="299.98"/>
    <s v="Warehouse B"/>
    <x v="58"/>
    <d v="2023-11-09T00:00:00"/>
    <s v="Pending Coastal Logistics Partnersonfirmation"/>
  </r>
  <r>
    <x v="26"/>
    <x v="2"/>
    <n v="99"/>
    <n v="73"/>
    <x v="0"/>
    <x v="2"/>
    <n v="153.38999999999999"/>
    <s v="Warehouse C"/>
    <x v="59"/>
    <d v="2024-02-11T00:00:00"/>
    <s v="Pending Coastal Logistics Partnersonfirmation"/>
  </r>
  <r>
    <x v="5"/>
    <x v="3"/>
    <n v="158"/>
    <n v="23"/>
    <x v="0"/>
    <x v="2"/>
    <n v="221.08"/>
    <s v="Warehouse B"/>
    <x v="60"/>
    <d v="2023-04-07T00:00:00"/>
    <s v="High demand"/>
  </r>
  <r>
    <x v="21"/>
    <x v="0"/>
    <n v="143"/>
    <n v="61"/>
    <x v="0"/>
    <x v="0"/>
    <n v="408.75"/>
    <s v="Warehouse C"/>
    <x v="61"/>
    <d v="2023-10-06T00:00:00"/>
    <m/>
  </r>
  <r>
    <x v="7"/>
    <x v="4"/>
    <n v="22"/>
    <n v="39"/>
    <x v="1"/>
    <x v="1"/>
    <n v="77.38"/>
    <s v="Warehouse B"/>
    <x v="62"/>
    <d v="2023-09-02T00:00:00"/>
    <s v="High demand"/>
  </r>
  <r>
    <x v="34"/>
    <x v="1"/>
    <n v="180"/>
    <n v="22"/>
    <x v="0"/>
    <x v="0"/>
    <n v="381.91"/>
    <s v="Warehouse A"/>
    <x v="63"/>
    <d v="2023-06-10T00:00:00"/>
    <m/>
  </r>
  <r>
    <x v="35"/>
    <x v="2"/>
    <n v="100"/>
    <n v="64"/>
    <x v="0"/>
    <x v="0"/>
    <n v="331.25"/>
    <s v="Warehouse C"/>
    <x v="64"/>
    <d v="2023-03-15T00:00:00"/>
    <s v="High demand"/>
  </r>
  <r>
    <x v="18"/>
    <x v="1"/>
    <n v="162"/>
    <n v="81"/>
    <x v="0"/>
    <x v="1"/>
    <n v="469.86"/>
    <s v="Warehouse A"/>
    <x v="65"/>
    <d v="2023-11-22T00:00:00"/>
    <m/>
  </r>
  <r>
    <x v="6"/>
    <x v="2"/>
    <n v="34"/>
    <n v="90"/>
    <x v="1"/>
    <x v="2"/>
    <n v="179.05"/>
    <s v="Warehouse C"/>
    <x v="66"/>
    <d v="2023-08-20T00:00:00"/>
    <m/>
  </r>
  <r>
    <x v="11"/>
    <x v="2"/>
    <n v="111"/>
    <n v="33"/>
    <x v="0"/>
    <x v="1"/>
    <n v="241.18"/>
    <s v="Warehouse A"/>
    <x v="67"/>
    <d v="2023-06-19T00:00:00"/>
    <s v="Pending Coastal Logistics Partnersonfirmation"/>
  </r>
  <r>
    <x v="0"/>
    <x v="3"/>
    <n v="199"/>
    <n v="61"/>
    <x v="0"/>
    <x v="1"/>
    <n v="387.68"/>
    <s v="Warehouse C"/>
    <x v="65"/>
    <d v="2024-01-06T00:00:00"/>
    <s v="Pending Coastal Logistics Partnersonfirmation"/>
  </r>
  <r>
    <x v="22"/>
    <x v="3"/>
    <n v="111"/>
    <n v="46"/>
    <x v="0"/>
    <x v="0"/>
    <n v="210.34"/>
    <s v="Warehouse A"/>
    <x v="61"/>
    <d v="2023-11-27T00:00:00"/>
    <m/>
  </r>
  <r>
    <x v="29"/>
    <x v="2"/>
    <n v="161"/>
    <n v="24"/>
    <x v="0"/>
    <x v="1"/>
    <n v="111.27"/>
    <s v="Warehouse B"/>
    <x v="28"/>
    <d v="2023-03-11T00:00:00"/>
    <s v="Pending Coastal Logistics Partnersonfirmation"/>
  </r>
  <r>
    <x v="36"/>
    <x v="1"/>
    <n v="58"/>
    <n v="80"/>
    <x v="1"/>
    <x v="1"/>
    <n v="486.08"/>
    <s v="Warehouse C"/>
    <x v="40"/>
    <d v="2024-01-16T00:00:00"/>
    <s v="High demand"/>
  </r>
  <r>
    <x v="29"/>
    <x v="4"/>
    <n v="55"/>
    <n v="91"/>
    <x v="1"/>
    <x v="0"/>
    <n v="404.3"/>
    <s v="Warehouse A"/>
    <x v="68"/>
    <d v="2023-05-02T00:00:00"/>
    <s v="Discontinued"/>
  </r>
  <r>
    <x v="37"/>
    <x v="3"/>
    <n v="191"/>
    <n v="34"/>
    <x v="0"/>
    <x v="1"/>
    <n v="152.21"/>
    <s v="Warehouse A"/>
    <x v="27"/>
    <d v="2024-01-14T00:00:00"/>
    <s v="Pending Coastal Logistics Partnersonfirmation"/>
  </r>
  <r>
    <x v="14"/>
    <x v="3"/>
    <n v="119"/>
    <n v="94"/>
    <x v="0"/>
    <x v="1"/>
    <n v="31.79"/>
    <s v="Warehouse C"/>
    <x v="69"/>
    <d v="2023-05-17T00:00:00"/>
    <m/>
  </r>
  <r>
    <x v="13"/>
    <x v="0"/>
    <n v="130"/>
    <n v="28"/>
    <x v="0"/>
    <x v="1"/>
    <n v="90.16"/>
    <s v="Warehouse A"/>
    <x v="17"/>
    <d v="2023-07-07T00:00:00"/>
    <s v="Pending Coastal Logistics Partnersonfirmation"/>
  </r>
  <r>
    <x v="28"/>
    <x v="3"/>
    <n v="2"/>
    <n v="37"/>
    <x v="1"/>
    <x v="1"/>
    <n v="422.15"/>
    <s v="Warehouse C"/>
    <x v="70"/>
    <d v="2023-08-29T00:00:00"/>
    <m/>
  </r>
  <r>
    <x v="38"/>
    <x v="0"/>
    <n v="161"/>
    <n v="64"/>
    <x v="0"/>
    <x v="2"/>
    <n v="490.61"/>
    <s v="Warehouse C"/>
    <x v="71"/>
    <d v="2023-04-11T00:00:00"/>
    <s v="Discontinued"/>
  </r>
  <r>
    <x v="39"/>
    <x v="1"/>
    <n v="183"/>
    <n v="94"/>
    <x v="0"/>
    <x v="0"/>
    <n v="484.69"/>
    <s v="Warehouse A"/>
    <x v="72"/>
    <d v="2023-04-26T00:00:00"/>
    <s v="Discontinued"/>
  </r>
  <r>
    <x v="40"/>
    <x v="3"/>
    <n v="137"/>
    <n v="57"/>
    <x v="0"/>
    <x v="2"/>
    <n v="267.70999999999998"/>
    <s v="Warehouse B"/>
    <x v="73"/>
    <d v="2023-05-30T00:00:00"/>
    <m/>
  </r>
  <r>
    <x v="5"/>
    <x v="1"/>
    <n v="132"/>
    <n v="31"/>
    <x v="0"/>
    <x v="2"/>
    <n v="396.42"/>
    <s v="Warehouse C"/>
    <x v="74"/>
    <d v="2023-03-27T00:00:00"/>
    <s v="Pending Coastal Logistics Partnersonfirmation"/>
  </r>
  <r>
    <x v="2"/>
    <x v="4"/>
    <n v="199"/>
    <n v="66"/>
    <x v="0"/>
    <x v="0"/>
    <n v="45.36"/>
    <s v="Warehouse B"/>
    <x v="32"/>
    <d v="2024-01-16T00:00:00"/>
    <s v="High demand"/>
  </r>
  <r>
    <x v="4"/>
    <x v="2"/>
    <n v="128"/>
    <n v="42"/>
    <x v="0"/>
    <x v="0"/>
    <n v="498.52"/>
    <s v="Warehouse A"/>
    <x v="65"/>
    <d v="2023-12-04T00:00:00"/>
    <s v="High demand"/>
  </r>
  <r>
    <x v="41"/>
    <x v="1"/>
    <n v="27"/>
    <n v="86"/>
    <x v="1"/>
    <x v="2"/>
    <n v="414.14"/>
    <s v="Warehouse B"/>
    <x v="73"/>
    <d v="2023-05-14T00:00:00"/>
    <m/>
  </r>
  <r>
    <x v="13"/>
    <x v="2"/>
    <n v="64"/>
    <n v="96"/>
    <x v="1"/>
    <x v="1"/>
    <n v="139.93"/>
    <s v="Warehouse B"/>
    <x v="63"/>
    <d v="2023-06-21T00:00:00"/>
    <m/>
  </r>
  <r>
    <x v="36"/>
    <x v="3"/>
    <n v="87"/>
    <n v="66"/>
    <x v="0"/>
    <x v="0"/>
    <n v="50.51"/>
    <s v="Warehouse B"/>
    <x v="45"/>
    <d v="2023-11-05T00:00:00"/>
    <s v="Pending Coastal Logistics Partnersonfirmation"/>
  </r>
  <r>
    <x v="12"/>
    <x v="4"/>
    <n v="167"/>
    <n v="46"/>
    <x v="0"/>
    <x v="1"/>
    <n v="242.74"/>
    <s v="Warehouse C"/>
    <x v="38"/>
    <d v="2023-07-18T00:00:00"/>
    <s v="Discontinued"/>
  </r>
  <r>
    <x v="36"/>
    <x v="2"/>
    <n v="97"/>
    <n v="25"/>
    <x v="0"/>
    <x v="0"/>
    <n v="169.42"/>
    <s v="Warehouse A"/>
    <x v="75"/>
    <d v="2024-01-23T00:00:00"/>
    <s v="High demand"/>
  </r>
  <r>
    <x v="12"/>
    <x v="1"/>
    <n v="151"/>
    <n v="49"/>
    <x v="0"/>
    <x v="2"/>
    <n v="473.55"/>
    <s v="Warehouse A"/>
    <x v="76"/>
    <d v="2023-07-15T00:00:00"/>
    <s v="Discontinued"/>
  </r>
  <r>
    <x v="18"/>
    <x v="2"/>
    <n v="114"/>
    <n v="46"/>
    <x v="0"/>
    <x v="1"/>
    <n v="316.99"/>
    <s v="Warehouse B"/>
    <x v="57"/>
    <d v="2023-10-13T00:00:00"/>
    <s v="Pending Coastal Logistics Partnersonfirmation"/>
  </r>
  <r>
    <x v="18"/>
    <x v="4"/>
    <n v="28"/>
    <n v="60"/>
    <x v="1"/>
    <x v="1"/>
    <n v="460.71"/>
    <s v="Warehouse C"/>
    <x v="77"/>
    <d v="2023-05-18T00:00:00"/>
    <m/>
  </r>
  <r>
    <x v="39"/>
    <x v="1"/>
    <n v="1"/>
    <n v="82"/>
    <x v="1"/>
    <x v="1"/>
    <n v="297.86"/>
    <s v="Warehouse A"/>
    <x v="78"/>
    <d v="2023-12-17T00:00:00"/>
    <s v="High demand"/>
  </r>
  <r>
    <x v="22"/>
    <x v="2"/>
    <n v="171"/>
    <n v="73"/>
    <x v="0"/>
    <x v="0"/>
    <n v="49.09"/>
    <s v="Warehouse C"/>
    <x v="79"/>
    <d v="2023-12-25T00:00:00"/>
    <s v="High demand"/>
  </r>
  <r>
    <x v="30"/>
    <x v="1"/>
    <n v="110"/>
    <n v="66"/>
    <x v="0"/>
    <x v="2"/>
    <n v="464.55"/>
    <s v="Warehouse B"/>
    <x v="80"/>
    <d v="2023-09-21T00:00:00"/>
    <s v="Discontinued"/>
  </r>
  <r>
    <x v="41"/>
    <x v="1"/>
    <n v="21"/>
    <n v="90"/>
    <x v="1"/>
    <x v="1"/>
    <n v="71.41"/>
    <s v="Warehouse C"/>
    <x v="81"/>
    <d v="2023-11-17T00:00:00"/>
    <s v="Pending Coastal Logistics Partnersonfirmation"/>
  </r>
  <r>
    <x v="27"/>
    <x v="0"/>
    <n v="179"/>
    <n v="42"/>
    <x v="0"/>
    <x v="1"/>
    <n v="288.07"/>
    <s v="Warehouse C"/>
    <x v="82"/>
    <d v="2023-07-24T00:00:00"/>
    <s v="Pending Coastal Logistics Partnersonfirmation"/>
  </r>
  <r>
    <x v="22"/>
    <x v="2"/>
    <n v="118"/>
    <n v="20"/>
    <x v="0"/>
    <x v="2"/>
    <n v="26.41"/>
    <s v="Warehouse B"/>
    <x v="83"/>
    <d v="2023-05-03T00:00:00"/>
    <m/>
  </r>
  <r>
    <x v="2"/>
    <x v="3"/>
    <n v="30"/>
    <n v="57"/>
    <x v="1"/>
    <x v="1"/>
    <n v="302.47000000000003"/>
    <s v="Warehouse A"/>
    <x v="84"/>
    <d v="2024-02-14T00:00:00"/>
    <s v="High demand"/>
  </r>
  <r>
    <x v="14"/>
    <x v="2"/>
    <n v="138"/>
    <n v="31"/>
    <x v="0"/>
    <x v="1"/>
    <n v="130.22999999999999"/>
    <s v="Warehouse B"/>
    <x v="56"/>
    <d v="2023-02-05T00:00:00"/>
    <s v="High demand"/>
  </r>
  <r>
    <x v="0"/>
    <x v="2"/>
    <n v="138"/>
    <n v="55"/>
    <x v="0"/>
    <x v="2"/>
    <n v="119.08"/>
    <s v="Warehouse A"/>
    <x v="85"/>
    <d v="2023-08-27T00:00:00"/>
    <s v="Pending Coastal Logistics Partnersonfirmation"/>
  </r>
  <r>
    <x v="29"/>
    <x v="3"/>
    <n v="3"/>
    <n v="28"/>
    <x v="1"/>
    <x v="1"/>
    <n v="153.78"/>
    <s v="Warehouse B"/>
    <x v="86"/>
    <d v="2023-11-23T00:00:00"/>
    <s v="High demand"/>
  </r>
  <r>
    <x v="30"/>
    <x v="4"/>
    <n v="13"/>
    <n v="85"/>
    <x v="1"/>
    <x v="2"/>
    <n v="343.04"/>
    <s v="Warehouse A"/>
    <x v="87"/>
    <d v="2023-07-12T00:00:00"/>
    <m/>
  </r>
  <r>
    <x v="28"/>
    <x v="2"/>
    <n v="123"/>
    <n v="98"/>
    <x v="0"/>
    <x v="1"/>
    <n v="328.53"/>
    <s v="Warehouse A"/>
    <x v="5"/>
    <d v="2023-08-05T00:00:00"/>
    <s v="Discontinued"/>
  </r>
  <r>
    <x v="41"/>
    <x v="0"/>
    <n v="60"/>
    <n v="97"/>
    <x v="1"/>
    <x v="1"/>
    <n v="345.21"/>
    <s v="Warehouse B"/>
    <x v="88"/>
    <d v="2023-05-07T00:00:00"/>
    <m/>
  </r>
  <r>
    <x v="1"/>
    <x v="0"/>
    <n v="130"/>
    <n v="34"/>
    <x v="0"/>
    <x v="1"/>
    <n v="228.73"/>
    <s v="Warehouse A"/>
    <x v="7"/>
    <d v="2023-06-04T00:00:00"/>
    <s v="Pending Coastal Logistics Partnersonfirmation"/>
  </r>
  <r>
    <x v="37"/>
    <x v="4"/>
    <n v="27"/>
    <n v="39"/>
    <x v="1"/>
    <x v="0"/>
    <n v="320.92"/>
    <s v="Warehouse B"/>
    <x v="89"/>
    <d v="2023-08-15T00:00:00"/>
    <s v="Discontinued"/>
  </r>
  <r>
    <x v="42"/>
    <x v="4"/>
    <n v="123"/>
    <n v="44"/>
    <x v="0"/>
    <x v="0"/>
    <n v="367.73"/>
    <s v="Warehouse A"/>
    <x v="90"/>
    <d v="2023-05-09T00:00:00"/>
    <s v="High demand"/>
  </r>
  <r>
    <x v="1"/>
    <x v="1"/>
    <n v="169"/>
    <n v="43"/>
    <x v="0"/>
    <x v="0"/>
    <n v="140.91999999999999"/>
    <s v="Warehouse C"/>
    <x v="91"/>
    <d v="2023-10-15T00:00:00"/>
    <s v="Discontinued"/>
  </r>
  <r>
    <x v="5"/>
    <x v="3"/>
    <n v="96"/>
    <n v="70"/>
    <x v="0"/>
    <x v="2"/>
    <n v="268.48"/>
    <s v="Warehouse A"/>
    <x v="92"/>
    <d v="2023-04-26T00:00:00"/>
    <s v="High demand"/>
  </r>
  <r>
    <x v="2"/>
    <x v="2"/>
    <n v="57"/>
    <n v="39"/>
    <x v="0"/>
    <x v="1"/>
    <n v="275.61"/>
    <s v="Warehouse B"/>
    <x v="70"/>
    <d v="2023-09-13T00:00:00"/>
    <m/>
  </r>
  <r>
    <x v="39"/>
    <x v="3"/>
    <n v="130"/>
    <n v="43"/>
    <x v="0"/>
    <x v="0"/>
    <n v="374.21"/>
    <s v="Warehouse C"/>
    <x v="93"/>
    <d v="2023-04-16T00:00:00"/>
    <s v="High demand"/>
  </r>
  <r>
    <x v="8"/>
    <x v="3"/>
    <n v="44"/>
    <n v="42"/>
    <x v="0"/>
    <x v="0"/>
    <n v="79.680000000000007"/>
    <s v="Warehouse C"/>
    <x v="94"/>
    <d v="2023-05-03T00:00:00"/>
    <s v="Discontinued"/>
  </r>
  <r>
    <x v="16"/>
    <x v="3"/>
    <n v="78"/>
    <n v="42"/>
    <x v="0"/>
    <x v="2"/>
    <n v="369.22"/>
    <s v="Warehouse A"/>
    <x v="95"/>
    <d v="2023-10-25T00:00:00"/>
    <s v="Discontinued"/>
  </r>
  <r>
    <x v="2"/>
    <x v="3"/>
    <n v="119"/>
    <n v="66"/>
    <x v="0"/>
    <x v="1"/>
    <n v="36.17"/>
    <s v="Warehouse C"/>
    <x v="96"/>
    <d v="2023-11-30T00:00:00"/>
    <s v="High demand"/>
  </r>
  <r>
    <x v="14"/>
    <x v="4"/>
    <n v="52"/>
    <n v="91"/>
    <x v="1"/>
    <x v="0"/>
    <n v="30.49"/>
    <s v="Warehouse C"/>
    <x v="97"/>
    <d v="2023-11-04T00:00:00"/>
    <s v="Pending Coastal Logistics Partnersonfirmation"/>
  </r>
  <r>
    <x v="20"/>
    <x v="1"/>
    <n v="63"/>
    <n v="33"/>
    <x v="0"/>
    <x v="1"/>
    <n v="229.59"/>
    <s v="Warehouse C"/>
    <x v="98"/>
    <d v="2023-08-29T00:00:00"/>
    <s v="High demand"/>
  </r>
  <r>
    <x v="14"/>
    <x v="2"/>
    <n v="17"/>
    <n v="81"/>
    <x v="1"/>
    <x v="2"/>
    <n v="348.24"/>
    <s v="Warehouse B"/>
    <x v="15"/>
    <d v="2023-04-06T00:00:00"/>
    <s v="High demand"/>
  </r>
  <r>
    <x v="39"/>
    <x v="4"/>
    <n v="140"/>
    <n v="77"/>
    <x v="0"/>
    <x v="1"/>
    <n v="386.74"/>
    <s v="Warehouse A"/>
    <x v="21"/>
    <d v="2024-03-10T00:00:00"/>
    <s v="Discontinued"/>
  </r>
  <r>
    <x v="10"/>
    <x v="0"/>
    <n v="150"/>
    <n v="25"/>
    <x v="0"/>
    <x v="2"/>
    <n v="115.38"/>
    <s v="Warehouse B"/>
    <x v="87"/>
    <d v="2023-07-01T00:00:00"/>
    <s v="Discontinued"/>
  </r>
  <r>
    <x v="26"/>
    <x v="3"/>
    <n v="113"/>
    <n v="81"/>
    <x v="0"/>
    <x v="1"/>
    <n v="13.88"/>
    <s v="Warehouse A"/>
    <x v="99"/>
    <d v="2023-12-21T00:00:00"/>
    <s v="Pending Coastal Logistics Partnersonfirmation"/>
  </r>
  <r>
    <x v="35"/>
    <x v="0"/>
    <n v="50"/>
    <n v="50"/>
    <x v="0"/>
    <x v="1"/>
    <n v="125.36"/>
    <s v="Warehouse B"/>
    <x v="87"/>
    <d v="2023-06-20T00:00:00"/>
    <s v="Discontinued"/>
  </r>
  <r>
    <x v="23"/>
    <x v="0"/>
    <n v="192"/>
    <n v="41"/>
    <x v="0"/>
    <x v="1"/>
    <n v="156.94"/>
    <s v="Warehouse C"/>
    <x v="100"/>
    <d v="2023-05-20T00:00:00"/>
    <s v="High demand"/>
  </r>
  <r>
    <x v="2"/>
    <x v="2"/>
    <n v="178"/>
    <n v="45"/>
    <x v="0"/>
    <x v="1"/>
    <n v="387.08"/>
    <s v="Warehouse C"/>
    <x v="101"/>
    <d v="2023-09-30T00:00:00"/>
    <s v="Pending Coastal Logistics Partnersonfirmation"/>
  </r>
  <r>
    <x v="35"/>
    <x v="4"/>
    <n v="5"/>
    <n v="28"/>
    <x v="1"/>
    <x v="0"/>
    <n v="306.83"/>
    <s v="Warehouse B"/>
    <x v="102"/>
    <d v="2023-04-09T00:00:00"/>
    <s v="Pending Coastal Logistics Partnersonfirmation"/>
  </r>
  <r>
    <x v="32"/>
    <x v="2"/>
    <n v="104"/>
    <n v="97"/>
    <x v="0"/>
    <x v="1"/>
    <n v="422.88"/>
    <s v="Warehouse C"/>
    <x v="75"/>
    <d v="2023-12-28T00:00:00"/>
    <s v="Discontinued"/>
  </r>
  <r>
    <x v="12"/>
    <x v="3"/>
    <n v="1"/>
    <n v="77"/>
    <x v="1"/>
    <x v="1"/>
    <n v="260.19"/>
    <s v="Warehouse C"/>
    <x v="15"/>
    <d v="2023-02-15T00:00:00"/>
    <s v="Discontinued"/>
  </r>
  <r>
    <x v="23"/>
    <x v="0"/>
    <n v="96"/>
    <n v="71"/>
    <x v="0"/>
    <x v="1"/>
    <n v="341.32"/>
    <s v="Warehouse B"/>
    <x v="103"/>
    <d v="2023-06-21T00:00:00"/>
    <s v="Discontinued"/>
  </r>
  <r>
    <x v="33"/>
    <x v="4"/>
    <n v="119"/>
    <n v="68"/>
    <x v="0"/>
    <x v="2"/>
    <n v="339.1"/>
    <s v="Warehouse C"/>
    <x v="104"/>
    <d v="2023-05-29T00:00:00"/>
    <m/>
  </r>
  <r>
    <x v="20"/>
    <x v="3"/>
    <n v="197"/>
    <n v="24"/>
    <x v="0"/>
    <x v="1"/>
    <n v="439.55"/>
    <s v="Warehouse C"/>
    <x v="105"/>
    <d v="2023-02-27T00:00:00"/>
    <s v="Discontinued"/>
  </r>
  <r>
    <x v="1"/>
    <x v="1"/>
    <n v="174"/>
    <n v="66"/>
    <x v="0"/>
    <x v="0"/>
    <n v="253.8"/>
    <s v="Warehouse C"/>
    <x v="51"/>
    <d v="2023-05-02T00:00:00"/>
    <s v="Discontinued"/>
  </r>
  <r>
    <x v="12"/>
    <x v="4"/>
    <n v="32"/>
    <n v="58"/>
    <x v="1"/>
    <x v="0"/>
    <n v="358.98"/>
    <s v="Warehouse A"/>
    <x v="82"/>
    <d v="2023-08-20T00:00:00"/>
    <s v="Discontinued"/>
  </r>
  <r>
    <x v="43"/>
    <x v="0"/>
    <n v="167"/>
    <n v="23"/>
    <x v="0"/>
    <x v="1"/>
    <n v="375.66"/>
    <s v="Warehouse B"/>
    <x v="106"/>
    <d v="2023-07-13T00:00:00"/>
    <s v="Pending Coastal Logistics Partnersonfirmation"/>
  </r>
  <r>
    <x v="44"/>
    <x v="2"/>
    <n v="196"/>
    <n v="35"/>
    <x v="0"/>
    <x v="1"/>
    <n v="424.18"/>
    <s v="Warehouse A"/>
    <x v="107"/>
    <d v="2023-11-03T00:00:00"/>
    <s v="Pending Coastal Logistics Partnersonfirmation"/>
  </r>
  <r>
    <x v="45"/>
    <x v="4"/>
    <n v="61"/>
    <n v="89"/>
    <x v="1"/>
    <x v="1"/>
    <n v="355"/>
    <s v="Warehouse A"/>
    <x v="108"/>
    <d v="2023-08-07T00:00:00"/>
    <s v="High demand"/>
  </r>
  <r>
    <x v="31"/>
    <x v="1"/>
    <n v="172"/>
    <n v="50"/>
    <x v="0"/>
    <x v="2"/>
    <n v="431.63"/>
    <s v="Warehouse B"/>
    <x v="60"/>
    <d v="2023-03-10T00:00:00"/>
    <s v="Discontinued"/>
  </r>
  <r>
    <x v="7"/>
    <x v="0"/>
    <n v="102"/>
    <n v="32"/>
    <x v="0"/>
    <x v="2"/>
    <n v="299.63"/>
    <s v="Warehouse A"/>
    <x v="21"/>
    <d v="2024-01-21T00:00:00"/>
    <m/>
  </r>
  <r>
    <x v="31"/>
    <x v="4"/>
    <n v="61"/>
    <n v="74"/>
    <x v="1"/>
    <x v="2"/>
    <n v="296.95"/>
    <s v="Warehouse C"/>
    <x v="73"/>
    <d v="2023-05-13T00:00:00"/>
    <s v="Discontinued"/>
  </r>
  <r>
    <x v="12"/>
    <x v="3"/>
    <n v="54"/>
    <n v="86"/>
    <x v="1"/>
    <x v="0"/>
    <n v="417.9"/>
    <s v="Warehouse A"/>
    <x v="109"/>
    <d v="2023-03-24T00:00:00"/>
    <m/>
  </r>
  <r>
    <x v="40"/>
    <x v="2"/>
    <n v="179"/>
    <n v="64"/>
    <x v="0"/>
    <x v="0"/>
    <n v="307.25"/>
    <s v="Warehouse A"/>
    <x v="110"/>
    <d v="2023-07-19T00:00:00"/>
    <s v="Pending Coastal Logistics Partnersonfirmation"/>
  </r>
  <r>
    <x v="27"/>
    <x v="1"/>
    <n v="62"/>
    <n v="46"/>
    <x v="0"/>
    <x v="1"/>
    <n v="266.16000000000003"/>
    <s v="Warehouse C"/>
    <x v="15"/>
    <d v="2023-02-10T00:00:00"/>
    <m/>
  </r>
  <r>
    <x v="31"/>
    <x v="2"/>
    <n v="111"/>
    <n v="80"/>
    <x v="0"/>
    <x v="2"/>
    <n v="79.290000000000006"/>
    <s v="Warehouse C"/>
    <x v="111"/>
    <d v="2023-07-03T00:00:00"/>
    <m/>
  </r>
  <r>
    <x v="17"/>
    <x v="4"/>
    <n v="112"/>
    <n v="30"/>
    <x v="0"/>
    <x v="2"/>
    <n v="290.18"/>
    <s v="Warehouse C"/>
    <x v="112"/>
    <d v="2023-08-22T00:00:00"/>
    <s v="Discontinued"/>
  </r>
  <r>
    <x v="45"/>
    <x v="3"/>
    <n v="161"/>
    <n v="90"/>
    <x v="0"/>
    <x v="1"/>
    <n v="209.2"/>
    <s v="Warehouse A"/>
    <x v="113"/>
    <d v="2023-12-12T00:00:00"/>
    <s v="Pending Coastal Logistics Partnersonfirmation"/>
  </r>
  <r>
    <x v="46"/>
    <x v="3"/>
    <n v="62"/>
    <n v="96"/>
    <x v="1"/>
    <x v="2"/>
    <n v="356.1"/>
    <s v="Warehouse A"/>
    <x v="114"/>
    <d v="2024-01-12T00:00:00"/>
    <s v="Pending Coastal Logistics Partnersonfirmation"/>
  </r>
  <r>
    <x v="1"/>
    <x v="4"/>
    <n v="18"/>
    <n v="53"/>
    <x v="1"/>
    <x v="0"/>
    <n v="223.59"/>
    <s v="Warehouse C"/>
    <x v="115"/>
    <d v="2024-01-06T00:00:00"/>
    <s v="Discontinued"/>
  </r>
  <r>
    <x v="20"/>
    <x v="4"/>
    <n v="114"/>
    <n v="38"/>
    <x v="0"/>
    <x v="0"/>
    <n v="393.01"/>
    <s v="Warehouse B"/>
    <x v="116"/>
    <d v="2023-06-03T00:00:00"/>
    <m/>
  </r>
  <r>
    <x v="36"/>
    <x v="0"/>
    <n v="162"/>
    <n v="86"/>
    <x v="0"/>
    <x v="2"/>
    <n v="324.77"/>
    <s v="Warehouse B"/>
    <x v="25"/>
    <d v="2023-04-06T00:00:00"/>
    <s v="Pending Coastal Logistics Partnersonfirmation"/>
  </r>
  <r>
    <x v="42"/>
    <x v="1"/>
    <n v="160"/>
    <n v="43"/>
    <x v="0"/>
    <x v="1"/>
    <n v="256.3"/>
    <s v="Warehouse A"/>
    <x v="117"/>
    <d v="2023-11-13T00:00:00"/>
    <s v="Pending Coastal Logistics Partnersonfirmation"/>
  </r>
  <r>
    <x v="42"/>
    <x v="3"/>
    <n v="190"/>
    <n v="68"/>
    <x v="0"/>
    <x v="1"/>
    <n v="473.89"/>
    <s v="Warehouse A"/>
    <x v="39"/>
    <d v="2023-03-26T00:00:00"/>
    <s v="Pending Coastal Logistics Partnersonfirmation"/>
  </r>
  <r>
    <x v="10"/>
    <x v="4"/>
    <n v="127"/>
    <n v="69"/>
    <x v="0"/>
    <x v="0"/>
    <n v="132.13999999999999"/>
    <s v="Warehouse A"/>
    <x v="20"/>
    <d v="2023-04-09T00:00:00"/>
    <m/>
  </r>
  <r>
    <x v="12"/>
    <x v="2"/>
    <n v="99"/>
    <n v="66"/>
    <x v="0"/>
    <x v="2"/>
    <n v="415.27"/>
    <s v="Warehouse B"/>
    <x v="63"/>
    <d v="2023-06-24T00:00:00"/>
    <s v="Discontinued"/>
  </r>
  <r>
    <x v="30"/>
    <x v="3"/>
    <n v="136"/>
    <n v="87"/>
    <x v="0"/>
    <x v="0"/>
    <n v="243.72"/>
    <s v="Warehouse B"/>
    <x v="108"/>
    <d v="2023-08-10T00:00:00"/>
    <s v="Pending Coastal Logistics Partnersonfirmation"/>
  </r>
  <r>
    <x v="16"/>
    <x v="3"/>
    <n v="172"/>
    <n v="95"/>
    <x v="0"/>
    <x v="2"/>
    <n v="187.7"/>
    <s v="Warehouse A"/>
    <x v="118"/>
    <d v="2023-07-08T00:00:00"/>
    <s v="High demand"/>
  </r>
  <r>
    <x v="28"/>
    <x v="4"/>
    <n v="112"/>
    <n v="72"/>
    <x v="0"/>
    <x v="2"/>
    <n v="424.08"/>
    <s v="Warehouse C"/>
    <x v="119"/>
    <d v="2023-05-15T00:00:00"/>
    <s v="Discontinued"/>
  </r>
  <r>
    <x v="28"/>
    <x v="2"/>
    <n v="67"/>
    <n v="92"/>
    <x v="1"/>
    <x v="2"/>
    <n v="17.98"/>
    <s v="Warehouse C"/>
    <x v="120"/>
    <d v="2023-08-26T00:00:00"/>
    <s v="Discontinued"/>
  </r>
  <r>
    <x v="0"/>
    <x v="4"/>
    <n v="11"/>
    <n v="78"/>
    <x v="1"/>
    <x v="0"/>
    <n v="411.87"/>
    <s v="Warehouse B"/>
    <x v="121"/>
    <d v="2023-11-08T00:00:00"/>
    <s v="Pending Coastal Logistics Partnersonfirmation"/>
  </r>
  <r>
    <x v="21"/>
    <x v="3"/>
    <n v="42"/>
    <n v="96"/>
    <x v="1"/>
    <x v="1"/>
    <n v="316.76"/>
    <s v="Warehouse C"/>
    <x v="122"/>
    <d v="2023-05-26T00:00:00"/>
    <m/>
  </r>
  <r>
    <x v="45"/>
    <x v="3"/>
    <n v="0"/>
    <n v="48"/>
    <x v="1"/>
    <x v="1"/>
    <n v="339.53"/>
    <s v="Warehouse A"/>
    <x v="38"/>
    <d v="2023-08-03T00:00:00"/>
    <s v="Pending Coastal Logistics Partnersonfirmation"/>
  </r>
  <r>
    <x v="35"/>
    <x v="3"/>
    <n v="115"/>
    <n v="82"/>
    <x v="0"/>
    <x v="0"/>
    <n v="367.88"/>
    <s v="Warehouse B"/>
    <x v="4"/>
    <d v="2024-02-06T00:00:00"/>
    <s v="Pending Coastal Logistics Partnersonfirmation"/>
  </r>
  <r>
    <x v="44"/>
    <x v="1"/>
    <n v="171"/>
    <n v="95"/>
    <x v="0"/>
    <x v="2"/>
    <n v="288.24"/>
    <s v="Warehouse C"/>
    <x v="123"/>
    <d v="2023-10-29T00:00:00"/>
    <m/>
  </r>
  <r>
    <x v="38"/>
    <x v="1"/>
    <n v="28"/>
    <n v="85"/>
    <x v="1"/>
    <x v="1"/>
    <n v="245.09"/>
    <s v="Warehouse B"/>
    <x v="124"/>
    <d v="2023-02-13T00:00:00"/>
    <s v="Pending Coastal Logistics Partnersonfirmation"/>
  </r>
  <r>
    <x v="13"/>
    <x v="4"/>
    <n v="69"/>
    <n v="40"/>
    <x v="0"/>
    <x v="0"/>
    <n v="420.25"/>
    <s v="Warehouse C"/>
    <x v="125"/>
    <d v="2023-07-24T00:00:00"/>
    <s v="Discontinued"/>
  </r>
  <r>
    <x v="13"/>
    <x v="3"/>
    <n v="139"/>
    <n v="79"/>
    <x v="0"/>
    <x v="1"/>
    <n v="159.93"/>
    <s v="Warehouse C"/>
    <x v="126"/>
    <d v="2023-07-24T00:00:00"/>
    <s v="High demand"/>
  </r>
  <r>
    <x v="6"/>
    <x v="4"/>
    <n v="154"/>
    <n v="83"/>
    <x v="0"/>
    <x v="2"/>
    <n v="76.98"/>
    <s v="Warehouse C"/>
    <x v="31"/>
    <d v="2023-10-23T00:00:00"/>
    <s v="Discontinued"/>
  </r>
  <r>
    <x v="25"/>
    <x v="2"/>
    <n v="26"/>
    <n v="30"/>
    <x v="1"/>
    <x v="1"/>
    <n v="431.52"/>
    <s v="Warehouse A"/>
    <x v="124"/>
    <d v="2023-03-23T00:00:00"/>
    <s v="High demand"/>
  </r>
  <r>
    <x v="35"/>
    <x v="3"/>
    <n v="56"/>
    <n v="92"/>
    <x v="1"/>
    <x v="2"/>
    <n v="33.82"/>
    <s v="Warehouse C"/>
    <x v="127"/>
    <d v="2023-06-28T00:00:00"/>
    <s v="High demand"/>
  </r>
  <r>
    <x v="19"/>
    <x v="1"/>
    <n v="25"/>
    <n v="84"/>
    <x v="1"/>
    <x v="1"/>
    <n v="398.68"/>
    <s v="Warehouse B"/>
    <x v="118"/>
    <d v="2023-08-06T00:00:00"/>
    <s v="Pending Coastal Logistics Partnersonfirmation"/>
  </r>
  <r>
    <x v="23"/>
    <x v="3"/>
    <n v="112"/>
    <n v="27"/>
    <x v="0"/>
    <x v="0"/>
    <n v="238.12"/>
    <s v="Warehouse A"/>
    <x v="128"/>
    <d v="2023-06-23T00:00:00"/>
    <s v="Pending Coastal Logistics Partnersonfirmation"/>
  </r>
  <r>
    <x v="47"/>
    <x v="3"/>
    <n v="56"/>
    <n v="85"/>
    <x v="1"/>
    <x v="0"/>
    <n v="81.41"/>
    <s v="Warehouse B"/>
    <x v="129"/>
    <d v="2023-08-29T00:00:00"/>
    <s v="Pending Coastal Logistics Partnersonfirmation"/>
  </r>
  <r>
    <x v="4"/>
    <x v="2"/>
    <n v="129"/>
    <n v="89"/>
    <x v="0"/>
    <x v="0"/>
    <n v="92.15"/>
    <s v="Warehouse B"/>
    <x v="130"/>
    <d v="2023-04-11T00:00:00"/>
    <s v="Pending Coastal Logistics Partnersonfirmation"/>
  </r>
  <r>
    <x v="34"/>
    <x v="1"/>
    <n v="82"/>
    <n v="48"/>
    <x v="0"/>
    <x v="2"/>
    <n v="400.18"/>
    <s v="Warehouse B"/>
    <x v="104"/>
    <d v="2023-07-22T00:00:00"/>
    <m/>
  </r>
  <r>
    <x v="3"/>
    <x v="3"/>
    <n v="39"/>
    <n v="75"/>
    <x v="1"/>
    <x v="0"/>
    <n v="182.46"/>
    <s v="Warehouse A"/>
    <x v="131"/>
    <d v="2023-10-12T00:00:00"/>
    <s v="High demand"/>
  </r>
  <r>
    <x v="31"/>
    <x v="0"/>
    <n v="103"/>
    <n v="70"/>
    <x v="0"/>
    <x v="1"/>
    <n v="50.7"/>
    <s v="Warehouse A"/>
    <x v="129"/>
    <d v="2023-09-25T00:00:00"/>
    <s v="Discontinued"/>
  </r>
  <r>
    <x v="3"/>
    <x v="1"/>
    <n v="47"/>
    <n v="46"/>
    <x v="0"/>
    <x v="2"/>
    <n v="137.32"/>
    <s v="Warehouse A"/>
    <x v="132"/>
    <d v="2023-12-05T00:00:00"/>
    <s v="Discontinued"/>
  </r>
  <r>
    <x v="32"/>
    <x v="1"/>
    <n v="10"/>
    <n v="96"/>
    <x v="1"/>
    <x v="2"/>
    <n v="282.16000000000003"/>
    <s v="Warehouse B"/>
    <x v="50"/>
    <d v="2023-03-22T00:00:00"/>
    <s v="Pending Coastal Logistics Partnersonfirmation"/>
  </r>
  <r>
    <x v="24"/>
    <x v="2"/>
    <n v="87"/>
    <n v="69"/>
    <x v="0"/>
    <x v="0"/>
    <n v="195.38"/>
    <s v="Warehouse A"/>
    <x v="133"/>
    <d v="2023-04-12T00:00:00"/>
    <s v="Discontinued"/>
  </r>
  <r>
    <x v="4"/>
    <x v="0"/>
    <n v="45"/>
    <n v="26"/>
    <x v="0"/>
    <x v="2"/>
    <n v="471.74"/>
    <s v="Warehouse A"/>
    <x v="134"/>
    <d v="2023-02-23T00:00:00"/>
    <s v="Discontinued"/>
  </r>
  <r>
    <x v="39"/>
    <x v="2"/>
    <n v="31"/>
    <n v="54"/>
    <x v="1"/>
    <x v="1"/>
    <n v="499.45"/>
    <s v="Warehouse C"/>
    <x v="135"/>
    <d v="2023-08-11T00:00:00"/>
    <m/>
  </r>
  <r>
    <x v="26"/>
    <x v="4"/>
    <n v="193"/>
    <n v="49"/>
    <x v="0"/>
    <x v="2"/>
    <n v="366.38"/>
    <s v="Warehouse A"/>
    <x v="136"/>
    <d v="2023-03-31T00:00:00"/>
    <m/>
  </r>
  <r>
    <x v="38"/>
    <x v="1"/>
    <n v="163"/>
    <n v="86"/>
    <x v="0"/>
    <x v="0"/>
    <n v="164.78"/>
    <s v="Warehouse B"/>
    <x v="27"/>
    <d v="2023-12-02T00:00:00"/>
    <s v="Discontinued"/>
  </r>
  <r>
    <x v="34"/>
    <x v="0"/>
    <n v="165"/>
    <n v="46"/>
    <x v="0"/>
    <x v="1"/>
    <n v="66.86"/>
    <s v="Warehouse B"/>
    <x v="73"/>
    <d v="2023-06-24T00:00:00"/>
    <s v="Pending Coastal Logistics Partnersonfirmation"/>
  </r>
  <r>
    <x v="38"/>
    <x v="3"/>
    <n v="198"/>
    <n v="46"/>
    <x v="0"/>
    <x v="0"/>
    <n v="285.77999999999997"/>
    <s v="Warehouse B"/>
    <x v="137"/>
    <d v="2024-01-05T00:00:00"/>
    <s v="High demand"/>
  </r>
  <r>
    <x v="27"/>
    <x v="1"/>
    <n v="133"/>
    <n v="72"/>
    <x v="0"/>
    <x v="1"/>
    <n v="433.84"/>
    <s v="Warehouse A"/>
    <x v="21"/>
    <d v="2024-02-22T00:00:00"/>
    <s v="High demand"/>
  </r>
  <r>
    <x v="37"/>
    <x v="3"/>
    <n v="39"/>
    <n v="42"/>
    <x v="1"/>
    <x v="1"/>
    <n v="299.27999999999997"/>
    <s v="Warehouse A"/>
    <x v="138"/>
    <d v="2023-09-12T00:00:00"/>
    <s v="Discontinued"/>
  </r>
  <r>
    <x v="31"/>
    <x v="3"/>
    <n v="28"/>
    <n v="34"/>
    <x v="1"/>
    <x v="0"/>
    <n v="79.05"/>
    <s v="Warehouse C"/>
    <x v="139"/>
    <d v="2023-02-19T00:00:00"/>
    <s v="Pending Coastal Logistics Partnersonfirmation"/>
  </r>
  <r>
    <x v="26"/>
    <x v="2"/>
    <n v="149"/>
    <n v="97"/>
    <x v="0"/>
    <x v="0"/>
    <n v="32.92"/>
    <s v="Warehouse C"/>
    <x v="140"/>
    <d v="2024-01-08T00:00:00"/>
    <s v="Pending Coastal Logistics Partnersonfirmation"/>
  </r>
  <r>
    <x v="45"/>
    <x v="1"/>
    <n v="134"/>
    <n v="35"/>
    <x v="0"/>
    <x v="1"/>
    <n v="199.79"/>
    <s v="Warehouse A"/>
    <x v="141"/>
    <d v="2023-11-30T00:00:00"/>
    <s v="Pending Coastal Logistics Partnersonfirmation"/>
  </r>
  <r>
    <x v="38"/>
    <x v="0"/>
    <n v="26"/>
    <n v="36"/>
    <x v="1"/>
    <x v="2"/>
    <n v="86.67"/>
    <s v="Warehouse B"/>
    <x v="142"/>
    <d v="2023-07-17T00:00:00"/>
    <s v="Discontinued"/>
  </r>
  <r>
    <x v="28"/>
    <x v="3"/>
    <n v="188"/>
    <n v="88"/>
    <x v="0"/>
    <x v="0"/>
    <n v="248.71"/>
    <s v="Warehouse C"/>
    <x v="112"/>
    <d v="2023-08-29T00:00:00"/>
    <s v="Pending Coastal Logistics Partnersonfirmation"/>
  </r>
  <r>
    <x v="31"/>
    <x v="0"/>
    <n v="119"/>
    <n v="26"/>
    <x v="0"/>
    <x v="2"/>
    <n v="235.9"/>
    <s v="Warehouse B"/>
    <x v="143"/>
    <d v="2023-12-03T00:00:00"/>
    <s v="Discontinued"/>
  </r>
  <r>
    <x v="4"/>
    <x v="0"/>
    <n v="148"/>
    <n v="78"/>
    <x v="0"/>
    <x v="2"/>
    <n v="83.41"/>
    <s v="Warehouse C"/>
    <x v="144"/>
    <d v="2023-06-05T00:00:00"/>
    <s v="High demand"/>
  </r>
  <r>
    <x v="25"/>
    <x v="2"/>
    <n v="6"/>
    <n v="83"/>
    <x v="1"/>
    <x v="1"/>
    <n v="55.23"/>
    <s v="Warehouse B"/>
    <x v="145"/>
    <d v="2023-10-19T00:00:00"/>
    <s v="Discontinued"/>
  </r>
  <r>
    <x v="33"/>
    <x v="2"/>
    <n v="47"/>
    <n v="50"/>
    <x v="1"/>
    <x v="2"/>
    <n v="208.85"/>
    <s v="Warehouse C"/>
    <x v="146"/>
    <d v="2023-08-14T00:00:00"/>
    <s v="High demand"/>
  </r>
  <r>
    <x v="35"/>
    <x v="3"/>
    <n v="9"/>
    <n v="58"/>
    <x v="1"/>
    <x v="0"/>
    <n v="359.7"/>
    <s v="Warehouse C"/>
    <x v="147"/>
    <d v="2023-02-05T00:00:00"/>
    <m/>
  </r>
  <r>
    <x v="0"/>
    <x v="2"/>
    <n v="43"/>
    <n v="83"/>
    <x v="1"/>
    <x v="1"/>
    <n v="365.67"/>
    <s v="Warehouse B"/>
    <x v="148"/>
    <d v="2023-09-29T00:00:00"/>
    <s v="Pending Coastal Logistics Partnersonfirmation"/>
  </r>
  <r>
    <x v="48"/>
    <x v="4"/>
    <n v="112"/>
    <n v="40"/>
    <x v="0"/>
    <x v="0"/>
    <n v="6.65"/>
    <s v="Warehouse A"/>
    <x v="149"/>
    <d v="2023-10-20T00:00:00"/>
    <m/>
  </r>
  <r>
    <x v="46"/>
    <x v="1"/>
    <n v="148"/>
    <n v="24"/>
    <x v="0"/>
    <x v="0"/>
    <n v="399.24"/>
    <s v="Warehouse A"/>
    <x v="150"/>
    <d v="2024-01-02T00:00:00"/>
    <s v="High demand"/>
  </r>
  <r>
    <x v="48"/>
    <x v="2"/>
    <n v="108"/>
    <n v="58"/>
    <x v="0"/>
    <x v="1"/>
    <n v="89.51"/>
    <s v="Warehouse A"/>
    <x v="151"/>
    <d v="2023-10-27T00:00:00"/>
    <s v="Discontinued"/>
  </r>
  <r>
    <x v="0"/>
    <x v="4"/>
    <n v="166"/>
    <n v="51"/>
    <x v="0"/>
    <x v="0"/>
    <n v="209.1"/>
    <s v="Warehouse C"/>
    <x v="94"/>
    <d v="2023-05-11T00:00:00"/>
    <m/>
  </r>
  <r>
    <x v="19"/>
    <x v="1"/>
    <n v="52"/>
    <n v="87"/>
    <x v="1"/>
    <x v="2"/>
    <n v="424.33"/>
    <s v="Warehouse A"/>
    <x v="152"/>
    <d v="2024-01-19T00:00:00"/>
    <s v="Discontinued"/>
  </r>
  <r>
    <x v="19"/>
    <x v="0"/>
    <n v="86"/>
    <n v="29"/>
    <x v="0"/>
    <x v="2"/>
    <n v="493.72"/>
    <s v="Warehouse A"/>
    <x v="153"/>
    <d v="2023-10-17T00:00:00"/>
    <s v="High demand"/>
  </r>
  <r>
    <x v="21"/>
    <x v="3"/>
    <n v="105"/>
    <n v="53"/>
    <x v="0"/>
    <x v="1"/>
    <n v="52.62"/>
    <s v="Warehouse C"/>
    <x v="19"/>
    <d v="2023-08-25T00:00:00"/>
    <s v="High demand"/>
  </r>
  <r>
    <x v="7"/>
    <x v="4"/>
    <n v="110"/>
    <n v="52"/>
    <x v="0"/>
    <x v="2"/>
    <n v="116.75"/>
    <s v="Warehouse B"/>
    <x v="30"/>
    <d v="2023-09-10T00:00:00"/>
    <m/>
  </r>
  <r>
    <x v="5"/>
    <x v="1"/>
    <n v="29"/>
    <n v="98"/>
    <x v="1"/>
    <x v="2"/>
    <n v="423.97"/>
    <s v="Warehouse C"/>
    <x v="58"/>
    <d v="2023-10-26T00:00:00"/>
    <m/>
  </r>
  <r>
    <x v="30"/>
    <x v="0"/>
    <n v="194"/>
    <n v="43"/>
    <x v="0"/>
    <x v="1"/>
    <n v="79.81"/>
    <s v="Warehouse A"/>
    <x v="139"/>
    <d v="2023-02-10T00:00:00"/>
    <m/>
  </r>
  <r>
    <x v="15"/>
    <x v="0"/>
    <n v="57"/>
    <n v="39"/>
    <x v="0"/>
    <x v="1"/>
    <n v="99.64"/>
    <s v="Warehouse A"/>
    <x v="30"/>
    <d v="2023-08-04T00:00:00"/>
    <s v="High demand"/>
  </r>
  <r>
    <x v="4"/>
    <x v="4"/>
    <n v="75"/>
    <n v="62"/>
    <x v="0"/>
    <x v="2"/>
    <n v="361.35"/>
    <s v="Warehouse C"/>
    <x v="10"/>
    <d v="2023-12-13T00:00:00"/>
    <s v="High demand"/>
  </r>
  <r>
    <x v="45"/>
    <x v="4"/>
    <n v="93"/>
    <n v="42"/>
    <x v="0"/>
    <x v="2"/>
    <n v="143.91"/>
    <s v="Warehouse C"/>
    <x v="154"/>
    <d v="2023-04-07T00:00:00"/>
    <s v="High demand"/>
  </r>
  <r>
    <x v="47"/>
    <x v="2"/>
    <n v="36"/>
    <n v="53"/>
    <x v="1"/>
    <x v="0"/>
    <n v="112.35"/>
    <s v="Warehouse A"/>
    <x v="155"/>
    <d v="2023-10-09T00:00:00"/>
    <m/>
  </r>
  <r>
    <x v="17"/>
    <x v="0"/>
    <n v="87"/>
    <n v="87"/>
    <x v="0"/>
    <x v="1"/>
    <n v="430.34"/>
    <s v="Warehouse A"/>
    <x v="133"/>
    <d v="2023-03-17T00:00:00"/>
    <s v="Pending Coastal Logistics Partnersonfirmation"/>
  </r>
  <r>
    <x v="22"/>
    <x v="2"/>
    <n v="180"/>
    <n v="94"/>
    <x v="0"/>
    <x v="2"/>
    <n v="226.44"/>
    <s v="Warehouse A"/>
    <x v="63"/>
    <d v="2023-05-03T00:00:00"/>
    <s v="High demand"/>
  </r>
  <r>
    <x v="42"/>
    <x v="0"/>
    <n v="181"/>
    <n v="38"/>
    <x v="0"/>
    <x v="1"/>
    <n v="297.18"/>
    <s v="Warehouse B"/>
    <x v="156"/>
    <d v="2023-10-31T00:00:00"/>
    <s v="Discontinued"/>
  </r>
  <r>
    <x v="29"/>
    <x v="1"/>
    <n v="122"/>
    <n v="33"/>
    <x v="0"/>
    <x v="2"/>
    <n v="354.79"/>
    <s v="Warehouse A"/>
    <x v="150"/>
    <d v="2024-02-17T00:00:00"/>
    <s v="Pending Coastal Logistics Partnersonfirmation"/>
  </r>
  <r>
    <x v="43"/>
    <x v="0"/>
    <n v="28"/>
    <n v="39"/>
    <x v="1"/>
    <x v="0"/>
    <n v="274.62"/>
    <s v="Warehouse A"/>
    <x v="56"/>
    <d v="2023-02-09T00:00:00"/>
    <s v="High demand"/>
  </r>
  <r>
    <x v="43"/>
    <x v="0"/>
    <n v="185"/>
    <n v="35"/>
    <x v="0"/>
    <x v="2"/>
    <n v="16.66"/>
    <s v="Warehouse C"/>
    <x v="157"/>
    <d v="2023-08-11T00:00:00"/>
    <s v="Discontinued"/>
  </r>
  <r>
    <x v="20"/>
    <x v="0"/>
    <n v="170"/>
    <n v="61"/>
    <x v="0"/>
    <x v="1"/>
    <n v="231.31"/>
    <s v="Warehouse A"/>
    <x v="158"/>
    <d v="2024-02-29T00:00:00"/>
    <m/>
  </r>
  <r>
    <x v="22"/>
    <x v="1"/>
    <n v="19"/>
    <n v="75"/>
    <x v="1"/>
    <x v="0"/>
    <n v="84.18"/>
    <s v="Warehouse C"/>
    <x v="159"/>
    <d v="2023-04-02T00:00:00"/>
    <s v="High demand"/>
  </r>
  <r>
    <x v="41"/>
    <x v="1"/>
    <n v="101"/>
    <n v="64"/>
    <x v="0"/>
    <x v="1"/>
    <n v="246.16"/>
    <s v="Warehouse A"/>
    <x v="160"/>
    <d v="2024-01-14T00:00:00"/>
    <s v="High demand"/>
  </r>
  <r>
    <x v="26"/>
    <x v="2"/>
    <n v="146"/>
    <n v="58"/>
    <x v="0"/>
    <x v="2"/>
    <n v="495.3"/>
    <s v="Warehouse A"/>
    <x v="161"/>
    <d v="2023-12-29T00:00:00"/>
    <m/>
  </r>
  <r>
    <x v="17"/>
    <x v="2"/>
    <n v="199"/>
    <n v="23"/>
    <x v="0"/>
    <x v="1"/>
    <n v="248.66"/>
    <s v="Warehouse C"/>
    <x v="162"/>
    <d v="2023-06-08T00:00:00"/>
    <m/>
  </r>
  <r>
    <x v="21"/>
    <x v="1"/>
    <n v="92"/>
    <n v="52"/>
    <x v="0"/>
    <x v="1"/>
    <n v="134.58000000000001"/>
    <s v="Warehouse A"/>
    <x v="163"/>
    <d v="2023-12-22T00:00:00"/>
    <s v="Pending Coastal Logistics Partnersonfirmation"/>
  </r>
  <r>
    <x v="39"/>
    <x v="1"/>
    <n v="120"/>
    <n v="50"/>
    <x v="0"/>
    <x v="2"/>
    <n v="471.42"/>
    <s v="Warehouse C"/>
    <x v="164"/>
    <d v="2023-06-21T00:00:00"/>
    <s v="Pending Coastal Logistics Partnersonfirmation"/>
  </r>
  <r>
    <x v="26"/>
    <x v="2"/>
    <n v="33"/>
    <n v="37"/>
    <x v="1"/>
    <x v="2"/>
    <n v="389.68"/>
    <s v="Warehouse B"/>
    <x v="165"/>
    <d v="2023-08-22T00:00:00"/>
    <m/>
  </r>
  <r>
    <x v="3"/>
    <x v="1"/>
    <n v="81"/>
    <n v="51"/>
    <x v="0"/>
    <x v="2"/>
    <n v="233.87"/>
    <s v="Warehouse B"/>
    <x v="166"/>
    <d v="2023-03-24T00:00:00"/>
    <m/>
  </r>
  <r>
    <x v="37"/>
    <x v="0"/>
    <n v="111"/>
    <n v="93"/>
    <x v="0"/>
    <x v="2"/>
    <n v="78.53"/>
    <s v="Warehouse B"/>
    <x v="37"/>
    <d v="2024-01-21T00:00:00"/>
    <s v="High demand"/>
  </r>
  <r>
    <x v="47"/>
    <x v="4"/>
    <n v="14"/>
    <n v="22"/>
    <x v="1"/>
    <x v="2"/>
    <n v="452.9"/>
    <s v="Warehouse B"/>
    <x v="167"/>
    <d v="2023-04-21T00:00:00"/>
    <m/>
  </r>
  <r>
    <x v="37"/>
    <x v="4"/>
    <n v="35"/>
    <n v="26"/>
    <x v="0"/>
    <x v="1"/>
    <n v="373.32"/>
    <s v="Warehouse A"/>
    <x v="168"/>
    <d v="2023-11-01T00:00:00"/>
    <s v="Discontinued"/>
  </r>
  <r>
    <x v="3"/>
    <x v="1"/>
    <n v="74"/>
    <n v="73"/>
    <x v="0"/>
    <x v="2"/>
    <n v="303.83999999999997"/>
    <s v="Warehouse B"/>
    <x v="169"/>
    <d v="2023-09-27T00:00:00"/>
    <m/>
  </r>
  <r>
    <x v="30"/>
    <x v="1"/>
    <n v="103"/>
    <n v="74"/>
    <x v="0"/>
    <x v="2"/>
    <n v="357.18"/>
    <s v="Warehouse B"/>
    <x v="170"/>
    <d v="2024-01-23T00:00:00"/>
    <s v="Pending Coastal Logistics Partnersonfirmation"/>
  </r>
  <r>
    <x v="38"/>
    <x v="1"/>
    <n v="92"/>
    <n v="36"/>
    <x v="0"/>
    <x v="0"/>
    <n v="257.8"/>
    <s v="Warehouse B"/>
    <x v="171"/>
    <d v="2023-06-08T00:00:00"/>
    <m/>
  </r>
  <r>
    <x v="33"/>
    <x v="4"/>
    <n v="28"/>
    <n v="54"/>
    <x v="1"/>
    <x v="1"/>
    <n v="447.69"/>
    <s v="Warehouse C"/>
    <x v="35"/>
    <d v="2023-04-20T00:00:00"/>
    <m/>
  </r>
  <r>
    <x v="44"/>
    <x v="2"/>
    <n v="189"/>
    <n v="66"/>
    <x v="0"/>
    <x v="1"/>
    <n v="416.78"/>
    <s v="Warehouse C"/>
    <x v="116"/>
    <d v="2023-06-11T00:00:00"/>
    <s v="Discontinued"/>
  </r>
  <r>
    <x v="26"/>
    <x v="0"/>
    <n v="90"/>
    <n v="52"/>
    <x v="0"/>
    <x v="1"/>
    <n v="70.87"/>
    <s v="Warehouse C"/>
    <x v="71"/>
    <d v="2023-04-01T00:00:00"/>
    <s v="High demand"/>
  </r>
  <r>
    <x v="24"/>
    <x v="0"/>
    <n v="20"/>
    <n v="43"/>
    <x v="1"/>
    <x v="0"/>
    <n v="237.18"/>
    <s v="Warehouse C"/>
    <x v="70"/>
    <d v="2023-09-06T00:00:00"/>
    <m/>
  </r>
  <r>
    <x v="43"/>
    <x v="3"/>
    <n v="45"/>
    <n v="86"/>
    <x v="1"/>
    <x v="0"/>
    <n v="120.06"/>
    <s v="Warehouse B"/>
    <x v="172"/>
    <d v="2024-02-24T00:00:00"/>
    <s v="High demand"/>
  </r>
  <r>
    <x v="33"/>
    <x v="3"/>
    <n v="45"/>
    <n v="55"/>
    <x v="1"/>
    <x v="0"/>
    <n v="26.45"/>
    <s v="Warehouse C"/>
    <x v="173"/>
    <d v="2023-08-08T00:00:00"/>
    <s v="Pending Coastal Logistics Partnersonfirmation"/>
  </r>
  <r>
    <x v="27"/>
    <x v="1"/>
    <n v="19"/>
    <n v="64"/>
    <x v="1"/>
    <x v="0"/>
    <n v="485.69"/>
    <s v="Warehouse C"/>
    <x v="174"/>
    <d v="2023-12-31T00:00:00"/>
    <s v="Pending Coastal Logistics Partnersonfirmation"/>
  </r>
  <r>
    <x v="35"/>
    <x v="2"/>
    <n v="117"/>
    <n v="69"/>
    <x v="0"/>
    <x v="2"/>
    <n v="489.9"/>
    <s v="Warehouse B"/>
    <x v="175"/>
    <d v="2024-02-13T00:00:00"/>
    <s v="Pending Coastal Logistics Partnersonfirmation"/>
  </r>
  <r>
    <x v="3"/>
    <x v="1"/>
    <n v="2"/>
    <n v="96"/>
    <x v="1"/>
    <x v="0"/>
    <n v="44.89"/>
    <s v="Warehouse C"/>
    <x v="114"/>
    <d v="2024-01-17T00:00:00"/>
    <m/>
  </r>
  <r>
    <x v="28"/>
    <x v="2"/>
    <n v="180"/>
    <n v="23"/>
    <x v="0"/>
    <x v="0"/>
    <n v="172.54"/>
    <s v="Warehouse A"/>
    <x v="176"/>
    <d v="2023-06-09T00:00:00"/>
    <s v="Pending Coastal Logistics Partnersonfirmation"/>
  </r>
  <r>
    <x v="30"/>
    <x v="1"/>
    <n v="42"/>
    <n v="85"/>
    <x v="1"/>
    <x v="2"/>
    <n v="370.08"/>
    <s v="Warehouse A"/>
    <x v="177"/>
    <d v="2023-03-19T00:00:00"/>
    <m/>
  </r>
  <r>
    <x v="49"/>
    <x v="4"/>
    <n v="105"/>
    <n v="72"/>
    <x v="0"/>
    <x v="2"/>
    <n v="52.54"/>
    <s v="Warehouse C"/>
    <x v="177"/>
    <d v="2023-05-04T00:00:00"/>
    <s v="High demand"/>
  </r>
  <r>
    <x v="28"/>
    <x v="3"/>
    <n v="77"/>
    <n v="51"/>
    <x v="0"/>
    <x v="1"/>
    <n v="111.48"/>
    <s v="Warehouse A"/>
    <x v="45"/>
    <d v="2023-11-12T00:00:00"/>
    <m/>
  </r>
  <r>
    <x v="30"/>
    <x v="1"/>
    <n v="126"/>
    <n v="62"/>
    <x v="0"/>
    <x v="1"/>
    <n v="336.11"/>
    <s v="Warehouse C"/>
    <x v="178"/>
    <d v="2023-06-30T00:00:00"/>
    <s v="Discontinued"/>
  </r>
  <r>
    <x v="9"/>
    <x v="4"/>
    <n v="52"/>
    <n v="49"/>
    <x v="0"/>
    <x v="0"/>
    <n v="131.52000000000001"/>
    <s v="Warehouse A"/>
    <x v="143"/>
    <d v="2023-11-26T00:00:00"/>
    <s v="Discontinued"/>
  </r>
  <r>
    <x v="20"/>
    <x v="2"/>
    <n v="55"/>
    <n v="66"/>
    <x v="1"/>
    <x v="1"/>
    <n v="476.25"/>
    <s v="Warehouse C"/>
    <x v="7"/>
    <d v="2023-04-02T00:00:00"/>
    <s v="Pending Coastal Logistics Partnersonfirmation"/>
  </r>
  <r>
    <x v="33"/>
    <x v="0"/>
    <n v="2"/>
    <n v="81"/>
    <x v="1"/>
    <x v="0"/>
    <n v="488.88"/>
    <s v="Warehouse A"/>
    <x v="78"/>
    <d v="2023-12-13T00:00:00"/>
    <s v="Discontinued"/>
  </r>
  <r>
    <x v="3"/>
    <x v="0"/>
    <n v="33"/>
    <n v="67"/>
    <x v="1"/>
    <x v="0"/>
    <n v="53.26"/>
    <s v="Warehouse C"/>
    <x v="178"/>
    <d v="2023-08-24T00:00:00"/>
    <m/>
  </r>
  <r>
    <x v="11"/>
    <x v="4"/>
    <n v="158"/>
    <n v="90"/>
    <x v="0"/>
    <x v="1"/>
    <n v="386.57"/>
    <s v="Warehouse B"/>
    <x v="27"/>
    <d v="2023-12-07T00:00:00"/>
    <m/>
  </r>
  <r>
    <x v="11"/>
    <x v="3"/>
    <n v="93"/>
    <n v="21"/>
    <x v="0"/>
    <x v="1"/>
    <n v="486.7"/>
    <s v="Warehouse B"/>
    <x v="5"/>
    <d v="2023-08-15T00:00:00"/>
    <s v="High demand"/>
  </r>
  <r>
    <x v="4"/>
    <x v="4"/>
    <n v="184"/>
    <n v="77"/>
    <x v="0"/>
    <x v="1"/>
    <n v="242.81"/>
    <s v="Warehouse C"/>
    <x v="179"/>
    <d v="2023-02-16T00:00:00"/>
    <s v="Discontinued"/>
  </r>
  <r>
    <x v="31"/>
    <x v="2"/>
    <n v="175"/>
    <n v="93"/>
    <x v="0"/>
    <x v="2"/>
    <n v="278.64"/>
    <s v="Warehouse B"/>
    <x v="180"/>
    <d v="2023-11-19T00:00:00"/>
    <s v="High demand"/>
  </r>
  <r>
    <x v="8"/>
    <x v="2"/>
    <n v="22"/>
    <n v="42"/>
    <x v="1"/>
    <x v="2"/>
    <n v="277.48"/>
    <s v="Warehouse C"/>
    <x v="181"/>
    <d v="2023-09-18T00:00:00"/>
    <m/>
  </r>
  <r>
    <x v="30"/>
    <x v="0"/>
    <n v="126"/>
    <n v="88"/>
    <x v="0"/>
    <x v="2"/>
    <n v="62.4"/>
    <s v="Warehouse A"/>
    <x v="45"/>
    <d v="2023-11-21T00:00:00"/>
    <s v="High demand"/>
  </r>
  <r>
    <x v="47"/>
    <x v="1"/>
    <n v="144"/>
    <n v="71"/>
    <x v="0"/>
    <x v="1"/>
    <n v="233.67"/>
    <s v="Warehouse B"/>
    <x v="182"/>
    <d v="2024-02-16T00:00:00"/>
    <s v="Pending Coastal Logistics Partnersonfirmation"/>
  </r>
  <r>
    <x v="30"/>
    <x v="1"/>
    <n v="196"/>
    <n v="97"/>
    <x v="0"/>
    <x v="2"/>
    <n v="91.22"/>
    <s v="Warehouse B"/>
    <x v="183"/>
    <d v="2023-03-02T00:00:00"/>
    <m/>
  </r>
  <r>
    <x v="43"/>
    <x v="2"/>
    <n v="133"/>
    <n v="47"/>
    <x v="0"/>
    <x v="1"/>
    <n v="95.83"/>
    <s v="Warehouse A"/>
    <x v="184"/>
    <d v="2023-08-31T00:00:00"/>
    <m/>
  </r>
  <r>
    <x v="9"/>
    <x v="2"/>
    <n v="194"/>
    <n v="78"/>
    <x v="0"/>
    <x v="1"/>
    <n v="489.67"/>
    <s v="Warehouse B"/>
    <x v="143"/>
    <d v="2023-10-06T00:00:00"/>
    <s v="Discontinued"/>
  </r>
  <r>
    <x v="6"/>
    <x v="2"/>
    <n v="129"/>
    <n v="97"/>
    <x v="0"/>
    <x v="0"/>
    <n v="270.22000000000003"/>
    <s v="Warehouse C"/>
    <x v="184"/>
    <d v="2023-07-25T00:00:00"/>
    <m/>
  </r>
  <r>
    <x v="39"/>
    <x v="4"/>
    <n v="29"/>
    <n v="72"/>
    <x v="1"/>
    <x v="0"/>
    <n v="445.21"/>
    <s v="Warehouse B"/>
    <x v="185"/>
    <d v="2023-04-12T00:00:00"/>
    <s v="Discontinued"/>
  </r>
  <r>
    <x v="28"/>
    <x v="1"/>
    <n v="121"/>
    <n v="87"/>
    <x v="0"/>
    <x v="1"/>
    <n v="498.18"/>
    <s v="Warehouse B"/>
    <x v="100"/>
    <d v="2023-05-08T00:00:00"/>
    <s v="Pending Coastal Logistics Partnersonfirmation"/>
  </r>
  <r>
    <x v="45"/>
    <x v="3"/>
    <n v="17"/>
    <n v="58"/>
    <x v="1"/>
    <x v="2"/>
    <n v="162.68"/>
    <s v="Warehouse B"/>
    <x v="186"/>
    <d v="2023-09-06T00:00:00"/>
    <s v="Discontinued"/>
  </r>
  <r>
    <x v="0"/>
    <x v="4"/>
    <n v="72"/>
    <n v="29"/>
    <x v="0"/>
    <x v="2"/>
    <n v="415.44"/>
    <s v="Warehouse B"/>
    <x v="187"/>
    <d v="2023-09-27T00:00:00"/>
    <s v="Discontinued"/>
  </r>
  <r>
    <x v="34"/>
    <x v="4"/>
    <n v="193"/>
    <n v="34"/>
    <x v="0"/>
    <x v="0"/>
    <n v="456.33"/>
    <s v="Warehouse C"/>
    <x v="188"/>
    <d v="2023-12-28T00:00:00"/>
    <s v="Pending Coastal Logistics Partnersonfirmation"/>
  </r>
  <r>
    <x v="32"/>
    <x v="4"/>
    <n v="130"/>
    <n v="49"/>
    <x v="0"/>
    <x v="0"/>
    <n v="163.83000000000001"/>
    <s v="Warehouse A"/>
    <x v="189"/>
    <d v="2023-10-22T00:00:00"/>
    <s v="High demand"/>
  </r>
  <r>
    <x v="2"/>
    <x v="1"/>
    <n v="11"/>
    <n v="72"/>
    <x v="1"/>
    <x v="2"/>
    <n v="328.15"/>
    <s v="Warehouse C"/>
    <x v="120"/>
    <d v="2023-08-27T00:00:00"/>
    <s v="Pending Coastal Logistics Partnersonfirmation"/>
  </r>
  <r>
    <x v="1"/>
    <x v="0"/>
    <n v="186"/>
    <n v="56"/>
    <x v="0"/>
    <x v="2"/>
    <n v="493.29"/>
    <s v="Warehouse A"/>
    <x v="119"/>
    <d v="2023-04-30T00:00:00"/>
    <m/>
  </r>
  <r>
    <x v="44"/>
    <x v="3"/>
    <n v="163"/>
    <n v="32"/>
    <x v="0"/>
    <x v="0"/>
    <n v="24.96"/>
    <s v="Warehouse A"/>
    <x v="187"/>
    <d v="2023-10-08T00:00:00"/>
    <m/>
  </r>
  <r>
    <x v="22"/>
    <x v="3"/>
    <n v="193"/>
    <n v="41"/>
    <x v="0"/>
    <x v="0"/>
    <n v="325.02"/>
    <s v="Warehouse C"/>
    <x v="190"/>
    <d v="2023-09-28T00:00:00"/>
    <m/>
  </r>
  <r>
    <x v="47"/>
    <x v="1"/>
    <n v="168"/>
    <n v="55"/>
    <x v="0"/>
    <x v="0"/>
    <n v="256.18"/>
    <s v="Warehouse A"/>
    <x v="191"/>
    <d v="2023-07-21T00:00:00"/>
    <s v="High demand"/>
  </r>
  <r>
    <x v="31"/>
    <x v="0"/>
    <n v="44"/>
    <n v="28"/>
    <x v="0"/>
    <x v="0"/>
    <n v="202.39"/>
    <s v="Warehouse C"/>
    <x v="37"/>
    <d v="2024-01-14T00:00:00"/>
    <s v="Discontinued"/>
  </r>
  <r>
    <x v="16"/>
    <x v="0"/>
    <n v="70"/>
    <n v="59"/>
    <x v="0"/>
    <x v="2"/>
    <n v="75.89"/>
    <s v="Warehouse A"/>
    <x v="192"/>
    <d v="2023-10-22T00:00:00"/>
    <s v="Pending Coastal Logistics Partnersonfirmation"/>
  </r>
  <r>
    <x v="46"/>
    <x v="0"/>
    <n v="197"/>
    <n v="84"/>
    <x v="0"/>
    <x v="0"/>
    <n v="41.2"/>
    <s v="Warehouse A"/>
    <x v="62"/>
    <d v="2023-10-12T00:00:00"/>
    <s v="Pending Coastal Logistics Partnersonfirmation"/>
  </r>
  <r>
    <x v="47"/>
    <x v="0"/>
    <n v="15"/>
    <n v="32"/>
    <x v="1"/>
    <x v="1"/>
    <n v="308.14999999999998"/>
    <s v="Warehouse C"/>
    <x v="193"/>
    <d v="2023-04-04T00:00:00"/>
    <s v="Discontinued"/>
  </r>
  <r>
    <x v="41"/>
    <x v="0"/>
    <n v="64"/>
    <n v="91"/>
    <x v="1"/>
    <x v="0"/>
    <n v="379.16"/>
    <s v="Warehouse C"/>
    <x v="194"/>
    <d v="2023-03-09T00:00:00"/>
    <s v="High demand"/>
  </r>
  <r>
    <x v="32"/>
    <x v="3"/>
    <n v="174"/>
    <n v="79"/>
    <x v="0"/>
    <x v="1"/>
    <n v="197.25"/>
    <s v="Warehouse C"/>
    <x v="180"/>
    <d v="2023-10-27T00:00:00"/>
    <s v="Pending Coastal Logistics Partnersonfirmation"/>
  </r>
  <r>
    <x v="33"/>
    <x v="2"/>
    <n v="23"/>
    <n v="58"/>
    <x v="1"/>
    <x v="0"/>
    <n v="483"/>
    <s v="Warehouse C"/>
    <x v="195"/>
    <d v="2023-06-10T00:00:00"/>
    <s v="Pending Coastal Logistics Partnersonfirmation"/>
  </r>
  <r>
    <x v="22"/>
    <x v="1"/>
    <n v="23"/>
    <n v="67"/>
    <x v="1"/>
    <x v="1"/>
    <n v="398.06"/>
    <s v="Warehouse A"/>
    <x v="196"/>
    <d v="2023-06-28T00:00:00"/>
    <s v="Pending Coastal Logistics Partnersonfirmation"/>
  </r>
  <r>
    <x v="43"/>
    <x v="1"/>
    <n v="165"/>
    <n v="66"/>
    <x v="0"/>
    <x v="1"/>
    <n v="279.39"/>
    <s v="Warehouse C"/>
    <x v="34"/>
    <d v="2024-02-12T00:00:00"/>
    <s v="Pending Coastal Logistics Partnersonfirmation"/>
  </r>
  <r>
    <x v="1"/>
    <x v="2"/>
    <n v="97"/>
    <n v="41"/>
    <x v="0"/>
    <x v="0"/>
    <n v="281.75"/>
    <s v="Warehouse C"/>
    <x v="16"/>
    <d v="2023-07-10T00:00:00"/>
    <s v="Pending Coastal Logistics Partnersonfirmation"/>
  </r>
  <r>
    <x v="45"/>
    <x v="1"/>
    <n v="192"/>
    <n v="53"/>
    <x v="0"/>
    <x v="2"/>
    <n v="343.1"/>
    <s v="Warehouse A"/>
    <x v="42"/>
    <d v="2023-06-09T00:00:00"/>
    <s v="High demand"/>
  </r>
  <r>
    <x v="24"/>
    <x v="0"/>
    <n v="132"/>
    <n v="44"/>
    <x v="0"/>
    <x v="0"/>
    <n v="246.66"/>
    <s v="Warehouse C"/>
    <x v="44"/>
    <d v="2023-09-19T00:00:00"/>
    <s v="Pending Coastal Logistics Partnersonfirmation"/>
  </r>
  <r>
    <x v="10"/>
    <x v="1"/>
    <n v="122"/>
    <n v="77"/>
    <x v="0"/>
    <x v="2"/>
    <n v="137.63999999999999"/>
    <s v="Warehouse A"/>
    <x v="84"/>
    <d v="2024-01-03T00:00:00"/>
    <m/>
  </r>
  <r>
    <x v="0"/>
    <x v="3"/>
    <n v="141"/>
    <n v="59"/>
    <x v="0"/>
    <x v="0"/>
    <n v="362.84"/>
    <s v="Warehouse B"/>
    <x v="197"/>
    <d v="2023-05-26T00:00:00"/>
    <m/>
  </r>
  <r>
    <x v="33"/>
    <x v="4"/>
    <n v="192"/>
    <n v="93"/>
    <x v="0"/>
    <x v="0"/>
    <n v="312.18"/>
    <s v="Warehouse A"/>
    <x v="198"/>
    <d v="2023-12-10T00:00:00"/>
    <s v="High demand"/>
  </r>
  <r>
    <x v="21"/>
    <x v="4"/>
    <n v="44"/>
    <n v="30"/>
    <x v="0"/>
    <x v="0"/>
    <n v="49.13"/>
    <s v="Warehouse A"/>
    <x v="199"/>
    <d v="2023-09-23T00:00:00"/>
    <s v="High demand"/>
  </r>
  <r>
    <x v="10"/>
    <x v="2"/>
    <n v="106"/>
    <n v="71"/>
    <x v="0"/>
    <x v="1"/>
    <n v="178.39"/>
    <s v="Warehouse C"/>
    <x v="30"/>
    <d v="2023-07-27T00:00:00"/>
    <s v="Pending Coastal Logistics Partnersonfirmation"/>
  </r>
  <r>
    <x v="39"/>
    <x v="2"/>
    <n v="9"/>
    <n v="27"/>
    <x v="1"/>
    <x v="2"/>
    <n v="258.52"/>
    <s v="Warehouse C"/>
    <x v="200"/>
    <d v="2024-02-25T00:00:00"/>
    <s v="High demand"/>
  </r>
  <r>
    <x v="35"/>
    <x v="2"/>
    <n v="119"/>
    <n v="88"/>
    <x v="0"/>
    <x v="2"/>
    <n v="57.71"/>
    <s v="Warehouse A"/>
    <x v="58"/>
    <d v="2023-12-31T00:00:00"/>
    <s v="Pending Coastal Logistics Partnersonfirmation"/>
  </r>
  <r>
    <x v="3"/>
    <x v="0"/>
    <n v="13"/>
    <n v="62"/>
    <x v="1"/>
    <x v="2"/>
    <n v="342.7"/>
    <s v="Warehouse B"/>
    <x v="201"/>
    <d v="2023-05-04T00:00:00"/>
    <s v="Pending Coastal Logistics Partnersonfirmation"/>
  </r>
  <r>
    <x v="37"/>
    <x v="0"/>
    <n v="129"/>
    <n v="87"/>
    <x v="0"/>
    <x v="1"/>
    <n v="206.33"/>
    <s v="Warehouse C"/>
    <x v="202"/>
    <d v="2023-05-07T00:00:00"/>
    <s v="Pending Coastal Logistics Partnersonfirmation"/>
  </r>
  <r>
    <x v="1"/>
    <x v="4"/>
    <n v="44"/>
    <n v="78"/>
    <x v="1"/>
    <x v="2"/>
    <n v="43"/>
    <s v="Warehouse C"/>
    <x v="203"/>
    <d v="2023-07-17T00:00:00"/>
    <s v="Discontinued"/>
  </r>
  <r>
    <x v="30"/>
    <x v="0"/>
    <n v="86"/>
    <n v="57"/>
    <x v="0"/>
    <x v="0"/>
    <n v="472.05"/>
    <s v="Warehouse A"/>
    <x v="121"/>
    <d v="2023-10-14T00:00:00"/>
    <s v="Discontinued"/>
  </r>
  <r>
    <x v="24"/>
    <x v="3"/>
    <n v="69"/>
    <n v="95"/>
    <x v="1"/>
    <x v="2"/>
    <n v="144.25"/>
    <s v="Warehouse C"/>
    <x v="204"/>
    <d v="2023-05-10T00:00:00"/>
    <s v="Pending Coastal Logistics Partnersonfirmation"/>
  </r>
  <r>
    <x v="11"/>
    <x v="3"/>
    <n v="174"/>
    <n v="60"/>
    <x v="0"/>
    <x v="1"/>
    <n v="157.22"/>
    <s v="Warehouse B"/>
    <x v="175"/>
    <d v="2024-01-27T00:00:00"/>
    <m/>
  </r>
  <r>
    <x v="41"/>
    <x v="3"/>
    <n v="198"/>
    <n v="52"/>
    <x v="0"/>
    <x v="0"/>
    <n v="426.87"/>
    <s v="Warehouse A"/>
    <x v="179"/>
    <d v="2023-02-03T00:00:00"/>
    <s v="High demand"/>
  </r>
  <r>
    <x v="21"/>
    <x v="3"/>
    <n v="68"/>
    <n v="61"/>
    <x v="0"/>
    <x v="1"/>
    <n v="184.12"/>
    <s v="Warehouse A"/>
    <x v="205"/>
    <d v="2024-02-08T00:00:00"/>
    <s v="Discontinued"/>
  </r>
  <r>
    <x v="15"/>
    <x v="1"/>
    <n v="92"/>
    <n v="99"/>
    <x v="1"/>
    <x v="0"/>
    <n v="52.35"/>
    <s v="Warehouse B"/>
    <x v="206"/>
    <d v="2023-04-13T00:00:00"/>
    <s v="Discontinued"/>
  </r>
  <r>
    <x v="16"/>
    <x v="3"/>
    <n v="25"/>
    <n v="67"/>
    <x v="1"/>
    <x v="1"/>
    <n v="199.75"/>
    <s v="Warehouse B"/>
    <x v="132"/>
    <d v="2023-12-09T00:00:00"/>
    <s v="Discontinued"/>
  </r>
  <r>
    <x v="26"/>
    <x v="3"/>
    <n v="31"/>
    <n v="31"/>
    <x v="0"/>
    <x v="0"/>
    <n v="14.57"/>
    <s v="Warehouse A"/>
    <x v="207"/>
    <d v="2024-01-06T00:00:00"/>
    <s v="Pending Coastal Logistics Partnersonfirmation"/>
  </r>
  <r>
    <x v="25"/>
    <x v="4"/>
    <n v="164"/>
    <n v="35"/>
    <x v="0"/>
    <x v="2"/>
    <n v="138.82"/>
    <s v="Warehouse B"/>
    <x v="22"/>
    <d v="2024-02-08T00:00:00"/>
    <m/>
  </r>
  <r>
    <x v="7"/>
    <x v="1"/>
    <n v="104"/>
    <n v="63"/>
    <x v="0"/>
    <x v="1"/>
    <n v="16.100000000000001"/>
    <s v="Warehouse C"/>
    <x v="208"/>
    <d v="2023-12-22T00:00:00"/>
    <m/>
  </r>
  <r>
    <x v="13"/>
    <x v="2"/>
    <n v="131"/>
    <n v="31"/>
    <x v="0"/>
    <x v="0"/>
    <n v="245.48"/>
    <s v="Warehouse C"/>
    <x v="209"/>
    <d v="2023-07-27T00:00:00"/>
    <s v="Discontinued"/>
  </r>
  <r>
    <x v="34"/>
    <x v="3"/>
    <n v="34"/>
    <n v="30"/>
    <x v="0"/>
    <x v="2"/>
    <n v="103.34"/>
    <s v="Warehouse C"/>
    <x v="66"/>
    <d v="2023-08-15T00:00:00"/>
    <s v="Discontinued"/>
  </r>
  <r>
    <x v="33"/>
    <x v="2"/>
    <n v="12"/>
    <n v="88"/>
    <x v="1"/>
    <x v="1"/>
    <n v="342.56"/>
    <s v="Warehouse A"/>
    <x v="210"/>
    <d v="2023-10-08T00:00:00"/>
    <m/>
  </r>
  <r>
    <x v="38"/>
    <x v="3"/>
    <n v="108"/>
    <n v="53"/>
    <x v="0"/>
    <x v="2"/>
    <n v="447.12"/>
    <s v="Warehouse A"/>
    <x v="187"/>
    <d v="2023-09-20T00:00:00"/>
    <s v="Discontinued"/>
  </r>
  <r>
    <x v="42"/>
    <x v="2"/>
    <n v="44"/>
    <n v="38"/>
    <x v="0"/>
    <x v="0"/>
    <n v="159.53"/>
    <s v="Warehouse C"/>
    <x v="211"/>
    <d v="2023-09-06T00:00:00"/>
    <m/>
  </r>
  <r>
    <x v="4"/>
    <x v="3"/>
    <n v="92"/>
    <n v="37"/>
    <x v="0"/>
    <x v="0"/>
    <n v="281"/>
    <s v="Warehouse A"/>
    <x v="41"/>
    <d v="2023-03-17T00:00:00"/>
    <s v="Pending Coastal Logistics Partnersonfirmation"/>
  </r>
  <r>
    <x v="7"/>
    <x v="2"/>
    <n v="39"/>
    <n v="30"/>
    <x v="0"/>
    <x v="1"/>
    <n v="95.66"/>
    <s v="Warehouse A"/>
    <x v="109"/>
    <d v="2023-05-04T00:00:00"/>
    <s v="Pending Coastal Logistics Partnersonfirmation"/>
  </r>
  <r>
    <x v="41"/>
    <x v="2"/>
    <n v="94"/>
    <n v="96"/>
    <x v="1"/>
    <x v="1"/>
    <n v="463.94"/>
    <s v="Warehouse C"/>
    <x v="62"/>
    <d v="2023-09-17T00:00:00"/>
    <m/>
  </r>
  <r>
    <x v="19"/>
    <x v="2"/>
    <n v="167"/>
    <n v="98"/>
    <x v="0"/>
    <x v="1"/>
    <n v="264.18"/>
    <s v="Warehouse C"/>
    <x v="108"/>
    <d v="2023-09-06T00:00:00"/>
    <m/>
  </r>
  <r>
    <x v="32"/>
    <x v="3"/>
    <n v="0"/>
    <n v="96"/>
    <x v="1"/>
    <x v="1"/>
    <n v="245.08"/>
    <s v="Warehouse C"/>
    <x v="212"/>
    <d v="2024-01-03T00:00:00"/>
    <m/>
  </r>
  <r>
    <x v="3"/>
    <x v="3"/>
    <n v="166"/>
    <n v="85"/>
    <x v="0"/>
    <x v="1"/>
    <n v="159.51"/>
    <s v="Warehouse A"/>
    <x v="213"/>
    <d v="2024-01-23T00:00:00"/>
    <s v="Pending Coastal Logistics Partnersonfirmation"/>
  </r>
  <r>
    <x v="21"/>
    <x v="1"/>
    <n v="44"/>
    <n v="30"/>
    <x v="0"/>
    <x v="0"/>
    <n v="320.37"/>
    <s v="Warehouse C"/>
    <x v="214"/>
    <d v="2023-02-23T00:00:00"/>
    <m/>
  </r>
  <r>
    <x v="25"/>
    <x v="4"/>
    <n v="84"/>
    <n v="72"/>
    <x v="0"/>
    <x v="2"/>
    <n v="232.21"/>
    <s v="Warehouse B"/>
    <x v="215"/>
    <d v="2023-05-29T00:00:00"/>
    <s v="Pending Coastal Logistics Partnersonfirmation"/>
  </r>
  <r>
    <x v="19"/>
    <x v="3"/>
    <n v="43"/>
    <n v="75"/>
    <x v="1"/>
    <x v="0"/>
    <n v="286.41000000000003"/>
    <s v="Warehouse B"/>
    <x v="216"/>
    <d v="2023-09-03T00:00:00"/>
    <m/>
  </r>
  <r>
    <x v="3"/>
    <x v="2"/>
    <n v="99"/>
    <n v="99"/>
    <x v="0"/>
    <x v="1"/>
    <n v="444.17"/>
    <s v="Warehouse C"/>
    <x v="69"/>
    <d v="2023-03-21T00:00:00"/>
    <s v="Pending Coastal Logistics Partnersonfirmation"/>
  </r>
  <r>
    <x v="43"/>
    <x v="1"/>
    <n v="107"/>
    <n v="79"/>
    <x v="0"/>
    <x v="0"/>
    <n v="142.12"/>
    <s v="Warehouse A"/>
    <x v="22"/>
    <d v="2023-12-29T00:00:00"/>
    <m/>
  </r>
  <r>
    <x v="22"/>
    <x v="3"/>
    <n v="104"/>
    <n v="81"/>
    <x v="0"/>
    <x v="2"/>
    <n v="115.6"/>
    <s v="Warehouse B"/>
    <x v="177"/>
    <d v="2023-05-06T00:00:00"/>
    <s v="High demand"/>
  </r>
  <r>
    <x v="38"/>
    <x v="2"/>
    <n v="64"/>
    <n v="88"/>
    <x v="1"/>
    <x v="1"/>
    <n v="196.02"/>
    <s v="Warehouse C"/>
    <x v="217"/>
    <d v="2023-03-13T00:00:00"/>
    <s v="High demand"/>
  </r>
  <r>
    <x v="23"/>
    <x v="2"/>
    <n v="170"/>
    <n v="69"/>
    <x v="0"/>
    <x v="0"/>
    <n v="63.14"/>
    <s v="Warehouse B"/>
    <x v="218"/>
    <d v="2024-01-30T00:00:00"/>
    <s v="Discontinued"/>
  </r>
  <r>
    <x v="17"/>
    <x v="3"/>
    <n v="44"/>
    <n v="53"/>
    <x v="1"/>
    <x v="1"/>
    <n v="29.73"/>
    <s v="Warehouse B"/>
    <x v="104"/>
    <d v="2023-08-04T00:00:00"/>
    <s v="Discontinued"/>
  </r>
  <r>
    <x v="19"/>
    <x v="2"/>
    <n v="99"/>
    <n v="33"/>
    <x v="0"/>
    <x v="0"/>
    <n v="108.49"/>
    <s v="Warehouse B"/>
    <x v="197"/>
    <d v="2023-06-16T00:00:00"/>
    <s v="High demand"/>
  </r>
  <r>
    <x v="19"/>
    <x v="3"/>
    <n v="166"/>
    <n v="80"/>
    <x v="0"/>
    <x v="1"/>
    <n v="392.98"/>
    <s v="Warehouse C"/>
    <x v="219"/>
    <d v="2024-01-03T00:00:00"/>
    <s v="High demand"/>
  </r>
  <r>
    <x v="29"/>
    <x v="1"/>
    <n v="118"/>
    <n v="95"/>
    <x v="0"/>
    <x v="1"/>
    <n v="43.17"/>
    <s v="Warehouse B"/>
    <x v="220"/>
    <d v="2023-12-22T00:00:00"/>
    <m/>
  </r>
  <r>
    <x v="4"/>
    <x v="0"/>
    <n v="84"/>
    <n v="60"/>
    <x v="0"/>
    <x v="2"/>
    <n v="369.33"/>
    <s v="Warehouse B"/>
    <x v="184"/>
    <d v="2023-07-25T00:00:00"/>
    <s v="Discontinued"/>
  </r>
  <r>
    <x v="48"/>
    <x v="3"/>
    <n v="184"/>
    <n v="72"/>
    <x v="0"/>
    <x v="1"/>
    <n v="170.94"/>
    <s v="Warehouse A"/>
    <x v="99"/>
    <d v="2023-12-07T00:00:00"/>
    <s v="Pending Coastal Logistics Partnersonfirmation"/>
  </r>
  <r>
    <x v="24"/>
    <x v="2"/>
    <n v="45"/>
    <n v="34"/>
    <x v="0"/>
    <x v="1"/>
    <n v="254.57"/>
    <s v="Warehouse A"/>
    <x v="73"/>
    <d v="2023-06-03T00:00:00"/>
    <s v="Pending Coastal Logistics Partnersonfirmation"/>
  </r>
  <r>
    <x v="34"/>
    <x v="4"/>
    <n v="190"/>
    <n v="77"/>
    <x v="0"/>
    <x v="1"/>
    <n v="137.54"/>
    <s v="Warehouse B"/>
    <x v="0"/>
    <d v="2023-05-29T00:00:00"/>
    <s v="Discontinued"/>
  </r>
  <r>
    <x v="21"/>
    <x v="1"/>
    <n v="0"/>
    <n v="47"/>
    <x v="1"/>
    <x v="2"/>
    <n v="10.33"/>
    <s v="Warehouse B"/>
    <x v="206"/>
    <d v="2023-02-03T00:00:00"/>
    <s v="Discontinued"/>
  </r>
  <r>
    <x v="27"/>
    <x v="1"/>
    <n v="124"/>
    <n v="65"/>
    <x v="0"/>
    <x v="1"/>
    <n v="62.11"/>
    <s v="Warehouse B"/>
    <x v="221"/>
    <d v="2023-09-19T00:00:00"/>
    <s v="Discontinued"/>
  </r>
  <r>
    <x v="9"/>
    <x v="0"/>
    <n v="84"/>
    <n v="91"/>
    <x v="1"/>
    <x v="0"/>
    <n v="217.17"/>
    <s v="Warehouse C"/>
    <x v="197"/>
    <d v="2023-06-19T00:00:00"/>
    <s v="Pending Coastal Logistics Partnersonfirmation"/>
  </r>
  <r>
    <x v="32"/>
    <x v="1"/>
    <n v="28"/>
    <n v="41"/>
    <x v="1"/>
    <x v="0"/>
    <n v="54.23"/>
    <s v="Warehouse C"/>
    <x v="30"/>
    <d v="2023-09-22T00:00:00"/>
    <s v="Pending Coastal Logistics Partnersonfirmation"/>
  </r>
  <r>
    <x v="22"/>
    <x v="4"/>
    <n v="119"/>
    <n v="55"/>
    <x v="0"/>
    <x v="0"/>
    <n v="415.65"/>
    <s v="Warehouse A"/>
    <x v="102"/>
    <d v="2023-05-06T00:00:00"/>
    <s v="Pending Coastal Logistics Partnersonfirmation"/>
  </r>
  <r>
    <x v="13"/>
    <x v="2"/>
    <n v="188"/>
    <n v="26"/>
    <x v="0"/>
    <x v="1"/>
    <n v="81.88"/>
    <s v="Warehouse A"/>
    <x v="222"/>
    <d v="2024-01-02T00:00:00"/>
    <s v="High demand"/>
  </r>
  <r>
    <x v="29"/>
    <x v="4"/>
    <n v="122"/>
    <n v="90"/>
    <x v="0"/>
    <x v="2"/>
    <n v="359.73"/>
    <s v="Warehouse B"/>
    <x v="159"/>
    <d v="2023-03-08T00:00:00"/>
    <s v="Pending Coastal Logistics Partnersonfirmation"/>
  </r>
  <r>
    <x v="40"/>
    <x v="3"/>
    <n v="61"/>
    <n v="96"/>
    <x v="1"/>
    <x v="1"/>
    <n v="77.59"/>
    <s v="Warehouse A"/>
    <x v="223"/>
    <d v="2024-03-26T00:00:00"/>
    <s v="Discontinued"/>
  </r>
  <r>
    <x v="41"/>
    <x v="0"/>
    <n v="6"/>
    <n v="52"/>
    <x v="1"/>
    <x v="1"/>
    <n v="341.93"/>
    <s v="Warehouse B"/>
    <x v="224"/>
    <d v="2023-06-26T00:00:00"/>
    <s v="High demand"/>
  </r>
  <r>
    <x v="35"/>
    <x v="1"/>
    <n v="108"/>
    <n v="21"/>
    <x v="0"/>
    <x v="0"/>
    <n v="113.7"/>
    <s v="Warehouse B"/>
    <x v="78"/>
    <d v="2024-01-30T00:00:00"/>
    <s v="High demand"/>
  </r>
  <r>
    <x v="20"/>
    <x v="0"/>
    <n v="149"/>
    <n v="45"/>
    <x v="0"/>
    <x v="2"/>
    <n v="69.34"/>
    <s v="Warehouse B"/>
    <x v="10"/>
    <d v="2023-10-14T00:00:00"/>
    <m/>
  </r>
  <r>
    <x v="9"/>
    <x v="0"/>
    <n v="167"/>
    <n v="94"/>
    <x v="0"/>
    <x v="2"/>
    <n v="137.25"/>
    <s v="Warehouse B"/>
    <x v="225"/>
    <d v="2023-05-28T00:00:00"/>
    <s v="Pending Coastal Logistics Partnersonfirmation"/>
  </r>
  <r>
    <x v="14"/>
    <x v="3"/>
    <n v="128"/>
    <n v="89"/>
    <x v="0"/>
    <x v="0"/>
    <n v="200.73"/>
    <s v="Warehouse A"/>
    <x v="72"/>
    <d v="2023-05-14T00:00:00"/>
    <m/>
  </r>
  <r>
    <x v="28"/>
    <x v="0"/>
    <n v="51"/>
    <n v="82"/>
    <x v="1"/>
    <x v="2"/>
    <n v="411.01"/>
    <s v="Warehouse A"/>
    <x v="174"/>
    <d v="2024-01-28T00:00:00"/>
    <s v="Pending Coastal Logistics Partnersonfirmation"/>
  </r>
  <r>
    <x v="37"/>
    <x v="2"/>
    <n v="48"/>
    <n v="60"/>
    <x v="1"/>
    <x v="1"/>
    <n v="157.24"/>
    <s v="Warehouse A"/>
    <x v="10"/>
    <d v="2023-10-10T00:00:00"/>
    <s v="Discontinued"/>
  </r>
  <r>
    <x v="12"/>
    <x v="0"/>
    <n v="97"/>
    <n v="93"/>
    <x v="0"/>
    <x v="2"/>
    <n v="400.56"/>
    <s v="Warehouse B"/>
    <x v="226"/>
    <d v="2023-09-15T00:00:00"/>
    <m/>
  </r>
  <r>
    <x v="24"/>
    <x v="1"/>
    <n v="25"/>
    <n v="83"/>
    <x v="1"/>
    <x v="0"/>
    <n v="257"/>
    <s v="Warehouse B"/>
    <x v="211"/>
    <d v="2023-09-22T00:00:00"/>
    <m/>
  </r>
  <r>
    <x v="24"/>
    <x v="0"/>
    <n v="152"/>
    <n v="43"/>
    <x v="0"/>
    <x v="1"/>
    <n v="319.27"/>
    <s v="Warehouse C"/>
    <x v="222"/>
    <d v="2024-02-20T00:00:00"/>
    <s v="High demand"/>
  </r>
  <r>
    <x v="31"/>
    <x v="1"/>
    <n v="3"/>
    <n v="22"/>
    <x v="1"/>
    <x v="0"/>
    <n v="156.16999999999999"/>
    <s v="Warehouse C"/>
    <x v="227"/>
    <d v="2023-08-07T00:00:00"/>
    <s v="High demand"/>
  </r>
  <r>
    <x v="47"/>
    <x v="4"/>
    <n v="74"/>
    <n v="74"/>
    <x v="0"/>
    <x v="2"/>
    <n v="216.01"/>
    <s v="Warehouse A"/>
    <x v="228"/>
    <d v="2023-08-12T00:00:00"/>
    <s v="Pending Coastal Logistics Partnersonfirmation"/>
  </r>
  <r>
    <x v="37"/>
    <x v="4"/>
    <n v="11"/>
    <n v="37"/>
    <x v="1"/>
    <x v="2"/>
    <n v="184.56"/>
    <s v="Warehouse B"/>
    <x v="32"/>
    <d v="2024-01-04T00:00:00"/>
    <m/>
  </r>
  <r>
    <x v="29"/>
    <x v="3"/>
    <n v="112"/>
    <n v="78"/>
    <x v="0"/>
    <x v="2"/>
    <n v="379.53"/>
    <s v="Warehouse B"/>
    <x v="229"/>
    <d v="2023-05-12T00:00:00"/>
    <s v="Discontinued"/>
  </r>
  <r>
    <x v="47"/>
    <x v="2"/>
    <n v="107"/>
    <n v="77"/>
    <x v="0"/>
    <x v="2"/>
    <n v="282.08"/>
    <s v="Warehouse A"/>
    <x v="58"/>
    <d v="2023-12-23T00:00:00"/>
    <s v="High demand"/>
  </r>
  <r>
    <x v="18"/>
    <x v="4"/>
    <n v="11"/>
    <n v="86"/>
    <x v="1"/>
    <x v="1"/>
    <n v="339.04"/>
    <s v="Warehouse A"/>
    <x v="230"/>
    <d v="2023-08-13T00:00:00"/>
    <s v="Discontinued"/>
  </r>
  <r>
    <x v="34"/>
    <x v="2"/>
    <n v="171"/>
    <n v="62"/>
    <x v="0"/>
    <x v="0"/>
    <n v="111.96"/>
    <s v="Warehouse B"/>
    <x v="231"/>
    <d v="2023-07-20T00:00:00"/>
    <s v="High demand"/>
  </r>
  <r>
    <x v="7"/>
    <x v="1"/>
    <n v="99"/>
    <n v="55"/>
    <x v="0"/>
    <x v="1"/>
    <n v="299.16000000000003"/>
    <s v="Warehouse C"/>
    <x v="136"/>
    <d v="2023-05-07T00:00:00"/>
    <s v="High demand"/>
  </r>
  <r>
    <x v="26"/>
    <x v="2"/>
    <n v="122"/>
    <n v="44"/>
    <x v="0"/>
    <x v="2"/>
    <n v="181"/>
    <s v="Warehouse C"/>
    <x v="232"/>
    <d v="2023-09-06T00:00:00"/>
    <s v="High demand"/>
  </r>
  <r>
    <x v="31"/>
    <x v="1"/>
    <n v="9"/>
    <n v="53"/>
    <x v="1"/>
    <x v="0"/>
    <n v="37.619999999999997"/>
    <s v="Warehouse A"/>
    <x v="115"/>
    <d v="2023-11-20T00:00:00"/>
    <m/>
  </r>
  <r>
    <x v="39"/>
    <x v="0"/>
    <n v="23"/>
    <n v="67"/>
    <x v="1"/>
    <x v="0"/>
    <n v="425.32"/>
    <s v="Warehouse C"/>
    <x v="55"/>
    <d v="2023-04-22T00:00:00"/>
    <s v="Discontinued"/>
  </r>
  <r>
    <x v="40"/>
    <x v="1"/>
    <n v="182"/>
    <n v="96"/>
    <x v="0"/>
    <x v="0"/>
    <n v="21.33"/>
    <s v="Warehouse B"/>
    <x v="191"/>
    <d v="2023-06-27T00:00:00"/>
    <s v="High demand"/>
  </r>
  <r>
    <x v="23"/>
    <x v="1"/>
    <n v="141"/>
    <n v="51"/>
    <x v="0"/>
    <x v="0"/>
    <n v="58.95"/>
    <s v="Warehouse A"/>
    <x v="233"/>
    <d v="2024-01-07T00:00:00"/>
    <s v="Discontinued"/>
  </r>
  <r>
    <x v="30"/>
    <x v="2"/>
    <n v="51"/>
    <n v="53"/>
    <x v="1"/>
    <x v="0"/>
    <n v="58.02"/>
    <s v="Warehouse C"/>
    <x v="142"/>
    <d v="2023-06-13T00:00:00"/>
    <s v="Pending Coastal Logistics Partnersonfirmation"/>
  </r>
  <r>
    <x v="41"/>
    <x v="1"/>
    <n v="36"/>
    <n v="96"/>
    <x v="1"/>
    <x v="0"/>
    <n v="40.29"/>
    <s v="Warehouse C"/>
    <x v="232"/>
    <d v="2023-08-30T00:00:00"/>
    <s v="Discontinued"/>
  </r>
  <r>
    <x v="2"/>
    <x v="1"/>
    <n v="26"/>
    <n v="54"/>
    <x v="1"/>
    <x v="0"/>
    <n v="499.55"/>
    <s v="Warehouse B"/>
    <x v="174"/>
    <d v="2024-02-11T00:00:00"/>
    <s v="Pending Coastal Logistics Partnersonfirmation"/>
  </r>
  <r>
    <x v="25"/>
    <x v="2"/>
    <n v="43"/>
    <n v="37"/>
    <x v="0"/>
    <x v="1"/>
    <n v="246.88"/>
    <s v="Warehouse B"/>
    <x v="234"/>
    <d v="2024-02-11T00:00:00"/>
    <s v="High demand"/>
  </r>
  <r>
    <x v="30"/>
    <x v="4"/>
    <n v="104"/>
    <n v="87"/>
    <x v="0"/>
    <x v="0"/>
    <n v="101.29"/>
    <s v="Warehouse A"/>
    <x v="235"/>
    <d v="2023-12-09T00:00:00"/>
    <m/>
  </r>
  <r>
    <x v="34"/>
    <x v="3"/>
    <n v="185"/>
    <n v="35"/>
    <x v="0"/>
    <x v="0"/>
    <n v="308.67"/>
    <s v="Warehouse C"/>
    <x v="236"/>
    <d v="2023-09-01T00:00:00"/>
    <s v="Discontinued"/>
  </r>
  <r>
    <x v="14"/>
    <x v="2"/>
    <n v="134"/>
    <n v="49"/>
    <x v="0"/>
    <x v="2"/>
    <n v="374.43"/>
    <s v="Warehouse A"/>
    <x v="237"/>
    <d v="2023-06-26T00:00:00"/>
    <s v="High demand"/>
  </r>
  <r>
    <x v="36"/>
    <x v="4"/>
    <n v="14"/>
    <n v="53"/>
    <x v="1"/>
    <x v="0"/>
    <n v="316.66000000000003"/>
    <s v="Warehouse C"/>
    <x v="200"/>
    <d v="2024-02-02T00:00:00"/>
    <s v="High demand"/>
  </r>
  <r>
    <x v="48"/>
    <x v="2"/>
    <n v="115"/>
    <n v="71"/>
    <x v="0"/>
    <x v="2"/>
    <n v="98.52"/>
    <s v="Warehouse A"/>
    <x v="100"/>
    <d v="2023-03-31T00:00:00"/>
    <s v="Pending Coastal Logistics Partnersonfirmation"/>
  </r>
  <r>
    <x v="21"/>
    <x v="0"/>
    <n v="54"/>
    <n v="62"/>
    <x v="1"/>
    <x v="1"/>
    <n v="131.75"/>
    <s v="Warehouse B"/>
    <x v="238"/>
    <d v="2023-06-06T00:00:00"/>
    <s v="Pending Coastal Logistics Partnersonfirmation"/>
  </r>
  <r>
    <x v="4"/>
    <x v="2"/>
    <n v="184"/>
    <n v="22"/>
    <x v="0"/>
    <x v="1"/>
    <n v="192.92"/>
    <s v="Warehouse A"/>
    <x v="88"/>
    <d v="2023-04-24T00:00:00"/>
    <s v="Pending Coastal Logistics Partnersonfirmation"/>
  </r>
  <r>
    <x v="28"/>
    <x v="0"/>
    <n v="142"/>
    <n v="97"/>
    <x v="0"/>
    <x v="1"/>
    <n v="235.61"/>
    <s v="Warehouse C"/>
    <x v="239"/>
    <d v="2023-04-01T00:00:00"/>
    <m/>
  </r>
  <r>
    <x v="12"/>
    <x v="2"/>
    <n v="106"/>
    <n v="99"/>
    <x v="0"/>
    <x v="0"/>
    <n v="41.98"/>
    <s v="Warehouse B"/>
    <x v="17"/>
    <d v="2023-08-29T00:00:00"/>
    <s v="Discontinued"/>
  </r>
  <r>
    <x v="3"/>
    <x v="2"/>
    <n v="42"/>
    <n v="30"/>
    <x v="0"/>
    <x v="1"/>
    <n v="235.69"/>
    <s v="Warehouse C"/>
    <x v="167"/>
    <d v="2023-04-13T00:00:00"/>
    <s v="Discontinued"/>
  </r>
  <r>
    <x v="45"/>
    <x v="2"/>
    <n v="66"/>
    <n v="39"/>
    <x v="0"/>
    <x v="0"/>
    <n v="307.88"/>
    <s v="Warehouse A"/>
    <x v="240"/>
    <d v="2023-04-17T00:00:00"/>
    <m/>
  </r>
  <r>
    <x v="49"/>
    <x v="0"/>
    <n v="39"/>
    <n v="62"/>
    <x v="1"/>
    <x v="2"/>
    <n v="416.19"/>
    <s v="Warehouse B"/>
    <x v="47"/>
    <d v="2023-12-31T00:00:00"/>
    <s v="Discontinued"/>
  </r>
  <r>
    <x v="44"/>
    <x v="3"/>
    <n v="62"/>
    <n v="53"/>
    <x v="0"/>
    <x v="2"/>
    <n v="484.5"/>
    <s v="Warehouse C"/>
    <x v="216"/>
    <d v="2023-09-01T00:00:00"/>
    <m/>
  </r>
  <r>
    <x v="42"/>
    <x v="0"/>
    <n v="6"/>
    <n v="53"/>
    <x v="1"/>
    <x v="0"/>
    <n v="455.83"/>
    <s v="Warehouse B"/>
    <x v="20"/>
    <d v="2023-03-14T00:00:00"/>
    <s v="Discontinued"/>
  </r>
  <r>
    <x v="49"/>
    <x v="1"/>
    <n v="121"/>
    <n v="35"/>
    <x v="0"/>
    <x v="2"/>
    <n v="309.20999999999998"/>
    <s v="Warehouse A"/>
    <x v="241"/>
    <d v="2023-09-23T00:00:00"/>
    <s v="Pending Coastal Logistics Partnersonfirmation"/>
  </r>
  <r>
    <x v="47"/>
    <x v="0"/>
    <n v="119"/>
    <n v="53"/>
    <x v="0"/>
    <x v="1"/>
    <n v="499.39"/>
    <s v="Warehouse A"/>
    <x v="56"/>
    <d v="2023-03-06T00:00:00"/>
    <m/>
  </r>
  <r>
    <x v="5"/>
    <x v="2"/>
    <n v="82"/>
    <n v="40"/>
    <x v="0"/>
    <x v="2"/>
    <n v="70.78"/>
    <s v="Warehouse B"/>
    <x v="242"/>
    <d v="2023-06-02T00:00:00"/>
    <m/>
  </r>
  <r>
    <x v="2"/>
    <x v="2"/>
    <n v="181"/>
    <n v="68"/>
    <x v="0"/>
    <x v="0"/>
    <n v="110.27"/>
    <s v="Warehouse C"/>
    <x v="93"/>
    <d v="2023-04-18T00:00:00"/>
    <m/>
  </r>
  <r>
    <x v="8"/>
    <x v="3"/>
    <n v="69"/>
    <n v="43"/>
    <x v="0"/>
    <x v="2"/>
    <n v="21.03"/>
    <s v="Warehouse C"/>
    <x v="42"/>
    <d v="2023-06-06T00:00:00"/>
    <s v="High demand"/>
  </r>
  <r>
    <x v="30"/>
    <x v="3"/>
    <n v="85"/>
    <n v="97"/>
    <x v="1"/>
    <x v="0"/>
    <n v="496.91"/>
    <s v="Warehouse C"/>
    <x v="73"/>
    <d v="2023-07-02T00:00:00"/>
    <s v="Pending Coastal Logistics Partnersonfirmation"/>
  </r>
  <r>
    <x v="26"/>
    <x v="3"/>
    <n v="114"/>
    <n v="83"/>
    <x v="0"/>
    <x v="0"/>
    <n v="266.26"/>
    <s v="Warehouse C"/>
    <x v="243"/>
    <d v="2023-10-05T00:00:00"/>
    <s v="Discontinued"/>
  </r>
  <r>
    <x v="13"/>
    <x v="0"/>
    <n v="169"/>
    <n v="46"/>
    <x v="0"/>
    <x v="0"/>
    <n v="415.8"/>
    <s v="Warehouse B"/>
    <x v="230"/>
    <d v="2023-10-12T00:00:00"/>
    <m/>
  </r>
  <r>
    <x v="8"/>
    <x v="0"/>
    <n v="81"/>
    <n v="84"/>
    <x v="1"/>
    <x v="0"/>
    <n v="175.65"/>
    <s v="Warehouse B"/>
    <x v="42"/>
    <d v="2023-06-05T00:00:00"/>
    <s v="Discontinued"/>
  </r>
  <r>
    <x v="46"/>
    <x v="0"/>
    <n v="113"/>
    <n v="66"/>
    <x v="0"/>
    <x v="0"/>
    <n v="72.180000000000007"/>
    <s v="Warehouse C"/>
    <x v="116"/>
    <d v="2023-06-19T00:00:00"/>
    <m/>
  </r>
  <r>
    <x v="33"/>
    <x v="2"/>
    <n v="175"/>
    <n v="42"/>
    <x v="0"/>
    <x v="0"/>
    <n v="410.65"/>
    <s v="Warehouse B"/>
    <x v="106"/>
    <d v="2023-08-02T00:00:00"/>
    <m/>
  </r>
  <r>
    <x v="24"/>
    <x v="0"/>
    <n v="181"/>
    <n v="41"/>
    <x v="0"/>
    <x v="2"/>
    <n v="353.22"/>
    <s v="Warehouse A"/>
    <x v="244"/>
    <d v="2023-12-01T00:00:00"/>
    <s v="High demand"/>
  </r>
  <r>
    <x v="31"/>
    <x v="1"/>
    <n v="175"/>
    <n v="54"/>
    <x v="0"/>
    <x v="1"/>
    <n v="169.19"/>
    <s v="Warehouse A"/>
    <x v="245"/>
    <d v="2023-04-10T00:00:00"/>
    <s v="Pending Coastal Logistics Partnersonfirmation"/>
  </r>
  <r>
    <x v="0"/>
    <x v="3"/>
    <n v="113"/>
    <n v="25"/>
    <x v="0"/>
    <x v="1"/>
    <n v="158.72999999999999"/>
    <s v="Warehouse C"/>
    <x v="246"/>
    <d v="2023-11-16T00:00:00"/>
    <s v="High demand"/>
  </r>
  <r>
    <x v="30"/>
    <x v="2"/>
    <n v="106"/>
    <n v="49"/>
    <x v="0"/>
    <x v="1"/>
    <n v="290.7"/>
    <s v="Warehouse B"/>
    <x v="13"/>
    <d v="2023-09-15T00:00:00"/>
    <s v="Pending Coastal Logistics Partnersonfirmation"/>
  </r>
  <r>
    <x v="5"/>
    <x v="3"/>
    <n v="41"/>
    <n v="29"/>
    <x v="0"/>
    <x v="2"/>
    <n v="311.37"/>
    <s v="Warehouse C"/>
    <x v="199"/>
    <d v="2023-08-26T00:00:00"/>
    <m/>
  </r>
  <r>
    <x v="39"/>
    <x v="1"/>
    <n v="130"/>
    <n v="53"/>
    <x v="0"/>
    <x v="2"/>
    <n v="386.08"/>
    <s v="Warehouse C"/>
    <x v="30"/>
    <d v="2023-07-28T00:00:00"/>
    <s v="Discontinued"/>
  </r>
  <r>
    <x v="16"/>
    <x v="4"/>
    <n v="118"/>
    <n v="25"/>
    <x v="0"/>
    <x v="1"/>
    <n v="185.83"/>
    <s v="Warehouse C"/>
    <x v="104"/>
    <d v="2023-07-18T00:00:00"/>
    <s v="Discontinued"/>
  </r>
  <r>
    <x v="40"/>
    <x v="2"/>
    <n v="143"/>
    <n v="93"/>
    <x v="0"/>
    <x v="0"/>
    <n v="19.54"/>
    <s v="Warehouse C"/>
    <x v="6"/>
    <d v="2023-10-30T00:00:00"/>
    <s v="Pending Coastal Logistics Partnersonfirmation"/>
  </r>
  <r>
    <x v="8"/>
    <x v="2"/>
    <n v="146"/>
    <n v="87"/>
    <x v="0"/>
    <x v="2"/>
    <n v="373.57"/>
    <s v="Warehouse A"/>
    <x v="28"/>
    <d v="2023-03-10T00:00:00"/>
    <m/>
  </r>
  <r>
    <x v="19"/>
    <x v="3"/>
    <n v="175"/>
    <n v="75"/>
    <x v="0"/>
    <x v="0"/>
    <n v="368.51"/>
    <s v="Warehouse B"/>
    <x v="247"/>
    <d v="2023-06-30T00:00:00"/>
    <s v="Pending Coastal Logistics Partnersonfirmation"/>
  </r>
  <r>
    <x v="37"/>
    <x v="3"/>
    <n v="132"/>
    <n v="28"/>
    <x v="0"/>
    <x v="0"/>
    <n v="71.290000000000006"/>
    <s v="Warehouse B"/>
    <x v="143"/>
    <d v="2023-11-20T00:00:00"/>
    <m/>
  </r>
  <r>
    <x v="34"/>
    <x v="3"/>
    <n v="66"/>
    <n v="90"/>
    <x v="1"/>
    <x v="1"/>
    <n v="16.88"/>
    <s v="Warehouse A"/>
    <x v="216"/>
    <d v="2023-08-15T00:00:00"/>
    <s v="High demand"/>
  </r>
  <r>
    <x v="26"/>
    <x v="0"/>
    <n v="189"/>
    <n v="21"/>
    <x v="0"/>
    <x v="0"/>
    <n v="206.95"/>
    <s v="Warehouse C"/>
    <x v="197"/>
    <d v="2023-06-01T00:00:00"/>
    <s v="High demand"/>
  </r>
  <r>
    <x v="12"/>
    <x v="4"/>
    <n v="22"/>
    <n v="38"/>
    <x v="1"/>
    <x v="2"/>
    <n v="480.48"/>
    <s v="Warehouse C"/>
    <x v="165"/>
    <d v="2023-08-03T00:00:00"/>
    <m/>
  </r>
  <r>
    <x v="1"/>
    <x v="1"/>
    <n v="60"/>
    <n v="34"/>
    <x v="0"/>
    <x v="1"/>
    <n v="348.98"/>
    <s v="Warehouse A"/>
    <x v="110"/>
    <d v="2023-05-26T00:00:00"/>
    <s v="Discontinued"/>
  </r>
  <r>
    <x v="1"/>
    <x v="2"/>
    <n v="21"/>
    <n v="40"/>
    <x v="1"/>
    <x v="0"/>
    <n v="305.08999999999997"/>
    <s v="Warehouse B"/>
    <x v="18"/>
    <d v="2023-06-25T00:00:00"/>
    <m/>
  </r>
  <r>
    <x v="23"/>
    <x v="4"/>
    <n v="83"/>
    <n v="29"/>
    <x v="0"/>
    <x v="1"/>
    <n v="340.65"/>
    <s v="Warehouse C"/>
    <x v="29"/>
    <d v="2023-05-10T00:00:00"/>
    <s v="High demand"/>
  </r>
  <r>
    <x v="47"/>
    <x v="2"/>
    <n v="22"/>
    <n v="84"/>
    <x v="1"/>
    <x v="0"/>
    <n v="454.05"/>
    <s v="Warehouse B"/>
    <x v="10"/>
    <d v="2023-12-15T00:00:00"/>
    <s v="High demand"/>
  </r>
  <r>
    <x v="22"/>
    <x v="3"/>
    <n v="128"/>
    <n v="22"/>
    <x v="0"/>
    <x v="0"/>
    <n v="92.87"/>
    <s v="Warehouse B"/>
    <x v="78"/>
    <d v="2023-12-30T00:00:00"/>
    <s v="Discontinued"/>
  </r>
  <r>
    <x v="49"/>
    <x v="4"/>
    <n v="173"/>
    <n v="80"/>
    <x v="0"/>
    <x v="0"/>
    <n v="331.12"/>
    <s v="Warehouse A"/>
    <x v="187"/>
    <d v="2023-11-13T00:00:00"/>
    <s v="High demand"/>
  </r>
  <r>
    <x v="8"/>
    <x v="3"/>
    <n v="174"/>
    <n v="35"/>
    <x v="0"/>
    <x v="0"/>
    <n v="169.98"/>
    <s v="Warehouse A"/>
    <x v="248"/>
    <d v="2023-05-23T00:00:00"/>
    <s v="High demand"/>
  </r>
  <r>
    <x v="30"/>
    <x v="2"/>
    <n v="78"/>
    <n v="28"/>
    <x v="0"/>
    <x v="0"/>
    <n v="141.29"/>
    <s v="Warehouse A"/>
    <x v="203"/>
    <d v="2023-06-12T00:00:00"/>
    <m/>
  </r>
  <r>
    <x v="5"/>
    <x v="4"/>
    <n v="179"/>
    <n v="21"/>
    <x v="0"/>
    <x v="0"/>
    <n v="141.22999999999999"/>
    <s v="Warehouse A"/>
    <x v="120"/>
    <d v="2023-08-03T00:00:00"/>
    <s v="Pending Coastal Logistics Partnersonfirmation"/>
  </r>
  <r>
    <x v="24"/>
    <x v="3"/>
    <n v="156"/>
    <n v="43"/>
    <x v="0"/>
    <x v="2"/>
    <n v="193.68"/>
    <s v="Warehouse A"/>
    <x v="174"/>
    <d v="2023-12-20T00:00:00"/>
    <s v="High demand"/>
  </r>
  <r>
    <x v="2"/>
    <x v="3"/>
    <n v="190"/>
    <n v="53"/>
    <x v="0"/>
    <x v="0"/>
    <n v="19.809999999999999"/>
    <s v="Warehouse C"/>
    <x v="170"/>
    <d v="2023-12-15T00:00:00"/>
    <m/>
  </r>
  <r>
    <x v="30"/>
    <x v="4"/>
    <n v="85"/>
    <n v="68"/>
    <x v="0"/>
    <x v="2"/>
    <n v="256.87"/>
    <s v="Warehouse B"/>
    <x v="249"/>
    <d v="2023-10-08T00:00:00"/>
    <s v="Pending Coastal Logistics Partnersonfirmation"/>
  </r>
  <r>
    <x v="0"/>
    <x v="0"/>
    <n v="47"/>
    <n v="63"/>
    <x v="1"/>
    <x v="1"/>
    <n v="337.9"/>
    <s v="Warehouse A"/>
    <x v="250"/>
    <d v="2023-10-22T00:00:00"/>
    <s v="High demand"/>
  </r>
  <r>
    <x v="40"/>
    <x v="2"/>
    <n v="81"/>
    <n v="25"/>
    <x v="0"/>
    <x v="1"/>
    <n v="105.46"/>
    <s v="Warehouse A"/>
    <x v="251"/>
    <d v="2023-05-04T00:00:00"/>
    <s v="High demand"/>
  </r>
  <r>
    <x v="23"/>
    <x v="3"/>
    <n v="110"/>
    <n v="99"/>
    <x v="0"/>
    <x v="2"/>
    <n v="56.72"/>
    <s v="Warehouse B"/>
    <x v="252"/>
    <d v="2023-12-03T00:00:00"/>
    <m/>
  </r>
  <r>
    <x v="36"/>
    <x v="1"/>
    <n v="153"/>
    <n v="39"/>
    <x v="0"/>
    <x v="1"/>
    <n v="440.55"/>
    <s v="Warehouse B"/>
    <x v="197"/>
    <d v="2023-07-01T00:00:00"/>
    <s v="High demand"/>
  </r>
  <r>
    <x v="17"/>
    <x v="2"/>
    <n v="121"/>
    <n v="37"/>
    <x v="0"/>
    <x v="0"/>
    <n v="442.33"/>
    <s v="Warehouse B"/>
    <x v="81"/>
    <d v="2023-09-30T00:00:00"/>
    <s v="Discontinued"/>
  </r>
  <r>
    <x v="25"/>
    <x v="1"/>
    <n v="183"/>
    <n v="21"/>
    <x v="0"/>
    <x v="0"/>
    <n v="337.42"/>
    <s v="Warehouse A"/>
    <x v="57"/>
    <d v="2023-08-15T00:00:00"/>
    <s v="High demand"/>
  </r>
  <r>
    <x v="30"/>
    <x v="3"/>
    <n v="80"/>
    <n v="99"/>
    <x v="1"/>
    <x v="1"/>
    <n v="376.87"/>
    <s v="Warehouse B"/>
    <x v="116"/>
    <d v="2023-04-28T00:00:00"/>
    <s v="High demand"/>
  </r>
  <r>
    <x v="40"/>
    <x v="0"/>
    <n v="87"/>
    <n v="68"/>
    <x v="0"/>
    <x v="1"/>
    <n v="196.48"/>
    <s v="Warehouse B"/>
    <x v="31"/>
    <d v="2023-10-13T00:00:00"/>
    <s v="Discontinued"/>
  </r>
  <r>
    <x v="38"/>
    <x v="0"/>
    <n v="88"/>
    <n v="44"/>
    <x v="0"/>
    <x v="0"/>
    <n v="49.76"/>
    <s v="Warehouse C"/>
    <x v="50"/>
    <d v="2023-02-19T00:00:00"/>
    <s v="Pending Coastal Logistics Partnersonfirmation"/>
  </r>
  <r>
    <x v="0"/>
    <x v="1"/>
    <n v="153"/>
    <n v="22"/>
    <x v="0"/>
    <x v="1"/>
    <n v="276.67"/>
    <s v="Warehouse B"/>
    <x v="253"/>
    <d v="2023-06-13T00:00:00"/>
    <s v="Pending Coastal Logistics Partnersonfirmation"/>
  </r>
  <r>
    <x v="28"/>
    <x v="3"/>
    <n v="189"/>
    <n v="42"/>
    <x v="0"/>
    <x v="2"/>
    <n v="270.20999999999998"/>
    <s v="Warehouse C"/>
    <x v="254"/>
    <d v="2023-06-16T00:00:00"/>
    <s v="Discontinued"/>
  </r>
  <r>
    <x v="16"/>
    <x v="2"/>
    <n v="23"/>
    <n v="37"/>
    <x v="1"/>
    <x v="2"/>
    <n v="277.08999999999997"/>
    <s v="Warehouse C"/>
    <x v="113"/>
    <d v="2023-12-04T00:00:00"/>
    <s v="Discontinued"/>
  </r>
  <r>
    <x v="8"/>
    <x v="2"/>
    <n v="80"/>
    <n v="39"/>
    <x v="0"/>
    <x v="2"/>
    <n v="57.95"/>
    <s v="Warehouse A"/>
    <x v="98"/>
    <d v="2023-10-03T00:00:00"/>
    <s v="Discontinued"/>
  </r>
  <r>
    <x v="4"/>
    <x v="3"/>
    <n v="184"/>
    <n v="28"/>
    <x v="0"/>
    <x v="1"/>
    <n v="122.28"/>
    <s v="Warehouse B"/>
    <x v="49"/>
    <d v="2023-11-04T00:00:00"/>
    <s v="Pending Coastal Logistics Partnersonfirmation"/>
  </r>
  <r>
    <x v="49"/>
    <x v="3"/>
    <n v="30"/>
    <n v="95"/>
    <x v="1"/>
    <x v="1"/>
    <n v="213.98"/>
    <s v="Warehouse A"/>
    <x v="255"/>
    <d v="2023-05-05T00:00:00"/>
    <s v="Discontinued"/>
  </r>
  <r>
    <x v="17"/>
    <x v="4"/>
    <n v="137"/>
    <n v="49"/>
    <x v="0"/>
    <x v="1"/>
    <n v="40.299999999999997"/>
    <s v="Warehouse A"/>
    <x v="57"/>
    <d v="2023-08-03T00:00:00"/>
    <m/>
  </r>
  <r>
    <x v="22"/>
    <x v="0"/>
    <n v="44"/>
    <n v="97"/>
    <x v="1"/>
    <x v="1"/>
    <n v="106.6"/>
    <s v="Warehouse C"/>
    <x v="237"/>
    <d v="2023-06-19T00:00:00"/>
    <m/>
  </r>
  <r>
    <x v="28"/>
    <x v="4"/>
    <n v="58"/>
    <n v="75"/>
    <x v="1"/>
    <x v="1"/>
    <n v="442.98"/>
    <s v="Warehouse A"/>
    <x v="256"/>
    <d v="2023-07-08T00:00:00"/>
    <s v="Pending Coastal Logistics Partnersonfirmation"/>
  </r>
  <r>
    <x v="22"/>
    <x v="1"/>
    <n v="181"/>
    <n v="78"/>
    <x v="0"/>
    <x v="0"/>
    <n v="175.29"/>
    <s v="Warehouse B"/>
    <x v="103"/>
    <d v="2023-06-07T00:00:00"/>
    <s v="Pending Coastal Logistics Partnersonfirmation"/>
  </r>
  <r>
    <x v="10"/>
    <x v="2"/>
    <n v="199"/>
    <n v="46"/>
    <x v="0"/>
    <x v="2"/>
    <n v="247.85"/>
    <s v="Warehouse C"/>
    <x v="67"/>
    <d v="2023-05-27T00:00:00"/>
    <m/>
  </r>
  <r>
    <x v="8"/>
    <x v="3"/>
    <n v="37"/>
    <n v="85"/>
    <x v="1"/>
    <x v="1"/>
    <n v="197.27"/>
    <s v="Warehouse A"/>
    <x v="3"/>
    <d v="2023-09-11T00:00:00"/>
    <m/>
  </r>
  <r>
    <x v="44"/>
    <x v="4"/>
    <n v="174"/>
    <n v="50"/>
    <x v="0"/>
    <x v="0"/>
    <n v="58.1"/>
    <s v="Warehouse B"/>
    <x v="45"/>
    <d v="2023-10-17T00:00:00"/>
    <s v="Pending Coastal Logistics Partnersonfirmation"/>
  </r>
  <r>
    <x v="38"/>
    <x v="2"/>
    <n v="7"/>
    <n v="28"/>
    <x v="1"/>
    <x v="0"/>
    <n v="383.1"/>
    <s v="Warehouse C"/>
    <x v="194"/>
    <d v="2023-03-16T00:00:00"/>
    <s v="Pending Coastal Logistics Partnersonfirmation"/>
  </r>
  <r>
    <x v="45"/>
    <x v="0"/>
    <n v="83"/>
    <n v="97"/>
    <x v="1"/>
    <x v="2"/>
    <n v="281.25"/>
    <s v="Warehouse A"/>
    <x v="146"/>
    <d v="2023-06-21T00:00:00"/>
    <s v="Pending Coastal Logistics Partnersonfirmation"/>
  </r>
  <r>
    <x v="2"/>
    <x v="4"/>
    <n v="108"/>
    <n v="80"/>
    <x v="0"/>
    <x v="2"/>
    <n v="135.72999999999999"/>
    <s v="Warehouse B"/>
    <x v="151"/>
    <d v="2023-10-27T00:00:00"/>
    <m/>
  </r>
  <r>
    <x v="7"/>
    <x v="4"/>
    <n v="66"/>
    <n v="97"/>
    <x v="1"/>
    <x v="2"/>
    <n v="314.57"/>
    <s v="Warehouse C"/>
    <x v="71"/>
    <d v="2023-04-29T00:00:00"/>
    <m/>
  </r>
  <r>
    <x v="4"/>
    <x v="0"/>
    <n v="177"/>
    <n v="39"/>
    <x v="0"/>
    <x v="2"/>
    <n v="313.83999999999997"/>
    <s v="Warehouse B"/>
    <x v="39"/>
    <d v="2023-02-13T00:00:00"/>
    <s v="Pending Coastal Logistics Partnersonfirmation"/>
  </r>
  <r>
    <x v="33"/>
    <x v="2"/>
    <n v="83"/>
    <n v="42"/>
    <x v="0"/>
    <x v="0"/>
    <n v="241.4"/>
    <s v="Warehouse B"/>
    <x v="257"/>
    <d v="2024-02-24T00:00:00"/>
    <m/>
  </r>
  <r>
    <x v="46"/>
    <x v="2"/>
    <n v="109"/>
    <n v="81"/>
    <x v="0"/>
    <x v="1"/>
    <n v="207.83"/>
    <s v="Warehouse C"/>
    <x v="96"/>
    <d v="2023-10-03T00:00:00"/>
    <s v="Pending Coastal Logistics Partnersonfirmation"/>
  </r>
  <r>
    <x v="19"/>
    <x v="3"/>
    <n v="117"/>
    <n v="87"/>
    <x v="0"/>
    <x v="1"/>
    <n v="370.3"/>
    <s v="Warehouse C"/>
    <x v="218"/>
    <d v="2024-02-13T00:00:00"/>
    <s v="Pending Coastal Logistics Partnersonfirmation"/>
  </r>
  <r>
    <x v="46"/>
    <x v="3"/>
    <n v="145"/>
    <n v="96"/>
    <x v="0"/>
    <x v="0"/>
    <n v="216.45"/>
    <s v="Warehouse C"/>
    <x v="67"/>
    <d v="2023-05-01T00:00:00"/>
    <s v="High demand"/>
  </r>
  <r>
    <x v="30"/>
    <x v="0"/>
    <n v="102"/>
    <n v="93"/>
    <x v="0"/>
    <x v="2"/>
    <n v="412.37"/>
    <s v="Warehouse A"/>
    <x v="89"/>
    <d v="2023-09-11T00:00:00"/>
    <s v="High demand"/>
  </r>
  <r>
    <x v="14"/>
    <x v="0"/>
    <n v="116"/>
    <n v="57"/>
    <x v="0"/>
    <x v="0"/>
    <n v="205.25"/>
    <s v="Warehouse C"/>
    <x v="134"/>
    <d v="2023-04-02T00:00:00"/>
    <s v="Discontinued"/>
  </r>
  <r>
    <x v="39"/>
    <x v="2"/>
    <n v="52"/>
    <n v="39"/>
    <x v="0"/>
    <x v="2"/>
    <n v="367.43"/>
    <s v="Warehouse A"/>
    <x v="258"/>
    <d v="2023-08-16T00:00:00"/>
    <s v="High demand"/>
  </r>
  <r>
    <x v="45"/>
    <x v="1"/>
    <n v="83"/>
    <n v="57"/>
    <x v="0"/>
    <x v="0"/>
    <n v="295.7"/>
    <s v="Warehouse C"/>
    <x v="259"/>
    <d v="2023-09-21T00:00:00"/>
    <m/>
  </r>
  <r>
    <x v="13"/>
    <x v="0"/>
    <n v="185"/>
    <n v="88"/>
    <x v="0"/>
    <x v="1"/>
    <n v="232.52"/>
    <s v="Warehouse B"/>
    <x v="54"/>
    <d v="2023-10-02T00:00:00"/>
    <s v="Pending Coastal Logistics Partnersonfirmation"/>
  </r>
  <r>
    <x v="17"/>
    <x v="3"/>
    <n v="103"/>
    <n v="50"/>
    <x v="0"/>
    <x v="2"/>
    <n v="392.62"/>
    <s v="Warehouse C"/>
    <x v="130"/>
    <d v="2023-02-23T00:00:00"/>
    <s v="High demand"/>
  </r>
  <r>
    <x v="14"/>
    <x v="1"/>
    <n v="126"/>
    <n v="84"/>
    <x v="0"/>
    <x v="2"/>
    <n v="54.92"/>
    <s v="Warehouse C"/>
    <x v="111"/>
    <d v="2023-07-06T00:00:00"/>
    <s v="High demand"/>
  </r>
  <r>
    <x v="11"/>
    <x v="4"/>
    <n v="1"/>
    <n v="49"/>
    <x v="1"/>
    <x v="1"/>
    <n v="203.89"/>
    <s v="Warehouse A"/>
    <x v="260"/>
    <d v="2023-08-05T00:00:00"/>
    <s v="Pending Coastal Logistics Partnersonfirmation"/>
  </r>
  <r>
    <x v="32"/>
    <x v="0"/>
    <n v="114"/>
    <n v="88"/>
    <x v="0"/>
    <x v="1"/>
    <n v="49.04"/>
    <s v="Warehouse C"/>
    <x v="218"/>
    <d v="2024-01-24T00:00:00"/>
    <m/>
  </r>
  <r>
    <x v="24"/>
    <x v="0"/>
    <n v="106"/>
    <n v="94"/>
    <x v="0"/>
    <x v="0"/>
    <n v="45.88"/>
    <s v="Warehouse B"/>
    <x v="261"/>
    <d v="2023-02-14T00:00:00"/>
    <m/>
  </r>
  <r>
    <x v="41"/>
    <x v="0"/>
    <n v="59"/>
    <n v="70"/>
    <x v="1"/>
    <x v="0"/>
    <n v="213.83"/>
    <s v="Warehouse C"/>
    <x v="262"/>
    <d v="2024-01-28T00:00:00"/>
    <s v="High demand"/>
  </r>
  <r>
    <x v="35"/>
    <x v="2"/>
    <n v="54"/>
    <n v="26"/>
    <x v="0"/>
    <x v="2"/>
    <n v="130.88"/>
    <s v="Warehouse B"/>
    <x v="263"/>
    <d v="2023-12-23T00:00:00"/>
    <s v="Discontinued"/>
  </r>
  <r>
    <x v="17"/>
    <x v="2"/>
    <n v="112"/>
    <n v="97"/>
    <x v="0"/>
    <x v="2"/>
    <n v="134.38"/>
    <s v="Warehouse B"/>
    <x v="42"/>
    <d v="2023-04-19T00:00:00"/>
    <s v="High demand"/>
  </r>
  <r>
    <x v="49"/>
    <x v="1"/>
    <n v="112"/>
    <n v="40"/>
    <x v="0"/>
    <x v="1"/>
    <n v="270.33999999999997"/>
    <s v="Warehouse C"/>
    <x v="264"/>
    <d v="2024-02-05T00:00:00"/>
    <s v="High demand"/>
  </r>
  <r>
    <x v="36"/>
    <x v="0"/>
    <n v="102"/>
    <n v="29"/>
    <x v="0"/>
    <x v="2"/>
    <n v="464.44"/>
    <s v="Warehouse A"/>
    <x v="155"/>
    <d v="2023-08-16T00:00:00"/>
    <s v="High demand"/>
  </r>
  <r>
    <x v="0"/>
    <x v="0"/>
    <n v="190"/>
    <n v="76"/>
    <x v="0"/>
    <x v="0"/>
    <n v="117.27"/>
    <s v="Warehouse C"/>
    <x v="4"/>
    <d v="2024-01-14T00:00:00"/>
    <s v="High demand"/>
  </r>
  <r>
    <x v="1"/>
    <x v="1"/>
    <n v="166"/>
    <n v="92"/>
    <x v="0"/>
    <x v="2"/>
    <n v="44.69"/>
    <s v="Warehouse B"/>
    <x v="226"/>
    <d v="2023-09-06T00:00:00"/>
    <m/>
  </r>
  <r>
    <x v="46"/>
    <x v="0"/>
    <n v="115"/>
    <n v="99"/>
    <x v="0"/>
    <x v="0"/>
    <n v="386.89"/>
    <s v="Warehouse C"/>
    <x v="163"/>
    <d v="2024-01-11T00:00:00"/>
    <m/>
  </r>
  <r>
    <x v="44"/>
    <x v="4"/>
    <n v="128"/>
    <n v="93"/>
    <x v="0"/>
    <x v="1"/>
    <n v="146.03"/>
    <s v="Warehouse A"/>
    <x v="8"/>
    <d v="2024-01-13T00:00:00"/>
    <s v="High demand"/>
  </r>
  <r>
    <x v="9"/>
    <x v="0"/>
    <n v="127"/>
    <n v="88"/>
    <x v="0"/>
    <x v="0"/>
    <n v="314.27999999999997"/>
    <s v="Warehouse B"/>
    <x v="265"/>
    <d v="2023-11-24T00:00:00"/>
    <s v="Pending Coastal Logistics Partnersonfirmation"/>
  </r>
  <r>
    <x v="6"/>
    <x v="3"/>
    <n v="166"/>
    <n v="48"/>
    <x v="0"/>
    <x v="0"/>
    <n v="324.72000000000003"/>
    <s v="Warehouse A"/>
    <x v="266"/>
    <d v="2023-06-01T00:00:00"/>
    <m/>
  </r>
  <r>
    <x v="27"/>
    <x v="3"/>
    <n v="31"/>
    <n v="24"/>
    <x v="0"/>
    <x v="2"/>
    <n v="152.85"/>
    <s v="Warehouse B"/>
    <x v="224"/>
    <d v="2023-05-17T00:00:00"/>
    <s v="High demand"/>
  </r>
  <r>
    <x v="8"/>
    <x v="2"/>
    <n v="1"/>
    <n v="60"/>
    <x v="1"/>
    <x v="1"/>
    <n v="494.53"/>
    <s v="Warehouse C"/>
    <x v="145"/>
    <d v="2023-09-13T00:00:00"/>
    <s v="High demand"/>
  </r>
  <r>
    <x v="48"/>
    <x v="3"/>
    <n v="191"/>
    <n v="70"/>
    <x v="0"/>
    <x v="2"/>
    <n v="314.10000000000002"/>
    <s v="Warehouse C"/>
    <x v="21"/>
    <d v="2024-01-30T00:00:00"/>
    <s v="Pending Coastal Logistics Partnersonfirmation"/>
  </r>
  <r>
    <x v="17"/>
    <x v="4"/>
    <n v="185"/>
    <n v="86"/>
    <x v="0"/>
    <x v="2"/>
    <n v="8.01"/>
    <s v="Warehouse A"/>
    <x v="267"/>
    <d v="2023-12-13T00:00:00"/>
    <m/>
  </r>
  <r>
    <x v="16"/>
    <x v="3"/>
    <n v="36"/>
    <n v="84"/>
    <x v="1"/>
    <x v="1"/>
    <n v="221.22"/>
    <s v="Warehouse C"/>
    <x v="268"/>
    <d v="2023-03-18T00:00:00"/>
    <s v="Pending Coastal Logistics Partnersonfirmation"/>
  </r>
  <r>
    <x v="3"/>
    <x v="0"/>
    <n v="147"/>
    <n v="29"/>
    <x v="0"/>
    <x v="2"/>
    <n v="6.97"/>
    <s v="Warehouse C"/>
    <x v="70"/>
    <d v="2023-09-14T00:00:00"/>
    <s v="Discontinued"/>
  </r>
  <r>
    <x v="19"/>
    <x v="0"/>
    <n v="86"/>
    <n v="61"/>
    <x v="0"/>
    <x v="2"/>
    <n v="215.39"/>
    <s v="Warehouse A"/>
    <x v="269"/>
    <d v="2023-10-31T00:00:00"/>
    <s v="High demand"/>
  </r>
  <r>
    <x v="17"/>
    <x v="0"/>
    <n v="41"/>
    <n v="89"/>
    <x v="1"/>
    <x v="0"/>
    <n v="64.55"/>
    <s v="Warehouse A"/>
    <x v="155"/>
    <d v="2023-10-07T00:00:00"/>
    <m/>
  </r>
  <r>
    <x v="21"/>
    <x v="2"/>
    <n v="177"/>
    <n v="45"/>
    <x v="0"/>
    <x v="1"/>
    <n v="374.92"/>
    <s v="Warehouse A"/>
    <x v="109"/>
    <d v="2023-04-03T00:00:00"/>
    <s v="Pending Coastal Logistics Partnersonfirmation"/>
  </r>
  <r>
    <x v="41"/>
    <x v="2"/>
    <n v="187"/>
    <n v="46"/>
    <x v="0"/>
    <x v="2"/>
    <n v="402.33"/>
    <s v="Warehouse B"/>
    <x v="69"/>
    <d v="2023-03-26T00:00:00"/>
    <m/>
  </r>
  <r>
    <x v="11"/>
    <x v="1"/>
    <n v="119"/>
    <n v="42"/>
    <x v="0"/>
    <x v="1"/>
    <n v="489.47"/>
    <s v="Warehouse A"/>
    <x v="8"/>
    <d v="2024-02-22T00:00:00"/>
    <s v="High demand"/>
  </r>
  <r>
    <x v="14"/>
    <x v="4"/>
    <n v="141"/>
    <n v="34"/>
    <x v="0"/>
    <x v="0"/>
    <n v="200.73"/>
    <s v="Warehouse C"/>
    <x v="159"/>
    <d v="2023-03-25T00:00:00"/>
    <s v="Pending Coastal Logistics Partnersonfirmation"/>
  </r>
  <r>
    <x v="40"/>
    <x v="0"/>
    <n v="171"/>
    <n v="70"/>
    <x v="0"/>
    <x v="2"/>
    <n v="318.68"/>
    <s v="Warehouse A"/>
    <x v="11"/>
    <d v="2023-09-11T00:00:00"/>
    <m/>
  </r>
  <r>
    <x v="3"/>
    <x v="2"/>
    <n v="62"/>
    <n v="28"/>
    <x v="0"/>
    <x v="0"/>
    <n v="292.20999999999998"/>
    <s v="Warehouse C"/>
    <x v="223"/>
    <d v="2024-01-14T00:00:00"/>
    <m/>
  </r>
  <r>
    <x v="39"/>
    <x v="1"/>
    <n v="143"/>
    <n v="59"/>
    <x v="0"/>
    <x v="0"/>
    <n v="155.34"/>
    <s v="Warehouse A"/>
    <x v="270"/>
    <d v="2023-11-07T00:00:00"/>
    <s v="High demand"/>
  </r>
  <r>
    <x v="31"/>
    <x v="3"/>
    <n v="58"/>
    <n v="44"/>
    <x v="0"/>
    <x v="0"/>
    <n v="107.8"/>
    <s v="Warehouse B"/>
    <x v="221"/>
    <d v="2023-08-20T00:00:00"/>
    <m/>
  </r>
  <r>
    <x v="45"/>
    <x v="1"/>
    <n v="18"/>
    <n v="33"/>
    <x v="1"/>
    <x v="2"/>
    <n v="283.83"/>
    <s v="Warehouse A"/>
    <x v="115"/>
    <d v="2023-11-28T00:00:00"/>
    <s v="Discontinued"/>
  </r>
  <r>
    <x v="6"/>
    <x v="2"/>
    <n v="195"/>
    <n v="28"/>
    <x v="0"/>
    <x v="0"/>
    <n v="335.82"/>
    <s v="Warehouse C"/>
    <x v="169"/>
    <d v="2023-11-16T00:00:00"/>
    <s v="Pending Coastal Logistics Partnersonfirmation"/>
  </r>
  <r>
    <x v="13"/>
    <x v="2"/>
    <n v="4"/>
    <n v="89"/>
    <x v="1"/>
    <x v="0"/>
    <n v="5.68"/>
    <s v="Warehouse B"/>
    <x v="271"/>
    <d v="2023-12-22T00:00:00"/>
    <m/>
  </r>
  <r>
    <x v="5"/>
    <x v="3"/>
    <n v="140"/>
    <n v="84"/>
    <x v="0"/>
    <x v="1"/>
    <n v="424.32"/>
    <s v="Warehouse A"/>
    <x v="90"/>
    <d v="2023-05-24T00:00:00"/>
    <s v="Pending Coastal Logistics Partnersonfirmation"/>
  </r>
  <r>
    <x v="27"/>
    <x v="3"/>
    <n v="58"/>
    <n v="84"/>
    <x v="1"/>
    <x v="1"/>
    <n v="274.37"/>
    <s v="Warehouse C"/>
    <x v="98"/>
    <d v="2023-09-24T00:00:00"/>
    <s v="Pending Coastal Logistics Partnersonfirmation"/>
  </r>
  <r>
    <x v="20"/>
    <x v="4"/>
    <n v="28"/>
    <n v="61"/>
    <x v="1"/>
    <x v="1"/>
    <n v="184.79"/>
    <s v="Warehouse B"/>
    <x v="272"/>
    <d v="2024-02-19T00:00:00"/>
    <m/>
  </r>
  <r>
    <x v="47"/>
    <x v="0"/>
    <n v="194"/>
    <n v="86"/>
    <x v="0"/>
    <x v="1"/>
    <n v="70.14"/>
    <s v="Warehouse C"/>
    <x v="82"/>
    <d v="2023-08-22T00:00:00"/>
    <s v="Pending Coastal Logistics Partnersonfirmation"/>
  </r>
  <r>
    <x v="5"/>
    <x v="0"/>
    <n v="90"/>
    <n v="77"/>
    <x v="0"/>
    <x v="0"/>
    <n v="141.41"/>
    <s v="Warehouse C"/>
    <x v="108"/>
    <d v="2023-08-29T00:00:00"/>
    <m/>
  </r>
  <r>
    <x v="47"/>
    <x v="3"/>
    <n v="128"/>
    <n v="41"/>
    <x v="0"/>
    <x v="0"/>
    <n v="400.89"/>
    <s v="Warehouse B"/>
    <x v="38"/>
    <d v="2023-09-16T00:00:00"/>
    <s v="Pending Coastal Logistics Partnersonfirmation"/>
  </r>
  <r>
    <x v="19"/>
    <x v="0"/>
    <n v="138"/>
    <n v="83"/>
    <x v="0"/>
    <x v="2"/>
    <n v="292.52999999999997"/>
    <s v="Warehouse C"/>
    <x v="162"/>
    <d v="2023-06-12T00:00:00"/>
    <s v="High demand"/>
  </r>
  <r>
    <x v="31"/>
    <x v="3"/>
    <n v="100"/>
    <n v="38"/>
    <x v="0"/>
    <x v="0"/>
    <n v="392.3"/>
    <s v="Warehouse A"/>
    <x v="164"/>
    <d v="2023-05-15T00:00:00"/>
    <m/>
  </r>
  <r>
    <x v="27"/>
    <x v="2"/>
    <n v="136"/>
    <n v="91"/>
    <x v="0"/>
    <x v="0"/>
    <n v="474.63"/>
    <s v="Warehouse C"/>
    <x v="146"/>
    <d v="2023-07-08T00:00:00"/>
    <s v="High demand"/>
  </r>
  <r>
    <x v="16"/>
    <x v="3"/>
    <n v="52"/>
    <n v="21"/>
    <x v="0"/>
    <x v="0"/>
    <n v="423.17"/>
    <s v="Warehouse B"/>
    <x v="142"/>
    <d v="2023-05-30T00:00:00"/>
    <s v="High demand"/>
  </r>
  <r>
    <x v="35"/>
    <x v="0"/>
    <n v="63"/>
    <n v="67"/>
    <x v="1"/>
    <x v="2"/>
    <n v="156.86000000000001"/>
    <s v="Warehouse A"/>
    <x v="273"/>
    <d v="2023-11-08T00:00:00"/>
    <m/>
  </r>
  <r>
    <x v="28"/>
    <x v="2"/>
    <n v="111"/>
    <n v="94"/>
    <x v="0"/>
    <x v="2"/>
    <n v="69.36"/>
    <s v="Warehouse C"/>
    <x v="134"/>
    <d v="2023-04-05T00:00:00"/>
    <m/>
  </r>
  <r>
    <x v="23"/>
    <x v="1"/>
    <n v="127"/>
    <n v="52"/>
    <x v="0"/>
    <x v="0"/>
    <n v="86.12"/>
    <s v="Warehouse C"/>
    <x v="51"/>
    <d v="2023-06-16T00:00:00"/>
    <s v="High demand"/>
  </r>
  <r>
    <x v="26"/>
    <x v="4"/>
    <n v="13"/>
    <n v="79"/>
    <x v="1"/>
    <x v="0"/>
    <n v="264.29000000000002"/>
    <s v="Warehouse C"/>
    <x v="274"/>
    <d v="2023-12-22T00:00:00"/>
    <s v="Discontinued"/>
  </r>
  <r>
    <x v="37"/>
    <x v="1"/>
    <n v="143"/>
    <n v="29"/>
    <x v="0"/>
    <x v="2"/>
    <n v="110.08"/>
    <s v="Warehouse B"/>
    <x v="275"/>
    <d v="2023-03-19T00:00:00"/>
    <m/>
  </r>
  <r>
    <x v="45"/>
    <x v="0"/>
    <n v="138"/>
    <n v="66"/>
    <x v="0"/>
    <x v="2"/>
    <n v="326.26"/>
    <s v="Warehouse C"/>
    <x v="276"/>
    <d v="2023-12-09T00:00:00"/>
    <s v="High demand"/>
  </r>
  <r>
    <x v="17"/>
    <x v="3"/>
    <n v="123"/>
    <n v="61"/>
    <x v="0"/>
    <x v="1"/>
    <n v="129.72"/>
    <s v="Warehouse C"/>
    <x v="277"/>
    <d v="2023-07-16T00:00:00"/>
    <m/>
  </r>
  <r>
    <x v="9"/>
    <x v="4"/>
    <n v="82"/>
    <n v="97"/>
    <x v="1"/>
    <x v="0"/>
    <n v="331.65"/>
    <s v="Warehouse B"/>
    <x v="42"/>
    <d v="2023-06-07T00:00:00"/>
    <s v="Discontinued"/>
  </r>
  <r>
    <x v="10"/>
    <x v="2"/>
    <n v="107"/>
    <n v="40"/>
    <x v="0"/>
    <x v="2"/>
    <n v="283.32"/>
    <s v="Warehouse B"/>
    <x v="222"/>
    <d v="2024-01-21T00:00:00"/>
    <s v="High demand"/>
  </r>
  <r>
    <x v="5"/>
    <x v="4"/>
    <n v="137"/>
    <n v="59"/>
    <x v="0"/>
    <x v="0"/>
    <n v="236.61"/>
    <s v="Warehouse C"/>
    <x v="66"/>
    <d v="2023-07-24T00:00:00"/>
    <s v="Discontinued"/>
  </r>
  <r>
    <x v="26"/>
    <x v="1"/>
    <n v="153"/>
    <n v="46"/>
    <x v="0"/>
    <x v="1"/>
    <n v="75.42"/>
    <s v="Warehouse A"/>
    <x v="278"/>
    <d v="2023-03-15T00:00:00"/>
    <s v="Pending Coastal Logistics Partnersonfirmation"/>
  </r>
  <r>
    <x v="27"/>
    <x v="3"/>
    <n v="110"/>
    <n v="85"/>
    <x v="0"/>
    <x v="1"/>
    <n v="87.01"/>
    <s v="Warehouse C"/>
    <x v="279"/>
    <d v="2023-12-09T00:00:00"/>
    <m/>
  </r>
  <r>
    <x v="11"/>
    <x v="1"/>
    <n v="152"/>
    <n v="39"/>
    <x v="0"/>
    <x v="2"/>
    <n v="200.91"/>
    <s v="Warehouse B"/>
    <x v="56"/>
    <d v="2023-02-11T00:00:00"/>
    <m/>
  </r>
  <r>
    <x v="41"/>
    <x v="3"/>
    <n v="146"/>
    <n v="59"/>
    <x v="0"/>
    <x v="1"/>
    <n v="96.36"/>
    <s v="Warehouse C"/>
    <x v="280"/>
    <d v="2023-10-06T00:00:00"/>
    <m/>
  </r>
  <r>
    <x v="19"/>
    <x v="4"/>
    <n v="76"/>
    <n v="83"/>
    <x v="1"/>
    <x v="0"/>
    <n v="458.77"/>
    <s v="Warehouse A"/>
    <x v="104"/>
    <d v="2023-07-09T00:00:00"/>
    <s v="Discontinued"/>
  </r>
  <r>
    <x v="47"/>
    <x v="1"/>
    <n v="53"/>
    <n v="93"/>
    <x v="1"/>
    <x v="0"/>
    <n v="319.08"/>
    <s v="Warehouse B"/>
    <x v="226"/>
    <d v="2023-09-15T00:00:00"/>
    <s v="High demand"/>
  </r>
  <r>
    <x v="12"/>
    <x v="1"/>
    <n v="32"/>
    <n v="22"/>
    <x v="0"/>
    <x v="2"/>
    <n v="246.74"/>
    <s v="Warehouse B"/>
    <x v="281"/>
    <d v="2023-03-22T00:00:00"/>
    <s v="Pending Coastal Logistics Partnersonfirmation"/>
  </r>
  <r>
    <x v="44"/>
    <x v="1"/>
    <n v="121"/>
    <n v="68"/>
    <x v="0"/>
    <x v="0"/>
    <n v="34.76"/>
    <s v="Warehouse C"/>
    <x v="163"/>
    <d v="2023-12-28T00:00:00"/>
    <s v="High demand"/>
  </r>
  <r>
    <x v="15"/>
    <x v="4"/>
    <n v="23"/>
    <n v="43"/>
    <x v="1"/>
    <x v="0"/>
    <n v="264.89999999999998"/>
    <s v="Warehouse C"/>
    <x v="40"/>
    <d v="2024-02-12T00:00:00"/>
    <s v="Pending Coastal Logistics Partnersonfirmation"/>
  </r>
  <r>
    <x v="47"/>
    <x v="0"/>
    <n v="196"/>
    <n v="60"/>
    <x v="0"/>
    <x v="1"/>
    <n v="203.95"/>
    <s v="Warehouse B"/>
    <x v="120"/>
    <d v="2023-09-04T00:00:00"/>
    <s v="Pending Coastal Logistics Partnersonfirmation"/>
  </r>
  <r>
    <x v="23"/>
    <x v="2"/>
    <n v="2"/>
    <n v="20"/>
    <x v="1"/>
    <x v="2"/>
    <n v="429.8"/>
    <s v="Warehouse C"/>
    <x v="149"/>
    <d v="2023-12-08T00:00:00"/>
    <s v="High demand"/>
  </r>
  <r>
    <x v="25"/>
    <x v="3"/>
    <n v="95"/>
    <n v="83"/>
    <x v="0"/>
    <x v="0"/>
    <n v="353.11"/>
    <s v="Warehouse A"/>
    <x v="30"/>
    <d v="2023-09-06T00:00:00"/>
    <s v="Pending Coastal Logistics Partnersonfirmation"/>
  </r>
  <r>
    <x v="23"/>
    <x v="1"/>
    <n v="191"/>
    <n v="99"/>
    <x v="0"/>
    <x v="2"/>
    <n v="422.53"/>
    <s v="Warehouse C"/>
    <x v="138"/>
    <d v="2023-09-25T00:00:00"/>
    <s v="Pending Coastal Logistics Partnersonfirmation"/>
  </r>
  <r>
    <x v="23"/>
    <x v="1"/>
    <n v="166"/>
    <n v="26"/>
    <x v="0"/>
    <x v="1"/>
    <n v="50.12"/>
    <s v="Warehouse C"/>
    <x v="282"/>
    <d v="2023-11-11T00:00:00"/>
    <m/>
  </r>
  <r>
    <x v="12"/>
    <x v="1"/>
    <n v="130"/>
    <n v="81"/>
    <x v="0"/>
    <x v="2"/>
    <n v="362.56"/>
    <s v="Warehouse A"/>
    <x v="283"/>
    <d v="2023-12-18T00:00:00"/>
    <s v="High demand"/>
  </r>
  <r>
    <x v="16"/>
    <x v="4"/>
    <n v="128"/>
    <n v="86"/>
    <x v="0"/>
    <x v="2"/>
    <n v="412.39"/>
    <s v="Warehouse A"/>
    <x v="262"/>
    <d v="2024-01-21T00:00:00"/>
    <s v="High demand"/>
  </r>
  <r>
    <x v="40"/>
    <x v="0"/>
    <n v="199"/>
    <n v="81"/>
    <x v="0"/>
    <x v="0"/>
    <n v="362.67"/>
    <s v="Warehouse B"/>
    <x v="202"/>
    <d v="2023-04-11T00:00:00"/>
    <s v="High demand"/>
  </r>
  <r>
    <x v="5"/>
    <x v="1"/>
    <n v="90"/>
    <n v="89"/>
    <x v="0"/>
    <x v="0"/>
    <n v="231.25"/>
    <s v="Warehouse A"/>
    <x v="284"/>
    <d v="2023-09-20T00:00:00"/>
    <s v="High demand"/>
  </r>
  <r>
    <x v="32"/>
    <x v="2"/>
    <n v="121"/>
    <n v="94"/>
    <x v="0"/>
    <x v="2"/>
    <n v="344.76"/>
    <s v="Warehouse C"/>
    <x v="13"/>
    <d v="2023-09-24T00:00:00"/>
    <s v="Discontinued"/>
  </r>
  <r>
    <x v="31"/>
    <x v="1"/>
    <n v="52"/>
    <n v="39"/>
    <x v="0"/>
    <x v="1"/>
    <n v="352.17"/>
    <s v="Warehouse A"/>
    <x v="125"/>
    <d v="2023-09-25T00:00:00"/>
    <s v="Discontinued"/>
  </r>
  <r>
    <x v="15"/>
    <x v="4"/>
    <n v="189"/>
    <n v="80"/>
    <x v="0"/>
    <x v="2"/>
    <n v="324.42"/>
    <s v="Warehouse C"/>
    <x v="228"/>
    <d v="2023-09-03T00:00:00"/>
    <s v="Discontinued"/>
  </r>
  <r>
    <x v="43"/>
    <x v="0"/>
    <n v="44"/>
    <n v="94"/>
    <x v="1"/>
    <x v="0"/>
    <n v="338.15"/>
    <s v="Warehouse B"/>
    <x v="285"/>
    <d v="2023-08-13T00:00:00"/>
    <s v="High demand"/>
  </r>
  <r>
    <x v="39"/>
    <x v="1"/>
    <n v="39"/>
    <n v="43"/>
    <x v="1"/>
    <x v="2"/>
    <n v="482.67"/>
    <s v="Warehouse B"/>
    <x v="286"/>
    <d v="2023-03-25T00:00:00"/>
    <s v="Discontinued"/>
  </r>
  <r>
    <x v="5"/>
    <x v="0"/>
    <n v="22"/>
    <n v="39"/>
    <x v="1"/>
    <x v="2"/>
    <n v="118.83"/>
    <s v="Warehouse B"/>
    <x v="132"/>
    <d v="2023-10-07T00:00:00"/>
    <s v="Pending Coastal Logistics Partnersonfirmation"/>
  </r>
  <r>
    <x v="36"/>
    <x v="4"/>
    <n v="199"/>
    <n v="62"/>
    <x v="0"/>
    <x v="0"/>
    <n v="451.85"/>
    <s v="Warehouse C"/>
    <x v="281"/>
    <d v="2023-04-21T00:00:00"/>
    <s v="High demand"/>
  </r>
  <r>
    <x v="16"/>
    <x v="1"/>
    <n v="0"/>
    <n v="37"/>
    <x v="1"/>
    <x v="0"/>
    <n v="188.04"/>
    <s v="Warehouse B"/>
    <x v="140"/>
    <d v="2024-02-15T00:00:00"/>
    <m/>
  </r>
  <r>
    <x v="35"/>
    <x v="1"/>
    <n v="152"/>
    <n v="84"/>
    <x v="0"/>
    <x v="2"/>
    <n v="420.29"/>
    <s v="Warehouse A"/>
    <x v="225"/>
    <d v="2023-04-06T00:00:00"/>
    <s v="Pending Coastal Logistics Partnersonfirmation"/>
  </r>
  <r>
    <x v="41"/>
    <x v="0"/>
    <n v="133"/>
    <n v="32"/>
    <x v="0"/>
    <x v="1"/>
    <n v="276.13"/>
    <s v="Warehouse C"/>
    <x v="287"/>
    <d v="2023-09-29T00:00:00"/>
    <s v="Discontinued"/>
  </r>
  <r>
    <x v="7"/>
    <x v="1"/>
    <n v="123"/>
    <n v="82"/>
    <x v="0"/>
    <x v="0"/>
    <n v="420.82"/>
    <s v="Warehouse A"/>
    <x v="118"/>
    <d v="2023-07-24T00:00:00"/>
    <s v="High demand"/>
  </r>
  <r>
    <x v="11"/>
    <x v="3"/>
    <n v="47"/>
    <n v="21"/>
    <x v="0"/>
    <x v="1"/>
    <n v="124.03"/>
    <s v="Warehouse C"/>
    <x v="45"/>
    <d v="2023-11-23T00:00:00"/>
    <s v="Discontinued"/>
  </r>
  <r>
    <x v="14"/>
    <x v="2"/>
    <n v="157"/>
    <n v="70"/>
    <x v="0"/>
    <x v="1"/>
    <n v="481.17"/>
    <s v="Warehouse C"/>
    <x v="90"/>
    <d v="2023-04-30T00:00:00"/>
    <s v="High demand"/>
  </r>
  <r>
    <x v="34"/>
    <x v="0"/>
    <n v="176"/>
    <n v="25"/>
    <x v="0"/>
    <x v="0"/>
    <n v="499.58"/>
    <s v="Warehouse B"/>
    <x v="288"/>
    <d v="2023-04-22T00:00:00"/>
    <s v="Pending Coastal Logistics Partnersonfirmation"/>
  </r>
  <r>
    <x v="34"/>
    <x v="1"/>
    <n v="147"/>
    <n v="36"/>
    <x v="0"/>
    <x v="0"/>
    <n v="337.34"/>
    <s v="Warehouse C"/>
    <x v="56"/>
    <d v="2023-02-11T00:00:00"/>
    <s v="Pending Coastal Logistics Partnersonfirmation"/>
  </r>
  <r>
    <x v="39"/>
    <x v="0"/>
    <n v="7"/>
    <n v="74"/>
    <x v="1"/>
    <x v="1"/>
    <n v="127.4"/>
    <s v="Warehouse B"/>
    <x v="289"/>
    <d v="2023-11-17T00:00:00"/>
    <s v="Pending Coastal Logistics Partnersonfirmation"/>
  </r>
  <r>
    <x v="35"/>
    <x v="0"/>
    <n v="86"/>
    <n v="49"/>
    <x v="0"/>
    <x v="0"/>
    <n v="248.72"/>
    <s v="Warehouse B"/>
    <x v="5"/>
    <d v="2023-08-18T00:00:00"/>
    <s v="Discontinued"/>
  </r>
  <r>
    <x v="17"/>
    <x v="4"/>
    <n v="160"/>
    <n v="82"/>
    <x v="0"/>
    <x v="0"/>
    <n v="151.11000000000001"/>
    <s v="Warehouse B"/>
    <x v="251"/>
    <d v="2023-06-04T00:00:00"/>
    <s v="Discontinued"/>
  </r>
  <r>
    <x v="19"/>
    <x v="0"/>
    <n v="74"/>
    <n v="93"/>
    <x v="1"/>
    <x v="0"/>
    <n v="148.30000000000001"/>
    <s v="Warehouse C"/>
    <x v="290"/>
    <d v="2023-05-23T00:00:00"/>
    <s v="Pending Coastal Logistics Partnersonfirmation"/>
  </r>
  <r>
    <x v="32"/>
    <x v="3"/>
    <n v="173"/>
    <n v="37"/>
    <x v="0"/>
    <x v="1"/>
    <n v="100.55"/>
    <s v="Warehouse B"/>
    <x v="268"/>
    <d v="2023-04-29T00:00:00"/>
    <s v="Pending Coastal Logistics Partnersonfirmation"/>
  </r>
  <r>
    <x v="33"/>
    <x v="4"/>
    <n v="9"/>
    <n v="60"/>
    <x v="1"/>
    <x v="2"/>
    <n v="36.35"/>
    <s v="Warehouse A"/>
    <x v="291"/>
    <d v="2023-10-28T00:00:00"/>
    <s v="Discontinued"/>
  </r>
  <r>
    <x v="4"/>
    <x v="1"/>
    <n v="112"/>
    <n v="39"/>
    <x v="0"/>
    <x v="2"/>
    <n v="257.92"/>
    <s v="Warehouse A"/>
    <x v="118"/>
    <d v="2023-06-21T00:00:00"/>
    <m/>
  </r>
  <r>
    <x v="35"/>
    <x v="2"/>
    <n v="94"/>
    <n v="79"/>
    <x v="0"/>
    <x v="2"/>
    <n v="129.28"/>
    <s v="Warehouse A"/>
    <x v="247"/>
    <d v="2023-07-06T00:00:00"/>
    <s v="Discontinued"/>
  </r>
  <r>
    <x v="8"/>
    <x v="1"/>
    <n v="45"/>
    <n v="81"/>
    <x v="1"/>
    <x v="0"/>
    <n v="214.37"/>
    <s v="Warehouse A"/>
    <x v="188"/>
    <d v="2023-11-12T00:00:00"/>
    <s v="Pending Coastal Logistics Partnersonfirmation"/>
  </r>
  <r>
    <x v="35"/>
    <x v="1"/>
    <n v="138"/>
    <n v="43"/>
    <x v="0"/>
    <x v="0"/>
    <n v="289.82"/>
    <s v="Warehouse C"/>
    <x v="243"/>
    <d v="2023-10-21T00:00:00"/>
    <m/>
  </r>
  <r>
    <x v="49"/>
    <x v="1"/>
    <n v="80"/>
    <n v="93"/>
    <x v="1"/>
    <x v="1"/>
    <n v="411.48"/>
    <s v="Warehouse B"/>
    <x v="53"/>
    <d v="2023-11-23T00:00:00"/>
    <s v="Pending Coastal Logistics Partnersonfirmation"/>
  </r>
  <r>
    <x v="6"/>
    <x v="1"/>
    <n v="33"/>
    <n v="42"/>
    <x v="1"/>
    <x v="2"/>
    <n v="52.71"/>
    <s v="Warehouse A"/>
    <x v="18"/>
    <d v="2023-07-02T00:00:00"/>
    <s v="High demand"/>
  </r>
  <r>
    <x v="25"/>
    <x v="2"/>
    <n v="72"/>
    <n v="65"/>
    <x v="0"/>
    <x v="2"/>
    <n v="453.97"/>
    <s v="Warehouse C"/>
    <x v="174"/>
    <d v="2024-02-09T00:00:00"/>
    <s v="Discontinued"/>
  </r>
  <r>
    <x v="44"/>
    <x v="4"/>
    <n v="3"/>
    <n v="26"/>
    <x v="1"/>
    <x v="1"/>
    <n v="365.66"/>
    <s v="Warehouse B"/>
    <x v="246"/>
    <d v="2023-11-30T00:00:00"/>
    <m/>
  </r>
  <r>
    <x v="8"/>
    <x v="4"/>
    <n v="69"/>
    <n v="56"/>
    <x v="0"/>
    <x v="0"/>
    <n v="367.41"/>
    <s v="Warehouse C"/>
    <x v="155"/>
    <d v="2023-09-16T00:00:00"/>
    <s v="Discontinued"/>
  </r>
  <r>
    <x v="37"/>
    <x v="3"/>
    <n v="75"/>
    <n v="44"/>
    <x v="0"/>
    <x v="1"/>
    <n v="458.69"/>
    <s v="Warehouse A"/>
    <x v="112"/>
    <d v="2023-08-09T00:00:00"/>
    <s v="Pending Coastal Logistics Partnersonfirmation"/>
  </r>
  <r>
    <x v="26"/>
    <x v="4"/>
    <n v="134"/>
    <n v="47"/>
    <x v="0"/>
    <x v="0"/>
    <n v="149.74"/>
    <s v="Warehouse B"/>
    <x v="47"/>
    <d v="2024-02-08T00:00:00"/>
    <s v="Discontinued"/>
  </r>
  <r>
    <x v="20"/>
    <x v="4"/>
    <n v="161"/>
    <n v="78"/>
    <x v="0"/>
    <x v="2"/>
    <n v="222.96"/>
    <s v="Warehouse B"/>
    <x v="171"/>
    <d v="2023-06-04T00:00:00"/>
    <s v="Pending Coastal Logistics Partnersonfirmation"/>
  </r>
  <r>
    <x v="17"/>
    <x v="0"/>
    <n v="147"/>
    <n v="42"/>
    <x v="0"/>
    <x v="2"/>
    <n v="149.66999999999999"/>
    <s v="Warehouse B"/>
    <x v="23"/>
    <d v="2023-06-06T00:00:00"/>
    <s v="High demand"/>
  </r>
  <r>
    <x v="46"/>
    <x v="3"/>
    <n v="179"/>
    <n v="44"/>
    <x v="0"/>
    <x v="1"/>
    <n v="132.47999999999999"/>
    <s v="Warehouse A"/>
    <x v="152"/>
    <d v="2024-02-11T00:00:00"/>
    <m/>
  </r>
  <r>
    <x v="12"/>
    <x v="0"/>
    <n v="161"/>
    <n v="97"/>
    <x v="0"/>
    <x v="0"/>
    <n v="87.74"/>
    <s v="Warehouse C"/>
    <x v="292"/>
    <d v="2024-01-03T00:00:00"/>
    <s v="Discontinued"/>
  </r>
  <r>
    <x v="42"/>
    <x v="2"/>
    <n v="118"/>
    <n v="41"/>
    <x v="0"/>
    <x v="0"/>
    <n v="386.06"/>
    <s v="Warehouse C"/>
    <x v="97"/>
    <d v="2023-09-10T00:00:00"/>
    <s v="Discontinued"/>
  </r>
  <r>
    <x v="45"/>
    <x v="1"/>
    <n v="146"/>
    <n v="74"/>
    <x v="0"/>
    <x v="2"/>
    <n v="287.58"/>
    <s v="Warehouse C"/>
    <x v="3"/>
    <d v="2023-08-11T00:00:00"/>
    <s v="Pending Coastal Logistics Partnersonfirmation"/>
  </r>
  <r>
    <x v="7"/>
    <x v="0"/>
    <n v="81"/>
    <n v="95"/>
    <x v="1"/>
    <x v="1"/>
    <n v="375.62"/>
    <s v="Warehouse A"/>
    <x v="148"/>
    <d v="2023-08-21T00:00:00"/>
    <s v="High demand"/>
  </r>
  <r>
    <x v="8"/>
    <x v="0"/>
    <n v="37"/>
    <n v="35"/>
    <x v="0"/>
    <x v="0"/>
    <n v="300.32"/>
    <s v="Warehouse C"/>
    <x v="245"/>
    <d v="2023-03-11T00:00:00"/>
    <s v="Pending Coastal Logistics Partnersonfirmation"/>
  </r>
  <r>
    <x v="48"/>
    <x v="2"/>
    <n v="99"/>
    <n v="87"/>
    <x v="0"/>
    <x v="0"/>
    <n v="370.57"/>
    <s v="Warehouse C"/>
    <x v="200"/>
    <d v="2023-12-28T00:00:00"/>
    <m/>
  </r>
  <r>
    <x v="25"/>
    <x v="2"/>
    <n v="153"/>
    <n v="92"/>
    <x v="0"/>
    <x v="1"/>
    <n v="145.26"/>
    <s v="Warehouse A"/>
    <x v="69"/>
    <d v="2023-05-28T00:00:00"/>
    <m/>
  </r>
  <r>
    <x v="41"/>
    <x v="4"/>
    <n v="55"/>
    <n v="41"/>
    <x v="0"/>
    <x v="1"/>
    <n v="144.25"/>
    <s v="Warehouse A"/>
    <x v="55"/>
    <d v="2023-04-04T00:00:00"/>
    <s v="Discontinued"/>
  </r>
  <r>
    <x v="2"/>
    <x v="0"/>
    <n v="71"/>
    <n v="71"/>
    <x v="0"/>
    <x v="1"/>
    <n v="459.01"/>
    <s v="Warehouse C"/>
    <x v="41"/>
    <d v="2023-03-27T00:00:00"/>
    <s v="High demand"/>
  </r>
  <r>
    <x v="38"/>
    <x v="0"/>
    <n v="198"/>
    <n v="41"/>
    <x v="0"/>
    <x v="0"/>
    <n v="160.47999999999999"/>
    <s v="Warehouse C"/>
    <x v="109"/>
    <d v="2023-04-27T00:00:00"/>
    <s v="High demand"/>
  </r>
  <r>
    <x v="17"/>
    <x v="4"/>
    <n v="141"/>
    <n v="84"/>
    <x v="0"/>
    <x v="1"/>
    <n v="198.8"/>
    <s v="Warehouse A"/>
    <x v="53"/>
    <d v="2023-11-23T00:00:00"/>
    <s v="Pending Coastal Logistics Partnersonfirmation"/>
  </r>
  <r>
    <x v="2"/>
    <x v="2"/>
    <n v="153"/>
    <n v="60"/>
    <x v="0"/>
    <x v="0"/>
    <n v="334.15"/>
    <s v="Warehouse C"/>
    <x v="148"/>
    <d v="2023-08-16T00:00:00"/>
    <s v="Discontinued"/>
  </r>
  <r>
    <x v="49"/>
    <x v="0"/>
    <n v="105"/>
    <n v="74"/>
    <x v="0"/>
    <x v="1"/>
    <n v="170.21"/>
    <s v="Warehouse A"/>
    <x v="75"/>
    <d v="2023-12-26T00:00:00"/>
    <s v="Pending Coastal Logistics Partnersonfirmation"/>
  </r>
  <r>
    <x v="11"/>
    <x v="4"/>
    <n v="37"/>
    <n v="52"/>
    <x v="1"/>
    <x v="1"/>
    <n v="491.16"/>
    <s v="Warehouse A"/>
    <x v="60"/>
    <d v="2023-04-21T00:00:00"/>
    <s v="Discontinued"/>
  </r>
  <r>
    <x v="45"/>
    <x v="1"/>
    <n v="70"/>
    <n v="51"/>
    <x v="0"/>
    <x v="1"/>
    <n v="346.74"/>
    <s v="Warehouse B"/>
    <x v="113"/>
    <d v="2023-12-10T00:00:00"/>
    <s v="Pending Coastal Logistics Partnersonfirmation"/>
  </r>
  <r>
    <x v="18"/>
    <x v="0"/>
    <n v="118"/>
    <n v="97"/>
    <x v="0"/>
    <x v="0"/>
    <n v="150.16"/>
    <s v="Warehouse B"/>
    <x v="289"/>
    <d v="2023-11-13T00:00:00"/>
    <s v="High demand"/>
  </r>
  <r>
    <x v="6"/>
    <x v="4"/>
    <n v="158"/>
    <n v="93"/>
    <x v="0"/>
    <x v="1"/>
    <n v="202.62"/>
    <s v="Warehouse B"/>
    <x v="78"/>
    <d v="2023-12-14T00:00:00"/>
    <s v="Discontinued"/>
  </r>
  <r>
    <x v="45"/>
    <x v="1"/>
    <n v="24"/>
    <n v="77"/>
    <x v="1"/>
    <x v="2"/>
    <n v="161.91999999999999"/>
    <s v="Warehouse A"/>
    <x v="83"/>
    <d v="2023-05-23T00:00:00"/>
    <m/>
  </r>
  <r>
    <x v="47"/>
    <x v="4"/>
    <n v="117"/>
    <n v="89"/>
    <x v="0"/>
    <x v="1"/>
    <n v="484"/>
    <s v="Warehouse C"/>
    <x v="98"/>
    <d v="2023-09-01T00:00:00"/>
    <s v="Discontinued"/>
  </r>
  <r>
    <x v="31"/>
    <x v="1"/>
    <n v="114"/>
    <n v="42"/>
    <x v="0"/>
    <x v="1"/>
    <n v="217.69"/>
    <s v="Warehouse A"/>
    <x v="89"/>
    <d v="2023-08-06T00:00:00"/>
    <s v="Pending Coastal Logistics Partnersonfirmation"/>
  </r>
  <r>
    <x v="35"/>
    <x v="3"/>
    <n v="16"/>
    <n v="88"/>
    <x v="1"/>
    <x v="2"/>
    <n v="186.8"/>
    <s v="Warehouse C"/>
    <x v="293"/>
    <d v="2024-01-19T00:00:00"/>
    <s v="Pending Coastal Logistics Partnersonfirmation"/>
  </r>
  <r>
    <x v="16"/>
    <x v="3"/>
    <n v="25"/>
    <n v="86"/>
    <x v="1"/>
    <x v="0"/>
    <n v="100.27"/>
    <s v="Warehouse C"/>
    <x v="269"/>
    <d v="2023-11-04T00:00:00"/>
    <s v="Discontinued"/>
  </r>
  <r>
    <x v="22"/>
    <x v="4"/>
    <n v="40"/>
    <n v="80"/>
    <x v="1"/>
    <x v="0"/>
    <n v="116.33"/>
    <s v="Warehouse C"/>
    <x v="294"/>
    <d v="2023-06-26T00:00:00"/>
    <s v="Discontinued"/>
  </r>
  <r>
    <x v="30"/>
    <x v="0"/>
    <n v="97"/>
    <n v="20"/>
    <x v="0"/>
    <x v="0"/>
    <n v="251.26"/>
    <s v="Warehouse A"/>
    <x v="260"/>
    <d v="2023-07-17T00:00:00"/>
    <s v="Discontinued"/>
  </r>
  <r>
    <x v="21"/>
    <x v="3"/>
    <n v="173"/>
    <n v="86"/>
    <x v="0"/>
    <x v="1"/>
    <n v="387.9"/>
    <s v="Warehouse C"/>
    <x v="282"/>
    <d v="2023-11-22T00:00:00"/>
    <s v="Pending Coastal Logistics Partnersonfirmation"/>
  </r>
  <r>
    <x v="32"/>
    <x v="3"/>
    <n v="174"/>
    <n v="85"/>
    <x v="0"/>
    <x v="2"/>
    <n v="222.72"/>
    <s v="Warehouse A"/>
    <x v="63"/>
    <d v="2023-06-19T00:00:00"/>
    <s v="Pending Coastal Logistics Partnersonfirmation"/>
  </r>
  <r>
    <x v="0"/>
    <x v="2"/>
    <n v="157"/>
    <n v="59"/>
    <x v="0"/>
    <x v="0"/>
    <n v="213.98"/>
    <s v="Warehouse A"/>
    <x v="125"/>
    <d v="2023-08-25T00:00:00"/>
    <s v="Discontinued"/>
  </r>
  <r>
    <x v="2"/>
    <x v="4"/>
    <n v="44"/>
    <n v="26"/>
    <x v="0"/>
    <x v="0"/>
    <n v="150.54"/>
    <s v="Warehouse A"/>
    <x v="94"/>
    <d v="2023-03-24T00:00:00"/>
    <s v="High demand"/>
  </r>
  <r>
    <x v="21"/>
    <x v="0"/>
    <n v="56"/>
    <n v="77"/>
    <x v="1"/>
    <x v="0"/>
    <n v="297.51"/>
    <s v="Warehouse C"/>
    <x v="91"/>
    <d v="2023-12-17T00:00:00"/>
    <s v="High demand"/>
  </r>
  <r>
    <x v="49"/>
    <x v="4"/>
    <n v="150"/>
    <n v="85"/>
    <x v="0"/>
    <x v="1"/>
    <n v="476.25"/>
    <s v="Warehouse C"/>
    <x v="236"/>
    <d v="2023-07-17T00:00:00"/>
    <s v="High demand"/>
  </r>
  <r>
    <x v="33"/>
    <x v="3"/>
    <n v="74"/>
    <n v="34"/>
    <x v="0"/>
    <x v="1"/>
    <n v="491.53"/>
    <s v="Warehouse A"/>
    <x v="249"/>
    <d v="2023-10-24T00:00:00"/>
    <s v="Pending Coastal Logistics Partnersonfirmation"/>
  </r>
  <r>
    <x v="31"/>
    <x v="0"/>
    <n v="76"/>
    <n v="69"/>
    <x v="0"/>
    <x v="0"/>
    <n v="235.93"/>
    <s v="Warehouse B"/>
    <x v="21"/>
    <d v="2024-03-04T00:00:00"/>
    <s v="High demand"/>
  </r>
  <r>
    <x v="21"/>
    <x v="4"/>
    <n v="196"/>
    <n v="56"/>
    <x v="0"/>
    <x v="1"/>
    <n v="313.44"/>
    <s v="Warehouse A"/>
    <x v="242"/>
    <d v="2023-07-10T00:00:00"/>
    <m/>
  </r>
  <r>
    <x v="3"/>
    <x v="3"/>
    <n v="163"/>
    <n v="88"/>
    <x v="0"/>
    <x v="0"/>
    <n v="49.4"/>
    <s v="Warehouse C"/>
    <x v="92"/>
    <d v="2023-03-15T00:00:00"/>
    <s v="High demand"/>
  </r>
  <r>
    <x v="6"/>
    <x v="2"/>
    <n v="195"/>
    <n v="27"/>
    <x v="0"/>
    <x v="1"/>
    <n v="296.05"/>
    <s v="Warehouse C"/>
    <x v="205"/>
    <d v="2024-01-29T00:00:00"/>
    <m/>
  </r>
  <r>
    <x v="1"/>
    <x v="2"/>
    <n v="19"/>
    <n v="52"/>
    <x v="1"/>
    <x v="2"/>
    <n v="453.31"/>
    <s v="Warehouse C"/>
    <x v="295"/>
    <d v="2023-11-25T00:00:00"/>
    <s v="Discontinued"/>
  </r>
  <r>
    <x v="12"/>
    <x v="3"/>
    <n v="53"/>
    <n v="41"/>
    <x v="0"/>
    <x v="2"/>
    <n v="398.73"/>
    <s v="Warehouse B"/>
    <x v="296"/>
    <d v="2023-09-06T00:00:00"/>
    <m/>
  </r>
  <r>
    <x v="36"/>
    <x v="2"/>
    <n v="47"/>
    <n v="78"/>
    <x v="1"/>
    <x v="0"/>
    <n v="431"/>
    <s v="Warehouse C"/>
    <x v="297"/>
    <d v="2023-07-04T00:00:00"/>
    <s v="Pending Coastal Logistics Partnersonfirmation"/>
  </r>
  <r>
    <x v="30"/>
    <x v="4"/>
    <n v="5"/>
    <n v="77"/>
    <x v="1"/>
    <x v="2"/>
    <n v="37.74"/>
    <s v="Warehouse C"/>
    <x v="291"/>
    <d v="2023-10-10T00:00:00"/>
    <s v="Discontinued"/>
  </r>
  <r>
    <x v="6"/>
    <x v="1"/>
    <n v="138"/>
    <n v="30"/>
    <x v="0"/>
    <x v="0"/>
    <n v="354.3"/>
    <s v="Warehouse B"/>
    <x v="233"/>
    <d v="2024-01-30T00:00:00"/>
    <s v="Pending Coastal Logistics Partnersonfirmation"/>
  </r>
  <r>
    <x v="9"/>
    <x v="4"/>
    <n v="117"/>
    <n v="87"/>
    <x v="0"/>
    <x v="1"/>
    <n v="412.26"/>
    <s v="Warehouse A"/>
    <x v="251"/>
    <d v="2023-04-29T00:00:00"/>
    <m/>
  </r>
  <r>
    <x v="42"/>
    <x v="0"/>
    <n v="186"/>
    <n v="20"/>
    <x v="0"/>
    <x v="1"/>
    <n v="32.36"/>
    <s v="Warehouse A"/>
    <x v="26"/>
    <d v="2023-10-21T00:00:00"/>
    <s v="Discontinued"/>
  </r>
  <r>
    <x v="18"/>
    <x v="4"/>
    <n v="119"/>
    <n v="68"/>
    <x v="0"/>
    <x v="2"/>
    <n v="478.37"/>
    <s v="Warehouse B"/>
    <x v="229"/>
    <d v="2023-05-21T00:00:00"/>
    <s v="Discontinued"/>
  </r>
  <r>
    <x v="27"/>
    <x v="2"/>
    <n v="121"/>
    <n v="38"/>
    <x v="0"/>
    <x v="0"/>
    <n v="368.77"/>
    <s v="Warehouse A"/>
    <x v="247"/>
    <d v="2023-07-22T00:00:00"/>
    <s v="Discontinued"/>
  </r>
  <r>
    <x v="27"/>
    <x v="4"/>
    <n v="9"/>
    <n v="39"/>
    <x v="1"/>
    <x v="0"/>
    <n v="100.74"/>
    <s v="Warehouse B"/>
    <x v="228"/>
    <d v="2023-07-10T00:00:00"/>
    <s v="Discontinued"/>
  </r>
  <r>
    <x v="21"/>
    <x v="1"/>
    <n v="102"/>
    <n v="63"/>
    <x v="0"/>
    <x v="0"/>
    <n v="223.42"/>
    <s v="Warehouse B"/>
    <x v="264"/>
    <d v="2023-11-27T00:00:00"/>
    <s v="High demand"/>
  </r>
  <r>
    <x v="22"/>
    <x v="3"/>
    <n v="65"/>
    <n v="30"/>
    <x v="0"/>
    <x v="0"/>
    <n v="324.35000000000002"/>
    <s v="Warehouse B"/>
    <x v="291"/>
    <d v="2023-09-08T00:00:00"/>
    <s v="Discontinued"/>
  </r>
  <r>
    <x v="47"/>
    <x v="4"/>
    <n v="117"/>
    <n v="31"/>
    <x v="0"/>
    <x v="2"/>
    <n v="444.93"/>
    <s v="Warehouse B"/>
    <x v="110"/>
    <d v="2023-07-03T00:00:00"/>
    <m/>
  </r>
  <r>
    <x v="29"/>
    <x v="1"/>
    <n v="53"/>
    <n v="72"/>
    <x v="1"/>
    <x v="2"/>
    <n v="472.46"/>
    <s v="Warehouse C"/>
    <x v="108"/>
    <d v="2023-08-06T00:00:00"/>
    <s v="High demand"/>
  </r>
  <r>
    <x v="26"/>
    <x v="1"/>
    <n v="5"/>
    <n v="39"/>
    <x v="1"/>
    <x v="2"/>
    <n v="150.83000000000001"/>
    <s v="Warehouse A"/>
    <x v="61"/>
    <d v="2023-09-27T00:00:00"/>
    <m/>
  </r>
  <r>
    <x v="0"/>
    <x v="0"/>
    <n v="59"/>
    <n v="41"/>
    <x v="0"/>
    <x v="0"/>
    <n v="391.71"/>
    <s v="Warehouse A"/>
    <x v="213"/>
    <d v="2023-12-25T00:00:00"/>
    <s v="High demand"/>
  </r>
  <r>
    <x v="10"/>
    <x v="0"/>
    <n v="11"/>
    <n v="62"/>
    <x v="1"/>
    <x v="0"/>
    <n v="364.11"/>
    <s v="Warehouse C"/>
    <x v="60"/>
    <d v="2023-03-21T00:00:00"/>
    <s v="Discontinued"/>
  </r>
  <r>
    <x v="27"/>
    <x v="2"/>
    <n v="96"/>
    <n v="29"/>
    <x v="0"/>
    <x v="2"/>
    <n v="229.38"/>
    <s v="Warehouse C"/>
    <x v="192"/>
    <d v="2023-10-21T00:00:00"/>
    <s v="Discontinued"/>
  </r>
  <r>
    <x v="48"/>
    <x v="4"/>
    <n v="166"/>
    <n v="26"/>
    <x v="0"/>
    <x v="0"/>
    <n v="378.64"/>
    <s v="Warehouse B"/>
    <x v="298"/>
    <d v="2023-03-29T00:00:00"/>
    <s v="Pending Coastal Logistics Partnersonfirmation"/>
  </r>
  <r>
    <x v="32"/>
    <x v="2"/>
    <n v="107"/>
    <n v="92"/>
    <x v="0"/>
    <x v="1"/>
    <n v="175.75"/>
    <s v="Warehouse A"/>
    <x v="198"/>
    <d v="2023-11-02T00:00:00"/>
    <m/>
  </r>
  <r>
    <x v="37"/>
    <x v="4"/>
    <n v="115"/>
    <n v="50"/>
    <x v="0"/>
    <x v="0"/>
    <n v="471.23"/>
    <s v="Warehouse C"/>
    <x v="282"/>
    <d v="2023-11-24T00:00:00"/>
    <m/>
  </r>
  <r>
    <x v="13"/>
    <x v="0"/>
    <n v="91"/>
    <n v="20"/>
    <x v="0"/>
    <x v="0"/>
    <n v="76.31"/>
    <s v="Warehouse A"/>
    <x v="299"/>
    <d v="2023-02-09T00:00:00"/>
    <s v="Discontinued"/>
  </r>
  <r>
    <x v="21"/>
    <x v="3"/>
    <n v="152"/>
    <n v="95"/>
    <x v="0"/>
    <x v="0"/>
    <n v="445.19"/>
    <s v="Warehouse B"/>
    <x v="227"/>
    <d v="2023-09-11T00:00:00"/>
    <s v="Pending Coastal Logistics Partnersonfirmation"/>
  </r>
  <r>
    <x v="42"/>
    <x v="0"/>
    <n v="176"/>
    <n v="54"/>
    <x v="0"/>
    <x v="2"/>
    <n v="392.44"/>
    <s v="Warehouse A"/>
    <x v="257"/>
    <d v="2024-02-23T00:00:00"/>
    <s v="Pending Coastal Logistics Partnersonfirmation"/>
  </r>
  <r>
    <x v="42"/>
    <x v="3"/>
    <n v="91"/>
    <n v="38"/>
    <x v="0"/>
    <x v="2"/>
    <n v="407.56"/>
    <s v="Warehouse C"/>
    <x v="300"/>
    <d v="2023-05-14T00:00:00"/>
    <s v="Discontinued"/>
  </r>
  <r>
    <x v="44"/>
    <x v="0"/>
    <n v="162"/>
    <n v="81"/>
    <x v="0"/>
    <x v="2"/>
    <n v="495.59"/>
    <s v="Warehouse A"/>
    <x v="174"/>
    <d v="2024-01-08T00:00:00"/>
    <m/>
  </r>
  <r>
    <x v="15"/>
    <x v="0"/>
    <n v="38"/>
    <n v="61"/>
    <x v="1"/>
    <x v="2"/>
    <n v="72.66"/>
    <s v="Warehouse A"/>
    <x v="213"/>
    <d v="2024-03-06T00:00:00"/>
    <m/>
  </r>
  <r>
    <x v="40"/>
    <x v="1"/>
    <n v="33"/>
    <n v="36"/>
    <x v="1"/>
    <x v="1"/>
    <n v="187.22"/>
    <s v="Warehouse A"/>
    <x v="244"/>
    <d v="2023-12-11T00:00:00"/>
    <s v="Pending Coastal Logistics Partnersonfirmation"/>
  </r>
  <r>
    <x v="7"/>
    <x v="3"/>
    <n v="40"/>
    <n v="35"/>
    <x v="0"/>
    <x v="0"/>
    <n v="116.44"/>
    <s v="Warehouse C"/>
    <x v="192"/>
    <d v="2023-11-25T00:00:00"/>
    <m/>
  </r>
  <r>
    <x v="31"/>
    <x v="2"/>
    <n v="117"/>
    <n v="73"/>
    <x v="0"/>
    <x v="0"/>
    <n v="18.03"/>
    <s v="Warehouse A"/>
    <x v="267"/>
    <d v="2023-10-14T00:00:00"/>
    <s v="Discontinued"/>
  </r>
  <r>
    <x v="18"/>
    <x v="4"/>
    <n v="123"/>
    <n v="91"/>
    <x v="0"/>
    <x v="2"/>
    <n v="344.52"/>
    <s v="Warehouse B"/>
    <x v="24"/>
    <d v="2023-11-13T00:00:00"/>
    <s v="High demand"/>
  </r>
  <r>
    <x v="49"/>
    <x v="2"/>
    <n v="97"/>
    <n v="99"/>
    <x v="1"/>
    <x v="2"/>
    <n v="299.08"/>
    <s v="Warehouse C"/>
    <x v="134"/>
    <d v="2023-04-01T00:00:00"/>
    <m/>
  </r>
  <r>
    <x v="0"/>
    <x v="4"/>
    <n v="174"/>
    <n v="55"/>
    <x v="0"/>
    <x v="2"/>
    <n v="365.28"/>
    <s v="Warehouse A"/>
    <x v="221"/>
    <d v="2023-09-20T00:00:00"/>
    <m/>
  </r>
  <r>
    <x v="30"/>
    <x v="1"/>
    <n v="62"/>
    <n v="69"/>
    <x v="1"/>
    <x v="0"/>
    <n v="324.61"/>
    <s v="Warehouse B"/>
    <x v="44"/>
    <d v="2023-08-13T00:00:00"/>
    <m/>
  </r>
  <r>
    <x v="4"/>
    <x v="3"/>
    <n v="155"/>
    <n v="72"/>
    <x v="0"/>
    <x v="2"/>
    <n v="187.2"/>
    <s v="Warehouse A"/>
    <x v="301"/>
    <d v="2023-10-01T00:00:00"/>
    <m/>
  </r>
  <r>
    <x v="37"/>
    <x v="4"/>
    <n v="64"/>
    <n v="38"/>
    <x v="0"/>
    <x v="0"/>
    <n v="343.62"/>
    <s v="Warehouse C"/>
    <x v="189"/>
    <d v="2023-11-01T00:00:00"/>
    <s v="High demand"/>
  </r>
  <r>
    <x v="4"/>
    <x v="0"/>
    <n v="64"/>
    <n v="82"/>
    <x v="1"/>
    <x v="2"/>
    <n v="392.29"/>
    <s v="Warehouse B"/>
    <x v="36"/>
    <d v="2023-08-18T00:00:00"/>
    <s v="Pending Coastal Logistics Partnersonfirmation"/>
  </r>
  <r>
    <x v="46"/>
    <x v="4"/>
    <n v="45"/>
    <n v="41"/>
    <x v="0"/>
    <x v="0"/>
    <n v="94.43"/>
    <s v="Warehouse B"/>
    <x v="194"/>
    <d v="2023-03-07T00:00:00"/>
    <m/>
  </r>
  <r>
    <x v="8"/>
    <x v="0"/>
    <n v="1"/>
    <n v="54"/>
    <x v="1"/>
    <x v="1"/>
    <n v="329.37"/>
    <s v="Warehouse C"/>
    <x v="221"/>
    <d v="2023-08-10T00:00:00"/>
    <m/>
  </r>
  <r>
    <x v="34"/>
    <x v="1"/>
    <n v="13"/>
    <n v="25"/>
    <x v="1"/>
    <x v="0"/>
    <n v="330.36"/>
    <s v="Warehouse B"/>
    <x v="302"/>
    <d v="2023-08-02T00:00:00"/>
    <s v="High demand"/>
  </r>
  <r>
    <x v="17"/>
    <x v="3"/>
    <n v="53"/>
    <n v="48"/>
    <x v="0"/>
    <x v="1"/>
    <n v="280.72000000000003"/>
    <s v="Warehouse B"/>
    <x v="167"/>
    <d v="2023-04-04T00:00:00"/>
    <m/>
  </r>
  <r>
    <x v="29"/>
    <x v="1"/>
    <n v="99"/>
    <n v="23"/>
    <x v="0"/>
    <x v="1"/>
    <n v="459.71"/>
    <s v="Warehouse C"/>
    <x v="303"/>
    <d v="2023-08-31T00:00:00"/>
    <s v="Pending Coastal Logistics Partnersonfirmation"/>
  </r>
  <r>
    <x v="30"/>
    <x v="2"/>
    <n v="174"/>
    <n v="89"/>
    <x v="0"/>
    <x v="2"/>
    <n v="422.85"/>
    <s v="Warehouse A"/>
    <x v="26"/>
    <d v="2023-11-27T00:00:00"/>
    <s v="Discontinued"/>
  </r>
  <r>
    <x v="31"/>
    <x v="2"/>
    <n v="107"/>
    <n v="35"/>
    <x v="0"/>
    <x v="1"/>
    <n v="431.52"/>
    <s v="Warehouse B"/>
    <x v="65"/>
    <d v="2024-01-03T00:00:00"/>
    <s v="Pending Coastal Logistics Partnersonfirmation"/>
  </r>
  <r>
    <x v="44"/>
    <x v="2"/>
    <n v="82"/>
    <n v="43"/>
    <x v="0"/>
    <x v="0"/>
    <n v="490.9"/>
    <s v="Warehouse B"/>
    <x v="259"/>
    <d v="2023-10-06T00:00:00"/>
    <m/>
  </r>
  <r>
    <x v="9"/>
    <x v="0"/>
    <n v="192"/>
    <n v="97"/>
    <x v="0"/>
    <x v="0"/>
    <n v="18.84"/>
    <s v="Warehouse B"/>
    <x v="128"/>
    <d v="2023-06-14T00:00:00"/>
    <s v="High demand"/>
  </r>
  <r>
    <x v="14"/>
    <x v="3"/>
    <n v="139"/>
    <n v="29"/>
    <x v="0"/>
    <x v="0"/>
    <n v="64.040000000000006"/>
    <s v="Warehouse B"/>
    <x v="168"/>
    <d v="2023-11-03T00:00:00"/>
    <s v="Discontinued"/>
  </r>
  <r>
    <x v="12"/>
    <x v="2"/>
    <n v="190"/>
    <n v="26"/>
    <x v="0"/>
    <x v="0"/>
    <n v="362.27"/>
    <s v="Warehouse A"/>
    <x v="278"/>
    <d v="2023-04-13T00:00:00"/>
    <s v="Pending Coastal Logistics Partnersonfirmation"/>
  </r>
  <r>
    <x v="10"/>
    <x v="3"/>
    <n v="198"/>
    <n v="52"/>
    <x v="0"/>
    <x v="2"/>
    <n v="326.04000000000002"/>
    <s v="Warehouse B"/>
    <x v="53"/>
    <d v="2023-12-11T00:00:00"/>
    <m/>
  </r>
  <r>
    <x v="39"/>
    <x v="3"/>
    <n v="56"/>
    <n v="36"/>
    <x v="0"/>
    <x v="2"/>
    <n v="459.51"/>
    <s v="Warehouse B"/>
    <x v="78"/>
    <d v="2024-01-24T00:00:00"/>
    <s v="Pending Coastal Logistics Partnersonfirmation"/>
  </r>
  <r>
    <x v="49"/>
    <x v="3"/>
    <n v="123"/>
    <n v="64"/>
    <x v="0"/>
    <x v="0"/>
    <n v="432.17"/>
    <s v="Warehouse B"/>
    <x v="110"/>
    <d v="2023-06-09T00:00:00"/>
    <s v="High demand"/>
  </r>
  <r>
    <x v="42"/>
    <x v="1"/>
    <n v="79"/>
    <n v="21"/>
    <x v="0"/>
    <x v="1"/>
    <n v="250.24"/>
    <s v="Warehouse A"/>
    <x v="201"/>
    <d v="2023-04-23T00:00:00"/>
    <s v="Discontinued"/>
  </r>
  <r>
    <x v="9"/>
    <x v="0"/>
    <n v="39"/>
    <n v="50"/>
    <x v="1"/>
    <x v="1"/>
    <n v="487.12"/>
    <s v="Warehouse B"/>
    <x v="61"/>
    <d v="2023-10-19T00:00:00"/>
    <s v="High demand"/>
  </r>
  <r>
    <x v="12"/>
    <x v="0"/>
    <n v="157"/>
    <n v="40"/>
    <x v="0"/>
    <x v="0"/>
    <n v="385.76"/>
    <s v="Warehouse C"/>
    <x v="163"/>
    <d v="2023-12-09T00:00:00"/>
    <s v="High demand"/>
  </r>
  <r>
    <x v="25"/>
    <x v="2"/>
    <n v="120"/>
    <n v="49"/>
    <x v="0"/>
    <x v="1"/>
    <n v="297.07"/>
    <s v="Warehouse C"/>
    <x v="55"/>
    <d v="2023-04-29T00:00:00"/>
    <s v="Discontinued"/>
  </r>
  <r>
    <x v="29"/>
    <x v="1"/>
    <n v="37"/>
    <n v="26"/>
    <x v="0"/>
    <x v="2"/>
    <n v="252.95"/>
    <s v="Warehouse C"/>
    <x v="72"/>
    <d v="2023-05-10T00:00:00"/>
    <m/>
  </r>
  <r>
    <x v="12"/>
    <x v="3"/>
    <n v="20"/>
    <n v="74"/>
    <x v="1"/>
    <x v="1"/>
    <n v="257.12"/>
    <s v="Warehouse C"/>
    <x v="137"/>
    <d v="2023-12-11T00:00:00"/>
    <s v="Discontinued"/>
  </r>
  <r>
    <x v="2"/>
    <x v="4"/>
    <n v="128"/>
    <n v="30"/>
    <x v="0"/>
    <x v="0"/>
    <n v="375.73"/>
    <s v="Warehouse A"/>
    <x v="204"/>
    <d v="2023-06-26T00:00:00"/>
    <s v="Discontinued"/>
  </r>
  <r>
    <x v="44"/>
    <x v="0"/>
    <n v="151"/>
    <n v="74"/>
    <x v="0"/>
    <x v="2"/>
    <n v="31.41"/>
    <s v="Warehouse B"/>
    <x v="304"/>
    <d v="2023-06-12T00:00:00"/>
    <s v="High demand"/>
  </r>
  <r>
    <x v="29"/>
    <x v="1"/>
    <n v="167"/>
    <n v="32"/>
    <x v="0"/>
    <x v="0"/>
    <n v="424.49"/>
    <s v="Warehouse A"/>
    <x v="181"/>
    <d v="2023-10-10T00:00:00"/>
    <s v="Discontinued"/>
  </r>
  <r>
    <x v="26"/>
    <x v="0"/>
    <n v="15"/>
    <n v="66"/>
    <x v="1"/>
    <x v="2"/>
    <n v="76.87"/>
    <s v="Warehouse C"/>
    <x v="44"/>
    <d v="2023-08-16T00:00:00"/>
    <s v="Discontinued"/>
  </r>
  <r>
    <x v="22"/>
    <x v="0"/>
    <n v="113"/>
    <n v="70"/>
    <x v="0"/>
    <x v="1"/>
    <n v="174.03"/>
    <s v="Warehouse C"/>
    <x v="201"/>
    <d v="2023-04-30T00:00:00"/>
    <s v="High demand"/>
  </r>
  <r>
    <x v="25"/>
    <x v="3"/>
    <n v="101"/>
    <n v="90"/>
    <x v="0"/>
    <x v="2"/>
    <n v="302.33"/>
    <s v="Warehouse A"/>
    <x v="305"/>
    <d v="2023-07-25T00:00:00"/>
    <m/>
  </r>
  <r>
    <x v="31"/>
    <x v="0"/>
    <n v="47"/>
    <n v="56"/>
    <x v="1"/>
    <x v="0"/>
    <n v="353.47"/>
    <s v="Warehouse A"/>
    <x v="275"/>
    <d v="2023-03-14T00:00:00"/>
    <s v="High demand"/>
  </r>
  <r>
    <x v="16"/>
    <x v="3"/>
    <n v="54"/>
    <n v="97"/>
    <x v="1"/>
    <x v="1"/>
    <n v="465.04"/>
    <s v="Warehouse A"/>
    <x v="190"/>
    <d v="2023-09-18T00:00:00"/>
    <s v="High demand"/>
  </r>
  <r>
    <x v="24"/>
    <x v="2"/>
    <n v="103"/>
    <n v="62"/>
    <x v="0"/>
    <x v="0"/>
    <n v="376.1"/>
    <s v="Warehouse B"/>
    <x v="51"/>
    <d v="2023-04-18T00:00:00"/>
    <s v="Discontinued"/>
  </r>
  <r>
    <x v="8"/>
    <x v="4"/>
    <n v="163"/>
    <n v="28"/>
    <x v="0"/>
    <x v="1"/>
    <n v="435.14"/>
    <s v="Warehouse C"/>
    <x v="191"/>
    <d v="2023-08-23T00:00:00"/>
    <s v="Pending Coastal Logistics Partnersonfirmation"/>
  </r>
  <r>
    <x v="4"/>
    <x v="2"/>
    <n v="70"/>
    <n v="51"/>
    <x v="0"/>
    <x v="0"/>
    <n v="321.61"/>
    <s v="Warehouse B"/>
    <x v="163"/>
    <d v="2024-02-03T00:00:00"/>
    <s v="Discontinued"/>
  </r>
  <r>
    <x v="12"/>
    <x v="0"/>
    <n v="149"/>
    <n v="48"/>
    <x v="0"/>
    <x v="2"/>
    <n v="436.54"/>
    <s v="Warehouse B"/>
    <x v="291"/>
    <d v="2023-11-02T00:00:00"/>
    <s v="Discontinued"/>
  </r>
  <r>
    <x v="35"/>
    <x v="1"/>
    <n v="61"/>
    <n v="82"/>
    <x v="1"/>
    <x v="2"/>
    <n v="241.96"/>
    <s v="Warehouse B"/>
    <x v="25"/>
    <d v="2023-02-15T00:00:00"/>
    <s v="Pending Coastal Logistics Partnersonfirmation"/>
  </r>
  <r>
    <x v="27"/>
    <x v="3"/>
    <n v="118"/>
    <n v="32"/>
    <x v="0"/>
    <x v="0"/>
    <n v="472.1"/>
    <s v="Warehouse C"/>
    <x v="69"/>
    <d v="2023-03-24T00:00:00"/>
    <s v="High demand"/>
  </r>
  <r>
    <x v="37"/>
    <x v="1"/>
    <n v="192"/>
    <n v="56"/>
    <x v="0"/>
    <x v="2"/>
    <n v="151.81"/>
    <s v="Warehouse B"/>
    <x v="266"/>
    <d v="2023-05-31T00:00:00"/>
    <m/>
  </r>
  <r>
    <x v="13"/>
    <x v="0"/>
    <n v="22"/>
    <n v="92"/>
    <x v="1"/>
    <x v="1"/>
    <n v="400.69"/>
    <s v="Warehouse A"/>
    <x v="193"/>
    <d v="2023-06-11T00:00:00"/>
    <s v="Pending Coastal Logistics Partnersonfirmation"/>
  </r>
  <r>
    <x v="25"/>
    <x v="3"/>
    <n v="198"/>
    <n v="20"/>
    <x v="0"/>
    <x v="1"/>
    <n v="358.14"/>
    <s v="Warehouse B"/>
    <x v="89"/>
    <d v="2023-08-11T00:00:00"/>
    <s v="Discontinued"/>
  </r>
  <r>
    <x v="47"/>
    <x v="0"/>
    <n v="63"/>
    <n v="34"/>
    <x v="0"/>
    <x v="1"/>
    <n v="36.57"/>
    <s v="Warehouse C"/>
    <x v="95"/>
    <d v="2023-10-25T00:00:00"/>
    <s v="High demand"/>
  </r>
  <r>
    <x v="46"/>
    <x v="4"/>
    <n v="147"/>
    <n v="39"/>
    <x v="0"/>
    <x v="2"/>
    <n v="471.95"/>
    <s v="Warehouse A"/>
    <x v="306"/>
    <d v="2023-09-29T00:00:00"/>
    <s v="High demand"/>
  </r>
  <r>
    <x v="18"/>
    <x v="1"/>
    <n v="38"/>
    <n v="53"/>
    <x v="1"/>
    <x v="0"/>
    <n v="138.38"/>
    <s v="Warehouse B"/>
    <x v="307"/>
    <d v="2023-02-22T00:00:00"/>
    <s v="Discontinued"/>
  </r>
  <r>
    <x v="16"/>
    <x v="0"/>
    <n v="184"/>
    <n v="78"/>
    <x v="0"/>
    <x v="0"/>
    <n v="67.37"/>
    <s v="Warehouse C"/>
    <x v="308"/>
    <d v="2023-07-09T00:00:00"/>
    <s v="Discontinued"/>
  </r>
  <r>
    <x v="43"/>
    <x v="1"/>
    <n v="89"/>
    <n v="23"/>
    <x v="0"/>
    <x v="0"/>
    <n v="26.11"/>
    <s v="Warehouse B"/>
    <x v="309"/>
    <d v="2024-02-04T00:00:00"/>
    <s v="Discontinued"/>
  </r>
  <r>
    <x v="19"/>
    <x v="0"/>
    <n v="138"/>
    <n v="38"/>
    <x v="0"/>
    <x v="2"/>
    <n v="459.27"/>
    <s v="Warehouse B"/>
    <x v="64"/>
    <d v="2023-03-06T00:00:00"/>
    <s v="High demand"/>
  </r>
  <r>
    <x v="7"/>
    <x v="2"/>
    <n v="96"/>
    <n v="79"/>
    <x v="0"/>
    <x v="0"/>
    <n v="206.46"/>
    <s v="Warehouse A"/>
    <x v="67"/>
    <d v="2023-05-13T00:00:00"/>
    <s v="Discontinued"/>
  </r>
  <r>
    <x v="39"/>
    <x v="1"/>
    <n v="13"/>
    <n v="20"/>
    <x v="1"/>
    <x v="1"/>
    <n v="442.84"/>
    <s v="Warehouse C"/>
    <x v="310"/>
    <d v="2023-04-28T00:00:00"/>
    <s v="Pending Coastal Logistics Partnersonfirmation"/>
  </r>
  <r>
    <x v="33"/>
    <x v="3"/>
    <n v="54"/>
    <n v="81"/>
    <x v="1"/>
    <x v="2"/>
    <n v="263.95"/>
    <s v="Warehouse A"/>
    <x v="208"/>
    <d v="2023-12-30T00:00:00"/>
    <s v="Pending Coastal Logistics Partnersonfirmation"/>
  </r>
  <r>
    <x v="17"/>
    <x v="2"/>
    <n v="60"/>
    <n v="55"/>
    <x v="0"/>
    <x v="2"/>
    <n v="276.89999999999998"/>
    <s v="Warehouse A"/>
    <x v="311"/>
    <d v="2023-03-06T00:00:00"/>
    <m/>
  </r>
  <r>
    <x v="29"/>
    <x v="3"/>
    <n v="98"/>
    <n v="72"/>
    <x v="0"/>
    <x v="0"/>
    <n v="353.1"/>
    <s v="Warehouse B"/>
    <x v="55"/>
    <d v="2023-04-26T00:00:00"/>
    <s v="High demand"/>
  </r>
  <r>
    <x v="18"/>
    <x v="1"/>
    <n v="144"/>
    <n v="34"/>
    <x v="0"/>
    <x v="0"/>
    <n v="182.19"/>
    <s v="Warehouse B"/>
    <x v="224"/>
    <d v="2023-07-09T00:00:00"/>
    <s v="Discontinued"/>
  </r>
  <r>
    <x v="0"/>
    <x v="3"/>
    <n v="196"/>
    <n v="65"/>
    <x v="0"/>
    <x v="2"/>
    <n v="375.9"/>
    <s v="Warehouse B"/>
    <x v="103"/>
    <d v="2023-07-09T00:00:00"/>
    <s v="Pending Coastal Logistics Partnersonfirmation"/>
  </r>
  <r>
    <x v="24"/>
    <x v="3"/>
    <n v="152"/>
    <n v="56"/>
    <x v="0"/>
    <x v="1"/>
    <n v="133.38"/>
    <s v="Warehouse A"/>
    <x v="312"/>
    <d v="2023-11-20T00:00:00"/>
    <s v="Pending Coastal Logistics Partnersonfirmation"/>
  </r>
  <r>
    <x v="36"/>
    <x v="2"/>
    <n v="90"/>
    <n v="75"/>
    <x v="0"/>
    <x v="1"/>
    <n v="355.09"/>
    <s v="Warehouse C"/>
    <x v="226"/>
    <d v="2023-08-27T00:00:00"/>
    <s v="Discontinued"/>
  </r>
  <r>
    <x v="17"/>
    <x v="2"/>
    <n v="198"/>
    <n v="46"/>
    <x v="0"/>
    <x v="0"/>
    <n v="310.2"/>
    <s v="Warehouse B"/>
    <x v="103"/>
    <d v="2023-07-05T00:00:00"/>
    <s v="Pending Coastal Logistics Partnersonfirmation"/>
  </r>
  <r>
    <x v="24"/>
    <x v="0"/>
    <n v="166"/>
    <n v="54"/>
    <x v="0"/>
    <x v="1"/>
    <n v="464.33"/>
    <s v="Warehouse A"/>
    <x v="265"/>
    <d v="2023-12-12T00:00:00"/>
    <s v="High demand"/>
  </r>
  <r>
    <x v="11"/>
    <x v="3"/>
    <n v="175"/>
    <n v="80"/>
    <x v="0"/>
    <x v="2"/>
    <n v="198.56"/>
    <s v="Warehouse B"/>
    <x v="313"/>
    <d v="2023-06-14T00:00:00"/>
    <s v="Pending Coastal Logistics Partnersonfirmation"/>
  </r>
  <r>
    <x v="45"/>
    <x v="1"/>
    <n v="77"/>
    <n v="29"/>
    <x v="0"/>
    <x v="2"/>
    <n v="174.46"/>
    <s v="Warehouse C"/>
    <x v="314"/>
    <d v="2023-09-12T00:00:00"/>
    <m/>
  </r>
  <r>
    <x v="1"/>
    <x v="2"/>
    <n v="70"/>
    <n v="43"/>
    <x v="0"/>
    <x v="1"/>
    <n v="150.1"/>
    <s v="Warehouse A"/>
    <x v="128"/>
    <d v="2023-05-10T00:00:00"/>
    <s v="Discontinued"/>
  </r>
  <r>
    <x v="18"/>
    <x v="4"/>
    <n v="54"/>
    <n v="54"/>
    <x v="0"/>
    <x v="1"/>
    <n v="96.92"/>
    <s v="Warehouse A"/>
    <x v="272"/>
    <d v="2024-03-03T00:00:00"/>
    <s v="Pending Coastal Logistics Partnersonfirmation"/>
  </r>
  <r>
    <x v="33"/>
    <x v="3"/>
    <n v="19"/>
    <n v="30"/>
    <x v="1"/>
    <x v="0"/>
    <n v="24.25"/>
    <s v="Warehouse A"/>
    <x v="315"/>
    <d v="2023-07-31T00:00:00"/>
    <s v="Pending Coastal Logistics Partnersonfirmation"/>
  </r>
  <r>
    <x v="48"/>
    <x v="4"/>
    <n v="6"/>
    <n v="96"/>
    <x v="1"/>
    <x v="1"/>
    <n v="224.21"/>
    <s v="Warehouse C"/>
    <x v="139"/>
    <d v="2023-03-04T00:00:00"/>
    <s v="Pending Coastal Logistics Partnersonfirmation"/>
  </r>
  <r>
    <x v="6"/>
    <x v="0"/>
    <n v="112"/>
    <n v="89"/>
    <x v="0"/>
    <x v="0"/>
    <n v="367.42"/>
    <s v="Warehouse B"/>
    <x v="141"/>
    <d v="2023-11-06T00:00:00"/>
    <m/>
  </r>
  <r>
    <x v="3"/>
    <x v="3"/>
    <n v="124"/>
    <n v="71"/>
    <x v="0"/>
    <x v="1"/>
    <n v="222.48"/>
    <s v="Warehouse C"/>
    <x v="316"/>
    <d v="2023-11-06T00:00:00"/>
    <s v="High demand"/>
  </r>
  <r>
    <x v="0"/>
    <x v="0"/>
    <n v="170"/>
    <n v="39"/>
    <x v="0"/>
    <x v="2"/>
    <n v="145.83000000000001"/>
    <s v="Warehouse B"/>
    <x v="32"/>
    <d v="2023-11-29T00:00:00"/>
    <s v="High demand"/>
  </r>
  <r>
    <x v="16"/>
    <x v="1"/>
    <n v="191"/>
    <n v="93"/>
    <x v="0"/>
    <x v="0"/>
    <n v="88.71"/>
    <s v="Warehouse A"/>
    <x v="93"/>
    <d v="2023-04-01T00:00:00"/>
    <s v="Pending Coastal Logistics Partnersonfirmation"/>
  </r>
  <r>
    <x v="43"/>
    <x v="4"/>
    <n v="120"/>
    <n v="68"/>
    <x v="0"/>
    <x v="2"/>
    <n v="284.33"/>
    <s v="Warehouse A"/>
    <x v="38"/>
    <d v="2023-08-17T00:00:00"/>
    <m/>
  </r>
  <r>
    <x v="22"/>
    <x v="2"/>
    <n v="131"/>
    <n v="61"/>
    <x v="0"/>
    <x v="2"/>
    <n v="28.19"/>
    <s v="Warehouse C"/>
    <x v="37"/>
    <d v="2024-03-03T00:00:00"/>
    <m/>
  </r>
  <r>
    <x v="19"/>
    <x v="1"/>
    <n v="137"/>
    <n v="95"/>
    <x v="0"/>
    <x v="2"/>
    <n v="262.01"/>
    <s v="Warehouse C"/>
    <x v="8"/>
    <d v="2024-01-28T00:00:00"/>
    <s v="High demand"/>
  </r>
  <r>
    <x v="2"/>
    <x v="4"/>
    <n v="127"/>
    <n v="62"/>
    <x v="0"/>
    <x v="2"/>
    <n v="92.81"/>
    <s v="Warehouse B"/>
    <x v="295"/>
    <d v="2023-11-15T00:00:00"/>
    <s v="High demand"/>
  </r>
  <r>
    <x v="26"/>
    <x v="0"/>
    <n v="108"/>
    <n v="31"/>
    <x v="0"/>
    <x v="2"/>
    <n v="451.05"/>
    <s v="Warehouse A"/>
    <x v="143"/>
    <d v="2023-10-26T00:00:00"/>
    <s v="Pending Coastal Logistics Partnersonfirmation"/>
  </r>
  <r>
    <x v="27"/>
    <x v="1"/>
    <n v="0"/>
    <n v="44"/>
    <x v="1"/>
    <x v="0"/>
    <n v="104.39"/>
    <s v="Warehouse A"/>
    <x v="158"/>
    <d v="2024-01-30T00:00:00"/>
    <m/>
  </r>
  <r>
    <x v="42"/>
    <x v="0"/>
    <n v="123"/>
    <n v="70"/>
    <x v="0"/>
    <x v="0"/>
    <n v="218.86"/>
    <s v="Warehouse B"/>
    <x v="237"/>
    <d v="2023-08-31T00:00:00"/>
    <s v="High demand"/>
  </r>
  <r>
    <x v="22"/>
    <x v="2"/>
    <n v="84"/>
    <n v="70"/>
    <x v="0"/>
    <x v="0"/>
    <n v="54.03"/>
    <s v="Warehouse A"/>
    <x v="317"/>
    <d v="2023-11-27T00:00:00"/>
    <s v="High demand"/>
  </r>
  <r>
    <x v="12"/>
    <x v="3"/>
    <n v="3"/>
    <n v="65"/>
    <x v="1"/>
    <x v="0"/>
    <n v="418.9"/>
    <s v="Warehouse A"/>
    <x v="288"/>
    <d v="2023-04-06T00:00:00"/>
    <s v="Discontinued"/>
  </r>
  <r>
    <x v="24"/>
    <x v="3"/>
    <n v="111"/>
    <n v="62"/>
    <x v="0"/>
    <x v="1"/>
    <n v="453.93"/>
    <s v="Warehouse A"/>
    <x v="54"/>
    <d v="2023-09-30T00:00:00"/>
    <s v="Discontinued"/>
  </r>
  <r>
    <x v="49"/>
    <x v="0"/>
    <n v="86"/>
    <n v="85"/>
    <x v="0"/>
    <x v="2"/>
    <n v="154.53"/>
    <s v="Warehouse B"/>
    <x v="223"/>
    <d v="2024-01-21T00:00:00"/>
    <s v="High demand"/>
  </r>
  <r>
    <x v="27"/>
    <x v="3"/>
    <n v="17"/>
    <n v="36"/>
    <x v="1"/>
    <x v="0"/>
    <n v="92.61"/>
    <s v="Warehouse C"/>
    <x v="132"/>
    <d v="2023-10-03T00:00:00"/>
    <s v="High demand"/>
  </r>
  <r>
    <x v="38"/>
    <x v="0"/>
    <n v="152"/>
    <n v="27"/>
    <x v="0"/>
    <x v="1"/>
    <n v="65.55"/>
    <s v="Warehouse A"/>
    <x v="318"/>
    <d v="2023-09-07T00:00:00"/>
    <s v="Pending Coastal Logistics Partnersonfirmation"/>
  </r>
  <r>
    <x v="34"/>
    <x v="1"/>
    <n v="147"/>
    <n v="53"/>
    <x v="0"/>
    <x v="0"/>
    <n v="382.41"/>
    <s v="Warehouse A"/>
    <x v="169"/>
    <d v="2023-10-16T00:00:00"/>
    <s v="Pending Coastal Logistics Partnersonfirmation"/>
  </r>
  <r>
    <x v="13"/>
    <x v="0"/>
    <n v="23"/>
    <n v="85"/>
    <x v="1"/>
    <x v="2"/>
    <n v="103.28"/>
    <s v="Warehouse C"/>
    <x v="28"/>
    <d v="2023-02-12T00:00:00"/>
    <s v="High demand"/>
  </r>
  <r>
    <x v="48"/>
    <x v="2"/>
    <n v="5"/>
    <n v="49"/>
    <x v="1"/>
    <x v="1"/>
    <n v="417.56"/>
    <s v="Warehouse C"/>
    <x v="163"/>
    <d v="2024-01-16T00:00:00"/>
    <s v="Pending Coastal Logistics Partnersonfirmation"/>
  </r>
  <r>
    <x v="5"/>
    <x v="2"/>
    <n v="50"/>
    <n v="34"/>
    <x v="0"/>
    <x v="1"/>
    <n v="8.6"/>
    <s v="Warehouse B"/>
    <x v="2"/>
    <d v="2024-01-19T00:00:00"/>
    <s v="Pending Coastal Logistics Partnersonfirmation"/>
  </r>
  <r>
    <x v="31"/>
    <x v="0"/>
    <n v="23"/>
    <n v="41"/>
    <x v="1"/>
    <x v="0"/>
    <n v="112.62"/>
    <s v="Warehouse A"/>
    <x v="316"/>
    <d v="2023-12-03T00:00:00"/>
    <s v="Discontinued"/>
  </r>
  <r>
    <x v="5"/>
    <x v="2"/>
    <n v="25"/>
    <n v="29"/>
    <x v="1"/>
    <x v="0"/>
    <n v="362.59"/>
    <s v="Warehouse A"/>
    <x v="221"/>
    <d v="2023-09-08T00:00:00"/>
    <s v="High demand"/>
  </r>
  <r>
    <x v="9"/>
    <x v="2"/>
    <n v="174"/>
    <n v="21"/>
    <x v="0"/>
    <x v="0"/>
    <n v="65.69"/>
    <s v="Warehouse C"/>
    <x v="115"/>
    <d v="2023-11-21T00:00:00"/>
    <m/>
  </r>
  <r>
    <x v="34"/>
    <x v="1"/>
    <n v="87"/>
    <n v="48"/>
    <x v="0"/>
    <x v="2"/>
    <n v="258.89999999999998"/>
    <s v="Warehouse C"/>
    <x v="219"/>
    <d v="2024-01-29T00:00:00"/>
    <s v="Pending Coastal Logistics Partnersonfirmation"/>
  </r>
  <r>
    <x v="21"/>
    <x v="2"/>
    <n v="155"/>
    <n v="72"/>
    <x v="0"/>
    <x v="1"/>
    <n v="213.93"/>
    <s v="Warehouse C"/>
    <x v="186"/>
    <d v="2023-07-06T00:00:00"/>
    <m/>
  </r>
  <r>
    <x v="27"/>
    <x v="3"/>
    <n v="51"/>
    <n v="42"/>
    <x v="0"/>
    <x v="0"/>
    <n v="60.92"/>
    <s v="Warehouse C"/>
    <x v="234"/>
    <d v="2024-01-14T00:00:00"/>
    <s v="Pending Coastal Logistics Partnersonfirmation"/>
  </r>
  <r>
    <x v="11"/>
    <x v="4"/>
    <n v="175"/>
    <n v="96"/>
    <x v="0"/>
    <x v="0"/>
    <n v="101.69"/>
    <s v="Warehouse C"/>
    <x v="43"/>
    <d v="2023-08-05T00:00:00"/>
    <s v="Discontinued"/>
  </r>
  <r>
    <x v="23"/>
    <x v="1"/>
    <n v="57"/>
    <n v="87"/>
    <x v="1"/>
    <x v="2"/>
    <n v="393.69"/>
    <s v="Warehouse B"/>
    <x v="319"/>
    <d v="2023-09-04T00:00:00"/>
    <s v="Discontinued"/>
  </r>
  <r>
    <x v="5"/>
    <x v="1"/>
    <n v="60"/>
    <n v="78"/>
    <x v="1"/>
    <x v="0"/>
    <n v="65.290000000000006"/>
    <s v="Warehouse B"/>
    <x v="116"/>
    <d v="2023-05-01T00:00:00"/>
    <s v="Pending Coastal Logistics Partnersonfirmation"/>
  </r>
  <r>
    <x v="10"/>
    <x v="1"/>
    <n v="97"/>
    <n v="89"/>
    <x v="0"/>
    <x v="1"/>
    <n v="304.42"/>
    <s v="Warehouse A"/>
    <x v="320"/>
    <d v="2023-03-27T00:00:00"/>
    <m/>
  </r>
  <r>
    <x v="46"/>
    <x v="2"/>
    <n v="127"/>
    <n v="54"/>
    <x v="0"/>
    <x v="0"/>
    <n v="310.63"/>
    <s v="Warehouse C"/>
    <x v="293"/>
    <d v="2024-02-20T00:00:00"/>
    <s v="High demand"/>
  </r>
  <r>
    <x v="16"/>
    <x v="4"/>
    <n v="65"/>
    <n v="52"/>
    <x v="0"/>
    <x v="1"/>
    <n v="155.6"/>
    <s v="Warehouse A"/>
    <x v="313"/>
    <d v="2023-05-21T00:00:00"/>
    <s v="Discontinued"/>
  </r>
  <r>
    <x v="15"/>
    <x v="1"/>
    <n v="5"/>
    <n v="97"/>
    <x v="1"/>
    <x v="0"/>
    <n v="498.09"/>
    <s v="Warehouse B"/>
    <x v="200"/>
    <d v="2024-01-23T00:00:00"/>
    <s v="Discontinued"/>
  </r>
  <r>
    <x v="14"/>
    <x v="3"/>
    <n v="60"/>
    <n v="62"/>
    <x v="1"/>
    <x v="1"/>
    <n v="258.04000000000002"/>
    <s v="Warehouse C"/>
    <x v="17"/>
    <d v="2023-06-27T00:00:00"/>
    <m/>
  </r>
  <r>
    <x v="0"/>
    <x v="4"/>
    <n v="189"/>
    <n v="90"/>
    <x v="0"/>
    <x v="1"/>
    <n v="483.87"/>
    <s v="Warehouse A"/>
    <x v="191"/>
    <d v="2023-08-22T00:00:00"/>
    <s v="Discontinued"/>
  </r>
  <r>
    <x v="29"/>
    <x v="1"/>
    <n v="6"/>
    <n v="96"/>
    <x v="1"/>
    <x v="2"/>
    <n v="181.36"/>
    <s v="Warehouse B"/>
    <x v="70"/>
    <d v="2023-08-28T00:00:00"/>
    <s v="Pending Coastal Logistics Partnersonfirmation"/>
  </r>
  <r>
    <x v="28"/>
    <x v="3"/>
    <n v="1"/>
    <n v="81"/>
    <x v="1"/>
    <x v="1"/>
    <n v="438.83"/>
    <s v="Warehouse A"/>
    <x v="30"/>
    <d v="2023-09-25T00:00:00"/>
    <s v="Pending Coastal Logistics Partnersonfirmation"/>
  </r>
  <r>
    <x v="37"/>
    <x v="0"/>
    <n v="88"/>
    <n v="60"/>
    <x v="0"/>
    <x v="1"/>
    <n v="57.74"/>
    <s v="Warehouse A"/>
    <x v="195"/>
    <d v="2023-07-19T00:00:00"/>
    <m/>
  </r>
  <r>
    <x v="39"/>
    <x v="3"/>
    <n v="80"/>
    <n v="88"/>
    <x v="1"/>
    <x v="1"/>
    <n v="270.45"/>
    <s v="Warehouse A"/>
    <x v="15"/>
    <d v="2023-03-21T00:00:00"/>
    <m/>
  </r>
  <r>
    <x v="24"/>
    <x v="4"/>
    <n v="48"/>
    <n v="43"/>
    <x v="0"/>
    <x v="0"/>
    <n v="50.68"/>
    <s v="Warehouse B"/>
    <x v="235"/>
    <d v="2023-10-07T00:00:00"/>
    <s v="High demand"/>
  </r>
  <r>
    <x v="33"/>
    <x v="1"/>
    <n v="23"/>
    <n v="49"/>
    <x v="1"/>
    <x v="1"/>
    <n v="375.21"/>
    <s v="Warehouse A"/>
    <x v="244"/>
    <d v="2023-12-21T00:00:00"/>
    <s v="High demand"/>
  </r>
  <r>
    <x v="2"/>
    <x v="1"/>
    <n v="59"/>
    <n v="31"/>
    <x v="0"/>
    <x v="0"/>
    <n v="492.29"/>
    <s v="Warehouse B"/>
    <x v="92"/>
    <d v="2023-03-26T00:00:00"/>
    <s v="Discontinued"/>
  </r>
  <r>
    <x v="24"/>
    <x v="2"/>
    <n v="73"/>
    <n v="24"/>
    <x v="0"/>
    <x v="0"/>
    <n v="409.45"/>
    <s v="Warehouse A"/>
    <x v="256"/>
    <d v="2023-06-27T00:00:00"/>
    <s v="High demand"/>
  </r>
  <r>
    <x v="3"/>
    <x v="2"/>
    <n v="45"/>
    <n v="64"/>
    <x v="1"/>
    <x v="2"/>
    <n v="66.569999999999993"/>
    <s v="Warehouse C"/>
    <x v="44"/>
    <d v="2023-08-04T00:00:00"/>
    <s v="Pending Coastal Logistics Partnersonfirmation"/>
  </r>
  <r>
    <x v="34"/>
    <x v="2"/>
    <n v="12"/>
    <n v="49"/>
    <x v="1"/>
    <x v="0"/>
    <n v="117.82"/>
    <s v="Warehouse C"/>
    <x v="280"/>
    <d v="2023-09-11T00:00:00"/>
    <m/>
  </r>
  <r>
    <x v="43"/>
    <x v="4"/>
    <n v="72"/>
    <n v="76"/>
    <x v="1"/>
    <x v="2"/>
    <n v="282.24"/>
    <s v="Warehouse C"/>
    <x v="222"/>
    <d v="2024-01-12T00:00:00"/>
    <m/>
  </r>
  <r>
    <x v="23"/>
    <x v="3"/>
    <n v="198"/>
    <n v="71"/>
    <x v="0"/>
    <x v="2"/>
    <n v="277.22000000000003"/>
    <s v="Warehouse A"/>
    <x v="51"/>
    <d v="2023-05-28T00:00:00"/>
    <s v="High demand"/>
  </r>
  <r>
    <x v="14"/>
    <x v="1"/>
    <n v="183"/>
    <n v="70"/>
    <x v="0"/>
    <x v="2"/>
    <n v="413.82"/>
    <s v="Warehouse C"/>
    <x v="54"/>
    <d v="2023-08-31T00:00:00"/>
    <s v="Discontinued"/>
  </r>
  <r>
    <x v="34"/>
    <x v="4"/>
    <n v="84"/>
    <n v="28"/>
    <x v="0"/>
    <x v="1"/>
    <n v="424.11"/>
    <s v="Warehouse A"/>
    <x v="30"/>
    <d v="2023-08-15T00:00:00"/>
    <s v="Pending Coastal Logistics Partnersonfirmation"/>
  </r>
  <r>
    <x v="31"/>
    <x v="4"/>
    <n v="159"/>
    <n v="65"/>
    <x v="0"/>
    <x v="0"/>
    <n v="473.86"/>
    <s v="Warehouse B"/>
    <x v="321"/>
    <d v="2023-10-17T00:00:00"/>
    <s v="Discontinued"/>
  </r>
  <r>
    <x v="3"/>
    <x v="3"/>
    <n v="33"/>
    <n v="23"/>
    <x v="0"/>
    <x v="2"/>
    <n v="396.5"/>
    <s v="Warehouse B"/>
    <x v="180"/>
    <d v="2023-10-18T00:00:00"/>
    <s v="High demand"/>
  </r>
  <r>
    <x v="22"/>
    <x v="1"/>
    <n v="191"/>
    <n v="21"/>
    <x v="0"/>
    <x v="2"/>
    <n v="152.5"/>
    <s v="Warehouse C"/>
    <x v="110"/>
    <d v="2023-07-14T00:00:00"/>
    <s v="Discontinued"/>
  </r>
  <r>
    <x v="6"/>
    <x v="4"/>
    <n v="172"/>
    <n v="97"/>
    <x v="0"/>
    <x v="0"/>
    <n v="27.41"/>
    <s v="Warehouse C"/>
    <x v="271"/>
    <d v="2024-02-15T00:00:00"/>
    <s v="High demand"/>
  </r>
  <r>
    <x v="5"/>
    <x v="3"/>
    <n v="162"/>
    <n v="97"/>
    <x v="0"/>
    <x v="2"/>
    <n v="480.02"/>
    <s v="Warehouse A"/>
    <x v="316"/>
    <d v="2023-11-06T00:00:00"/>
    <s v="High demand"/>
  </r>
  <r>
    <x v="27"/>
    <x v="3"/>
    <n v="104"/>
    <n v="29"/>
    <x v="0"/>
    <x v="2"/>
    <n v="314.77999999999997"/>
    <s v="Warehouse A"/>
    <x v="78"/>
    <d v="2024-01-09T00:00:00"/>
    <s v="Pending Coastal Logistics Partnersonfirmation"/>
  </r>
  <r>
    <x v="7"/>
    <x v="2"/>
    <n v="153"/>
    <n v="92"/>
    <x v="0"/>
    <x v="2"/>
    <n v="317.22000000000003"/>
    <s v="Warehouse B"/>
    <x v="132"/>
    <d v="2023-10-16T00:00:00"/>
    <s v="High demand"/>
  </r>
  <r>
    <x v="40"/>
    <x v="2"/>
    <n v="14"/>
    <n v="85"/>
    <x v="1"/>
    <x v="2"/>
    <n v="10"/>
    <s v="Warehouse A"/>
    <x v="319"/>
    <d v="2023-08-13T00:00:00"/>
    <m/>
  </r>
  <r>
    <x v="42"/>
    <x v="0"/>
    <n v="28"/>
    <n v="75"/>
    <x v="1"/>
    <x v="1"/>
    <n v="133.82"/>
    <s v="Warehouse A"/>
    <x v="97"/>
    <d v="2023-09-12T00:00:00"/>
    <m/>
  </r>
  <r>
    <x v="36"/>
    <x v="3"/>
    <n v="160"/>
    <n v="94"/>
    <x v="0"/>
    <x v="1"/>
    <n v="286.05"/>
    <s v="Warehouse C"/>
    <x v="231"/>
    <d v="2023-08-06T00:00:00"/>
    <s v="High demand"/>
  </r>
  <r>
    <x v="15"/>
    <x v="0"/>
    <n v="52"/>
    <n v="54"/>
    <x v="1"/>
    <x v="0"/>
    <n v="182.03"/>
    <s v="Warehouse B"/>
    <x v="47"/>
    <d v="2024-03-03T00:00:00"/>
    <m/>
  </r>
  <r>
    <x v="23"/>
    <x v="0"/>
    <n v="172"/>
    <n v="24"/>
    <x v="0"/>
    <x v="1"/>
    <n v="442.75"/>
    <s v="Warehouse C"/>
    <x v="305"/>
    <d v="2023-08-13T00:00:00"/>
    <m/>
  </r>
  <r>
    <x v="29"/>
    <x v="1"/>
    <n v="180"/>
    <n v="49"/>
    <x v="0"/>
    <x v="1"/>
    <n v="429.83"/>
    <s v="Warehouse C"/>
    <x v="240"/>
    <d v="2023-03-24T00:00:00"/>
    <s v="Discontinued"/>
  </r>
  <r>
    <x v="28"/>
    <x v="1"/>
    <n v="145"/>
    <n v="92"/>
    <x v="0"/>
    <x v="1"/>
    <n v="357.23"/>
    <s v="Warehouse C"/>
    <x v="291"/>
    <d v="2023-10-23T00:00:00"/>
    <s v="Discontinued"/>
  </r>
  <r>
    <x v="2"/>
    <x v="3"/>
    <n v="156"/>
    <n v="28"/>
    <x v="0"/>
    <x v="2"/>
    <n v="114.94"/>
    <s v="Warehouse C"/>
    <x v="322"/>
    <d v="2024-01-17T00:00:00"/>
    <m/>
  </r>
  <r>
    <x v="3"/>
    <x v="3"/>
    <n v="60"/>
    <n v="80"/>
    <x v="1"/>
    <x v="2"/>
    <n v="316.06"/>
    <s v="Warehouse A"/>
    <x v="88"/>
    <d v="2023-04-03T00:00:00"/>
    <s v="Discontinued"/>
  </r>
  <r>
    <x v="28"/>
    <x v="0"/>
    <n v="153"/>
    <n v="99"/>
    <x v="0"/>
    <x v="2"/>
    <n v="338.08"/>
    <s v="Warehouse B"/>
    <x v="132"/>
    <d v="2023-11-28T00:00:00"/>
    <s v="Pending Coastal Logistics Partnersonfirmation"/>
  </r>
  <r>
    <x v="10"/>
    <x v="4"/>
    <n v="181"/>
    <n v="92"/>
    <x v="0"/>
    <x v="0"/>
    <n v="127.4"/>
    <s v="Warehouse A"/>
    <x v="323"/>
    <d v="2023-06-03T00:00:00"/>
    <s v="Pending Coastal Logistics Partnersonfirmation"/>
  </r>
  <r>
    <x v="9"/>
    <x v="3"/>
    <n v="101"/>
    <n v="72"/>
    <x v="0"/>
    <x v="2"/>
    <n v="47.79"/>
    <s v="Warehouse B"/>
    <x v="98"/>
    <d v="2023-10-11T00:00:00"/>
    <m/>
  </r>
  <r>
    <x v="2"/>
    <x v="3"/>
    <n v="65"/>
    <n v="68"/>
    <x v="1"/>
    <x v="2"/>
    <n v="283.48"/>
    <s v="Warehouse A"/>
    <x v="202"/>
    <d v="2023-05-04T00:00:00"/>
    <s v="High demand"/>
  </r>
  <r>
    <x v="32"/>
    <x v="1"/>
    <n v="130"/>
    <n v="82"/>
    <x v="0"/>
    <x v="2"/>
    <n v="95.63"/>
    <s v="Warehouse C"/>
    <x v="210"/>
    <d v="2023-09-21T00:00:00"/>
    <s v="Discontinued"/>
  </r>
  <r>
    <x v="12"/>
    <x v="1"/>
    <n v="96"/>
    <n v="30"/>
    <x v="0"/>
    <x v="0"/>
    <n v="370.01"/>
    <s v="Warehouse B"/>
    <x v="77"/>
    <d v="2023-04-19T00:00:00"/>
    <s v="Discontinued"/>
  </r>
  <r>
    <x v="32"/>
    <x v="3"/>
    <n v="101"/>
    <n v="64"/>
    <x v="0"/>
    <x v="0"/>
    <n v="400.76"/>
    <s v="Warehouse B"/>
    <x v="157"/>
    <d v="2023-07-04T00:00:00"/>
    <s v="High demand"/>
  </r>
  <r>
    <x v="7"/>
    <x v="2"/>
    <n v="12"/>
    <n v="37"/>
    <x v="1"/>
    <x v="0"/>
    <n v="488.99"/>
    <s v="Warehouse A"/>
    <x v="324"/>
    <d v="2024-01-21T00:00:00"/>
    <s v="Pending Coastal Logistics Partnersonfirmation"/>
  </r>
  <r>
    <x v="48"/>
    <x v="4"/>
    <n v="6"/>
    <n v="58"/>
    <x v="1"/>
    <x v="2"/>
    <n v="7.97"/>
    <s v="Warehouse C"/>
    <x v="325"/>
    <d v="2023-01-20T00:00:00"/>
    <s v="Pending Coastal Logistics Partnersonfirmation"/>
  </r>
  <r>
    <x v="23"/>
    <x v="2"/>
    <n v="55"/>
    <n v="92"/>
    <x v="1"/>
    <x v="1"/>
    <n v="432.04"/>
    <s v="Warehouse C"/>
    <x v="145"/>
    <d v="2023-09-13T00:00:00"/>
    <s v="Pending Coastal Logistics Partnersonfirmation"/>
  </r>
  <r>
    <x v="30"/>
    <x v="1"/>
    <n v="61"/>
    <n v="49"/>
    <x v="0"/>
    <x v="2"/>
    <n v="52.54"/>
    <s v="Warehouse C"/>
    <x v="92"/>
    <d v="2023-05-03T00:00:00"/>
    <m/>
  </r>
  <r>
    <x v="24"/>
    <x v="3"/>
    <n v="122"/>
    <n v="45"/>
    <x v="0"/>
    <x v="2"/>
    <n v="36.15"/>
    <s v="Warehouse C"/>
    <x v="138"/>
    <d v="2023-10-08T00:00:00"/>
    <s v="Discontinued"/>
  </r>
  <r>
    <x v="46"/>
    <x v="3"/>
    <n v="187"/>
    <n v="27"/>
    <x v="0"/>
    <x v="0"/>
    <n v="394.25"/>
    <s v="Warehouse C"/>
    <x v="252"/>
    <d v="2024-01-03T00:00:00"/>
    <s v="Pending Coastal Logistics Partnersonfirmation"/>
  </r>
  <r>
    <x v="27"/>
    <x v="4"/>
    <n v="128"/>
    <n v="42"/>
    <x v="0"/>
    <x v="0"/>
    <n v="429.36"/>
    <s v="Warehouse C"/>
    <x v="26"/>
    <d v="2023-11-28T00:00:00"/>
    <s v="High demand"/>
  </r>
  <r>
    <x v="30"/>
    <x v="1"/>
    <n v="48"/>
    <n v="80"/>
    <x v="1"/>
    <x v="2"/>
    <n v="302.49"/>
    <s v="Warehouse B"/>
    <x v="27"/>
    <d v="2024-01-14T00:00:00"/>
    <m/>
  </r>
  <r>
    <x v="37"/>
    <x v="3"/>
    <n v="138"/>
    <n v="66"/>
    <x v="0"/>
    <x v="0"/>
    <n v="408.65"/>
    <s v="Warehouse B"/>
    <x v="6"/>
    <d v="2023-11-02T00:00:00"/>
    <m/>
  </r>
  <r>
    <x v="1"/>
    <x v="3"/>
    <n v="159"/>
    <n v="78"/>
    <x v="0"/>
    <x v="0"/>
    <n v="421.5"/>
    <s v="Warehouse A"/>
    <x v="272"/>
    <d v="2024-01-10T00:00:00"/>
    <s v="High demand"/>
  </r>
  <r>
    <x v="21"/>
    <x v="0"/>
    <n v="135"/>
    <n v="87"/>
    <x v="0"/>
    <x v="0"/>
    <n v="231.8"/>
    <s v="Warehouse A"/>
    <x v="326"/>
    <d v="2023-05-29T00:00:00"/>
    <s v="Pending Coastal Logistics Partnersonfirmation"/>
  </r>
  <r>
    <x v="45"/>
    <x v="3"/>
    <n v="185"/>
    <n v="44"/>
    <x v="0"/>
    <x v="2"/>
    <n v="341.92"/>
    <s v="Warehouse A"/>
    <x v="269"/>
    <d v="2023-11-09T00:00:00"/>
    <s v="Discontinued"/>
  </r>
  <r>
    <x v="45"/>
    <x v="1"/>
    <n v="26"/>
    <n v="67"/>
    <x v="1"/>
    <x v="2"/>
    <n v="475.03"/>
    <s v="Warehouse A"/>
    <x v="201"/>
    <d v="2023-05-03T00:00:00"/>
    <s v="Discontinued"/>
  </r>
  <r>
    <x v="22"/>
    <x v="4"/>
    <n v="14"/>
    <n v="58"/>
    <x v="1"/>
    <x v="0"/>
    <n v="352.23"/>
    <s v="Warehouse C"/>
    <x v="96"/>
    <d v="2023-09-29T00:00:00"/>
    <s v="Pending Coastal Logistics Partnersonfirmation"/>
  </r>
  <r>
    <x v="14"/>
    <x v="4"/>
    <n v="198"/>
    <n v="51"/>
    <x v="0"/>
    <x v="2"/>
    <n v="36.49"/>
    <s v="Warehouse B"/>
    <x v="22"/>
    <d v="2024-01-06T00:00:00"/>
    <m/>
  </r>
  <r>
    <x v="37"/>
    <x v="0"/>
    <n v="44"/>
    <n v="81"/>
    <x v="1"/>
    <x v="0"/>
    <n v="149.02000000000001"/>
    <s v="Warehouse B"/>
    <x v="128"/>
    <d v="2023-06-24T00:00:00"/>
    <s v="Discontinued"/>
  </r>
  <r>
    <x v="16"/>
    <x v="1"/>
    <n v="68"/>
    <n v="30"/>
    <x v="0"/>
    <x v="1"/>
    <n v="229.87"/>
    <s v="Warehouse B"/>
    <x v="157"/>
    <d v="2023-07-15T00:00:00"/>
    <m/>
  </r>
  <r>
    <x v="6"/>
    <x v="1"/>
    <n v="89"/>
    <n v="84"/>
    <x v="0"/>
    <x v="0"/>
    <n v="283.14"/>
    <s v="Warehouse B"/>
    <x v="327"/>
    <d v="2023-07-03T00:00:00"/>
    <s v="Pending Coastal Logistics Partnersonfirmation"/>
  </r>
  <r>
    <x v="40"/>
    <x v="1"/>
    <n v="133"/>
    <n v="73"/>
    <x v="0"/>
    <x v="0"/>
    <n v="196.46"/>
    <s v="Warehouse B"/>
    <x v="179"/>
    <d v="2023-03-23T00:00:00"/>
    <m/>
  </r>
  <r>
    <x v="18"/>
    <x v="4"/>
    <n v="71"/>
    <n v="22"/>
    <x v="0"/>
    <x v="0"/>
    <n v="399.69"/>
    <s v="Warehouse A"/>
    <x v="201"/>
    <d v="2023-04-15T00:00:00"/>
    <s v="Pending Coastal Logistics Partnersonfirmation"/>
  </r>
  <r>
    <x v="18"/>
    <x v="2"/>
    <n v="105"/>
    <n v="34"/>
    <x v="0"/>
    <x v="2"/>
    <n v="327.74"/>
    <s v="Warehouse C"/>
    <x v="274"/>
    <d v="2024-01-28T00:00:00"/>
    <s v="Discontinued"/>
  </r>
  <r>
    <x v="5"/>
    <x v="3"/>
    <n v="120"/>
    <n v="80"/>
    <x v="0"/>
    <x v="0"/>
    <n v="120.48"/>
    <s v="Warehouse C"/>
    <x v="146"/>
    <d v="2023-08-14T00:00:00"/>
    <s v="High demand"/>
  </r>
  <r>
    <x v="26"/>
    <x v="2"/>
    <n v="104"/>
    <n v="93"/>
    <x v="0"/>
    <x v="2"/>
    <n v="412.32"/>
    <s v="Warehouse B"/>
    <x v="70"/>
    <d v="2023-10-12T00:00:00"/>
    <s v="Pending Coastal Logistics Partnersonfirmation"/>
  </r>
  <r>
    <x v="25"/>
    <x v="0"/>
    <n v="35"/>
    <n v="54"/>
    <x v="1"/>
    <x v="0"/>
    <n v="346.89"/>
    <s v="Warehouse C"/>
    <x v="175"/>
    <d v="2024-02-16T00:00:00"/>
    <s v="High demand"/>
  </r>
  <r>
    <x v="14"/>
    <x v="2"/>
    <n v="57"/>
    <n v="40"/>
    <x v="0"/>
    <x v="0"/>
    <n v="51.61"/>
    <s v="Warehouse A"/>
    <x v="166"/>
    <d v="2023-03-21T00:00:00"/>
    <s v="High demand"/>
  </r>
  <r>
    <x v="10"/>
    <x v="0"/>
    <n v="118"/>
    <n v="62"/>
    <x v="0"/>
    <x v="0"/>
    <n v="397.62"/>
    <s v="Warehouse B"/>
    <x v="267"/>
    <d v="2023-12-03T00:00:00"/>
    <s v="High demand"/>
  </r>
  <r>
    <x v="0"/>
    <x v="1"/>
    <n v="56"/>
    <n v="28"/>
    <x v="0"/>
    <x v="1"/>
    <n v="67.069999999999993"/>
    <s v="Warehouse B"/>
    <x v="315"/>
    <d v="2023-08-23T00:00:00"/>
    <s v="Discontinued"/>
  </r>
  <r>
    <x v="21"/>
    <x v="2"/>
    <n v="37"/>
    <n v="71"/>
    <x v="1"/>
    <x v="2"/>
    <n v="221.14"/>
    <s v="Warehouse B"/>
    <x v="65"/>
    <d v="2023-12-11T00:00:00"/>
    <s v="Discontinued"/>
  </r>
  <r>
    <x v="1"/>
    <x v="1"/>
    <n v="161"/>
    <n v="76"/>
    <x v="0"/>
    <x v="1"/>
    <n v="496.99"/>
    <s v="Warehouse B"/>
    <x v="124"/>
    <d v="2023-03-07T00:00:00"/>
    <s v="Pending Coastal Logistics Partnersonfirmation"/>
  </r>
  <r>
    <x v="28"/>
    <x v="0"/>
    <n v="83"/>
    <n v="59"/>
    <x v="0"/>
    <x v="0"/>
    <n v="282.05"/>
    <s v="Warehouse A"/>
    <x v="45"/>
    <d v="2023-11-08T00:00:00"/>
    <s v="Pending Coastal Logistics Partnersonfirmation"/>
  </r>
  <r>
    <x v="31"/>
    <x v="2"/>
    <n v="161"/>
    <n v="39"/>
    <x v="0"/>
    <x v="2"/>
    <n v="416.5"/>
    <s v="Warehouse B"/>
    <x v="328"/>
    <d v="2023-05-13T00:00:00"/>
    <s v="High demand"/>
  </r>
  <r>
    <x v="35"/>
    <x v="0"/>
    <n v="115"/>
    <n v="93"/>
    <x v="0"/>
    <x v="2"/>
    <n v="93.64"/>
    <s v="Warehouse C"/>
    <x v="81"/>
    <d v="2023-10-26T00:00:00"/>
    <s v="Pending Coastal Logistics Partnersonfirmation"/>
  </r>
  <r>
    <x v="19"/>
    <x v="0"/>
    <n v="138"/>
    <n v="81"/>
    <x v="0"/>
    <x v="1"/>
    <n v="31.86"/>
    <s v="Warehouse A"/>
    <x v="228"/>
    <d v="2023-07-15T00:00:00"/>
    <m/>
  </r>
  <r>
    <x v="5"/>
    <x v="3"/>
    <n v="129"/>
    <n v="47"/>
    <x v="0"/>
    <x v="2"/>
    <n v="245.87"/>
    <s v="Warehouse B"/>
    <x v="123"/>
    <d v="2023-10-05T00:00:00"/>
    <m/>
  </r>
  <r>
    <x v="40"/>
    <x v="3"/>
    <n v="0"/>
    <n v="20"/>
    <x v="1"/>
    <x v="2"/>
    <n v="432.75"/>
    <s v="Warehouse B"/>
    <x v="137"/>
    <d v="2023-11-12T00:00:00"/>
    <s v="High demand"/>
  </r>
  <r>
    <x v="20"/>
    <x v="1"/>
    <n v="180"/>
    <n v="83"/>
    <x v="0"/>
    <x v="2"/>
    <n v="429.6"/>
    <s v="Warehouse B"/>
    <x v="34"/>
    <d v="2024-01-05T00:00:00"/>
    <m/>
  </r>
  <r>
    <x v="1"/>
    <x v="3"/>
    <n v="42"/>
    <n v="59"/>
    <x v="1"/>
    <x v="0"/>
    <n v="196.19"/>
    <s v="Warehouse A"/>
    <x v="92"/>
    <d v="2023-04-07T00:00:00"/>
    <s v="Discontinued"/>
  </r>
  <r>
    <x v="8"/>
    <x v="0"/>
    <n v="64"/>
    <n v="33"/>
    <x v="0"/>
    <x v="2"/>
    <n v="336.96"/>
    <s v="Warehouse B"/>
    <x v="188"/>
    <d v="2023-12-08T00:00:00"/>
    <s v="High demand"/>
  </r>
  <r>
    <x v="47"/>
    <x v="1"/>
    <n v="136"/>
    <n v="75"/>
    <x v="0"/>
    <x v="2"/>
    <n v="297.39"/>
    <s v="Warehouse B"/>
    <x v="142"/>
    <d v="2023-06-20T00:00:00"/>
    <s v="High demand"/>
  </r>
  <r>
    <x v="39"/>
    <x v="3"/>
    <n v="153"/>
    <n v="35"/>
    <x v="0"/>
    <x v="1"/>
    <n v="31.57"/>
    <s v="Warehouse B"/>
    <x v="87"/>
    <d v="2023-08-18T00:00:00"/>
    <s v="Discontinued"/>
  </r>
  <r>
    <x v="23"/>
    <x v="4"/>
    <n v="182"/>
    <n v="83"/>
    <x v="0"/>
    <x v="0"/>
    <n v="383.15"/>
    <s v="Warehouse C"/>
    <x v="1"/>
    <d v="2023-04-17T00:00:00"/>
    <s v="Discontinued"/>
  </r>
  <r>
    <x v="33"/>
    <x v="3"/>
    <n v="8"/>
    <n v="35"/>
    <x v="1"/>
    <x v="2"/>
    <n v="276.33"/>
    <s v="Warehouse A"/>
    <x v="247"/>
    <d v="2023-06-04T00:00:00"/>
    <s v="Pending Coastal Logistics Partnersonfirmation"/>
  </r>
  <r>
    <x v="16"/>
    <x v="0"/>
    <n v="116"/>
    <n v="60"/>
    <x v="0"/>
    <x v="0"/>
    <n v="325.86"/>
    <s v="Warehouse A"/>
    <x v="239"/>
    <d v="2023-05-21T00:00:00"/>
    <s v="High demand"/>
  </r>
  <r>
    <x v="15"/>
    <x v="3"/>
    <n v="97"/>
    <n v="79"/>
    <x v="0"/>
    <x v="2"/>
    <n v="134.78"/>
    <s v="Warehouse C"/>
    <x v="219"/>
    <d v="2024-02-01T00:00:00"/>
    <s v="Discontinued"/>
  </r>
  <r>
    <x v="5"/>
    <x v="3"/>
    <n v="60"/>
    <n v="77"/>
    <x v="1"/>
    <x v="1"/>
    <n v="490.97"/>
    <s v="Warehouse A"/>
    <x v="50"/>
    <d v="2023-02-20T00:00:00"/>
    <s v="High demand"/>
  </r>
  <r>
    <x v="30"/>
    <x v="4"/>
    <n v="47"/>
    <n v="69"/>
    <x v="1"/>
    <x v="1"/>
    <n v="7.88"/>
    <s v="Warehouse B"/>
    <x v="114"/>
    <d v="2024-03-10T00:00:00"/>
    <s v="Discontinued"/>
  </r>
  <r>
    <x v="39"/>
    <x v="4"/>
    <n v="88"/>
    <n v="55"/>
    <x v="0"/>
    <x v="1"/>
    <n v="270.64"/>
    <s v="Warehouse C"/>
    <x v="65"/>
    <d v="2024-01-23T00:00:00"/>
    <s v="Discontinued"/>
  </r>
  <r>
    <x v="11"/>
    <x v="1"/>
    <n v="42"/>
    <n v="46"/>
    <x v="1"/>
    <x v="1"/>
    <n v="225.92"/>
    <s v="Warehouse C"/>
    <x v="231"/>
    <d v="2023-06-13T00:00:00"/>
    <m/>
  </r>
  <r>
    <x v="33"/>
    <x v="3"/>
    <n v="109"/>
    <n v="93"/>
    <x v="0"/>
    <x v="2"/>
    <n v="220.71"/>
    <s v="Warehouse B"/>
    <x v="77"/>
    <d v="2023-04-29T00:00:00"/>
    <m/>
  </r>
  <r>
    <x v="23"/>
    <x v="0"/>
    <n v="22"/>
    <n v="28"/>
    <x v="1"/>
    <x v="2"/>
    <n v="113.44"/>
    <s v="Warehouse C"/>
    <x v="180"/>
    <d v="2023-10-31T00:00:00"/>
    <m/>
  </r>
  <r>
    <x v="47"/>
    <x v="0"/>
    <n v="154"/>
    <n v="97"/>
    <x v="0"/>
    <x v="2"/>
    <n v="319.75"/>
    <s v="Warehouse A"/>
    <x v="29"/>
    <d v="2023-05-07T00:00:00"/>
    <s v="High demand"/>
  </r>
  <r>
    <x v="10"/>
    <x v="1"/>
    <n v="20"/>
    <n v="79"/>
    <x v="1"/>
    <x v="1"/>
    <n v="305.37"/>
    <s v="Warehouse C"/>
    <x v="170"/>
    <d v="2023-12-06T00:00:00"/>
    <m/>
  </r>
  <r>
    <x v="10"/>
    <x v="3"/>
    <n v="131"/>
    <n v="28"/>
    <x v="0"/>
    <x v="1"/>
    <n v="143.96"/>
    <s v="Warehouse B"/>
    <x v="99"/>
    <d v="2023-12-30T00:00:00"/>
    <s v="Discontinued"/>
  </r>
  <r>
    <x v="7"/>
    <x v="3"/>
    <n v="191"/>
    <n v="26"/>
    <x v="0"/>
    <x v="0"/>
    <n v="114.74"/>
    <s v="Warehouse A"/>
    <x v="329"/>
    <d v="2024-01-12T00:00:00"/>
    <m/>
  </r>
  <r>
    <x v="48"/>
    <x v="0"/>
    <n v="25"/>
    <n v="57"/>
    <x v="1"/>
    <x v="1"/>
    <n v="422.4"/>
    <s v="Warehouse C"/>
    <x v="173"/>
    <d v="2023-07-13T00:00:00"/>
    <s v="Pending Coastal Logistics Partnersonfirmation"/>
  </r>
  <r>
    <x v="49"/>
    <x v="3"/>
    <n v="118"/>
    <n v="77"/>
    <x v="0"/>
    <x v="0"/>
    <n v="497.88"/>
    <s v="Warehouse A"/>
    <x v="330"/>
    <d v="2023-03-14T00:00:00"/>
    <s v="Pending Coastal Logistics Partnersonfirmation"/>
  </r>
  <r>
    <x v="46"/>
    <x v="2"/>
    <n v="61"/>
    <n v="23"/>
    <x v="0"/>
    <x v="1"/>
    <n v="252.28"/>
    <s v="Warehouse B"/>
    <x v="184"/>
    <d v="2023-07-06T00:00:00"/>
    <s v="High demand"/>
  </r>
  <r>
    <x v="18"/>
    <x v="0"/>
    <n v="196"/>
    <n v="36"/>
    <x v="0"/>
    <x v="2"/>
    <n v="177.01"/>
    <s v="Warehouse A"/>
    <x v="135"/>
    <d v="2023-08-31T00:00:00"/>
    <m/>
  </r>
  <r>
    <x v="4"/>
    <x v="2"/>
    <n v="195"/>
    <n v="43"/>
    <x v="0"/>
    <x v="2"/>
    <n v="320.05"/>
    <s v="Warehouse C"/>
    <x v="137"/>
    <d v="2023-11-17T00:00:00"/>
    <s v="Discontinued"/>
  </r>
  <r>
    <x v="22"/>
    <x v="4"/>
    <n v="123"/>
    <n v="49"/>
    <x v="0"/>
    <x v="0"/>
    <n v="474.11"/>
    <s v="Warehouse C"/>
    <x v="169"/>
    <d v="2023-09-18T00:00:00"/>
    <s v="Discontinued"/>
  </r>
  <r>
    <x v="49"/>
    <x v="2"/>
    <n v="169"/>
    <n v="98"/>
    <x v="0"/>
    <x v="0"/>
    <n v="201.62"/>
    <s v="Warehouse B"/>
    <x v="149"/>
    <d v="2023-11-14T00:00:00"/>
    <m/>
  </r>
  <r>
    <x v="33"/>
    <x v="2"/>
    <n v="79"/>
    <n v="67"/>
    <x v="0"/>
    <x v="1"/>
    <n v="492.8"/>
    <s v="Warehouse C"/>
    <x v="279"/>
    <d v="2023-12-25T00:00:00"/>
    <s v="High demand"/>
  </r>
  <r>
    <x v="22"/>
    <x v="2"/>
    <n v="170"/>
    <n v="27"/>
    <x v="0"/>
    <x v="2"/>
    <n v="320.89999999999998"/>
    <s v="Warehouse C"/>
    <x v="57"/>
    <d v="2023-08-28T00:00:00"/>
    <s v="High demand"/>
  </r>
  <r>
    <x v="26"/>
    <x v="2"/>
    <n v="156"/>
    <n v="31"/>
    <x v="0"/>
    <x v="0"/>
    <n v="428.69"/>
    <s v="Warehouse C"/>
    <x v="13"/>
    <d v="2023-08-20T00:00:00"/>
    <m/>
  </r>
  <r>
    <x v="48"/>
    <x v="4"/>
    <n v="90"/>
    <n v="29"/>
    <x v="0"/>
    <x v="2"/>
    <n v="472.95"/>
    <s v="Warehouse B"/>
    <x v="188"/>
    <d v="2023-11-02T00:00:00"/>
    <s v="Discontinued"/>
  </r>
  <r>
    <x v="8"/>
    <x v="0"/>
    <n v="187"/>
    <n v="96"/>
    <x v="0"/>
    <x v="1"/>
    <n v="84.19"/>
    <s v="Warehouse C"/>
    <x v="228"/>
    <d v="2023-08-15T00:00:00"/>
    <m/>
  </r>
  <r>
    <x v="39"/>
    <x v="3"/>
    <n v="138"/>
    <n v="92"/>
    <x v="0"/>
    <x v="0"/>
    <n v="46.18"/>
    <s v="Warehouse B"/>
    <x v="326"/>
    <d v="2023-05-13T00:00:00"/>
    <s v="Pending Coastal Logistics Partnersonfirmation"/>
  </r>
  <r>
    <x v="35"/>
    <x v="4"/>
    <n v="141"/>
    <n v="88"/>
    <x v="0"/>
    <x v="2"/>
    <n v="480.74"/>
    <s v="Warehouse B"/>
    <x v="288"/>
    <d v="2023-04-12T00:00:00"/>
    <m/>
  </r>
  <r>
    <x v="45"/>
    <x v="3"/>
    <n v="62"/>
    <n v="79"/>
    <x v="1"/>
    <x v="1"/>
    <n v="19.75"/>
    <s v="Warehouse C"/>
    <x v="104"/>
    <d v="2023-07-14T00:00:00"/>
    <m/>
  </r>
  <r>
    <x v="8"/>
    <x v="4"/>
    <n v="193"/>
    <n v="56"/>
    <x v="0"/>
    <x v="1"/>
    <n v="350.04"/>
    <s v="Warehouse C"/>
    <x v="47"/>
    <d v="2024-02-25T00:00:00"/>
    <s v="High demand"/>
  </r>
  <r>
    <x v="38"/>
    <x v="2"/>
    <n v="164"/>
    <n v="53"/>
    <x v="0"/>
    <x v="0"/>
    <n v="171.54"/>
    <s v="Warehouse A"/>
    <x v="58"/>
    <d v="2023-11-02T00:00:00"/>
    <s v="High demand"/>
  </r>
  <r>
    <x v="20"/>
    <x v="0"/>
    <n v="96"/>
    <n v="33"/>
    <x v="0"/>
    <x v="1"/>
    <n v="368.22"/>
    <s v="Warehouse B"/>
    <x v="179"/>
    <d v="2023-02-11T00:00:00"/>
    <s v="Discontinued"/>
  </r>
  <r>
    <x v="40"/>
    <x v="3"/>
    <n v="36"/>
    <n v="88"/>
    <x v="1"/>
    <x v="1"/>
    <n v="417.74"/>
    <s v="Warehouse A"/>
    <x v="51"/>
    <d v="2023-05-15T00:00:00"/>
    <s v="Pending Coastal Logistics Partnersonfirmation"/>
  </r>
  <r>
    <x v="31"/>
    <x v="3"/>
    <n v="88"/>
    <n v="92"/>
    <x v="1"/>
    <x v="2"/>
    <n v="110.96"/>
    <s v="Warehouse A"/>
    <x v="251"/>
    <d v="2023-04-23T00:00:00"/>
    <m/>
  </r>
  <r>
    <x v="45"/>
    <x v="1"/>
    <n v="6"/>
    <n v="92"/>
    <x v="1"/>
    <x v="2"/>
    <n v="22.5"/>
    <s v="Warehouse B"/>
    <x v="119"/>
    <d v="2023-05-10T00:00:00"/>
    <m/>
  </r>
  <r>
    <x v="0"/>
    <x v="0"/>
    <n v="66"/>
    <n v="68"/>
    <x v="1"/>
    <x v="0"/>
    <n v="80.23"/>
    <s v="Warehouse B"/>
    <x v="53"/>
    <d v="2023-12-16T00:00:00"/>
    <s v="Pending Coastal Logistics Partnersonfirmation"/>
  </r>
  <r>
    <x v="1"/>
    <x v="3"/>
    <n v="26"/>
    <n v="54"/>
    <x v="1"/>
    <x v="2"/>
    <n v="235.37"/>
    <s v="Warehouse B"/>
    <x v="221"/>
    <d v="2023-08-03T00:00:00"/>
    <s v="High demand"/>
  </r>
  <r>
    <x v="1"/>
    <x v="2"/>
    <n v="27"/>
    <n v="93"/>
    <x v="1"/>
    <x v="2"/>
    <n v="216.15"/>
    <s v="Warehouse A"/>
    <x v="331"/>
    <d v="2023-10-26T00:00:00"/>
    <s v="Pending Coastal Logistics Partnersonfirmation"/>
  </r>
  <r>
    <x v="4"/>
    <x v="4"/>
    <n v="100"/>
    <n v="95"/>
    <x v="0"/>
    <x v="1"/>
    <n v="372.26"/>
    <s v="Warehouse B"/>
    <x v="60"/>
    <d v="2023-04-22T00:00:00"/>
    <s v="Discontinued"/>
  </r>
  <r>
    <x v="28"/>
    <x v="1"/>
    <n v="81"/>
    <n v="21"/>
    <x v="0"/>
    <x v="2"/>
    <n v="435.42"/>
    <s v="Warehouse A"/>
    <x v="119"/>
    <d v="2023-06-16T00:00:00"/>
    <s v="Pending Coastal Logistics Partnersonfirmation"/>
  </r>
  <r>
    <x v="14"/>
    <x v="1"/>
    <n v="86"/>
    <n v="55"/>
    <x v="0"/>
    <x v="0"/>
    <n v="341.99"/>
    <s v="Warehouse A"/>
    <x v="206"/>
    <d v="2023-04-14T00:00:00"/>
    <s v="High demand"/>
  </r>
  <r>
    <x v="20"/>
    <x v="3"/>
    <n v="154"/>
    <n v="24"/>
    <x v="0"/>
    <x v="0"/>
    <n v="159.06"/>
    <s v="Warehouse A"/>
    <x v="328"/>
    <d v="2023-05-17T00:00:00"/>
    <m/>
  </r>
  <r>
    <x v="5"/>
    <x v="0"/>
    <n v="7"/>
    <n v="54"/>
    <x v="1"/>
    <x v="2"/>
    <n v="345.1"/>
    <s v="Warehouse C"/>
    <x v="262"/>
    <d v="2024-03-19T00:00:00"/>
    <m/>
  </r>
  <r>
    <x v="30"/>
    <x v="4"/>
    <n v="36"/>
    <n v="87"/>
    <x v="1"/>
    <x v="1"/>
    <n v="403.77"/>
    <s v="Warehouse C"/>
    <x v="273"/>
    <d v="2023-10-29T00:00:00"/>
    <m/>
  </r>
  <r>
    <x v="5"/>
    <x v="4"/>
    <n v="199"/>
    <n v="28"/>
    <x v="0"/>
    <x v="1"/>
    <n v="135.96"/>
    <s v="Warehouse A"/>
    <x v="187"/>
    <d v="2023-09-14T00:00:00"/>
    <s v="Pending Coastal Logistics Partnersonfirmation"/>
  </r>
  <r>
    <x v="3"/>
    <x v="1"/>
    <n v="141"/>
    <n v="89"/>
    <x v="0"/>
    <x v="1"/>
    <n v="366.96"/>
    <s v="Warehouse B"/>
    <x v="64"/>
    <d v="2023-03-26T00:00:00"/>
    <m/>
  </r>
  <r>
    <x v="29"/>
    <x v="1"/>
    <n v="60"/>
    <n v="73"/>
    <x v="1"/>
    <x v="0"/>
    <n v="382.7"/>
    <s v="Warehouse C"/>
    <x v="126"/>
    <d v="2023-06-05T00:00:00"/>
    <s v="Discontinued"/>
  </r>
  <r>
    <x v="47"/>
    <x v="1"/>
    <n v="28"/>
    <n v="58"/>
    <x v="1"/>
    <x v="2"/>
    <n v="300.67"/>
    <s v="Warehouse C"/>
    <x v="20"/>
    <d v="2023-05-20T00:00:00"/>
    <m/>
  </r>
  <r>
    <x v="39"/>
    <x v="0"/>
    <n v="34"/>
    <n v="91"/>
    <x v="1"/>
    <x v="1"/>
    <n v="152.61000000000001"/>
    <s v="Warehouse B"/>
    <x v="202"/>
    <d v="2023-04-26T00:00:00"/>
    <s v="Discontinued"/>
  </r>
  <r>
    <x v="31"/>
    <x v="0"/>
    <n v="145"/>
    <n v="85"/>
    <x v="0"/>
    <x v="0"/>
    <n v="63.52"/>
    <s v="Warehouse C"/>
    <x v="298"/>
    <d v="2023-02-07T00:00:00"/>
    <s v="Discontinued"/>
  </r>
  <r>
    <x v="6"/>
    <x v="1"/>
    <n v="2"/>
    <n v="83"/>
    <x v="1"/>
    <x v="1"/>
    <n v="427.89"/>
    <s v="Warehouse B"/>
    <x v="215"/>
    <d v="2023-06-17T00:00:00"/>
    <s v="High demand"/>
  </r>
  <r>
    <x v="14"/>
    <x v="2"/>
    <n v="26"/>
    <n v="55"/>
    <x v="1"/>
    <x v="0"/>
    <n v="400.23"/>
    <s v="Warehouse A"/>
    <x v="291"/>
    <d v="2023-10-15T00:00:00"/>
    <s v="High demand"/>
  </r>
  <r>
    <x v="42"/>
    <x v="0"/>
    <n v="8"/>
    <n v="67"/>
    <x v="1"/>
    <x v="0"/>
    <n v="351.98"/>
    <s v="Warehouse C"/>
    <x v="236"/>
    <d v="2023-07-20T00:00:00"/>
    <s v="Pending Coastal Logistics Partnersonfirmation"/>
  </r>
  <r>
    <x v="49"/>
    <x v="2"/>
    <n v="164"/>
    <n v="46"/>
    <x v="0"/>
    <x v="0"/>
    <n v="261.54000000000002"/>
    <s v="Warehouse A"/>
    <x v="203"/>
    <d v="2023-06-04T00:00:00"/>
    <m/>
  </r>
  <r>
    <x v="2"/>
    <x v="3"/>
    <n v="76"/>
    <n v="45"/>
    <x v="0"/>
    <x v="2"/>
    <n v="328.46"/>
    <s v="Warehouse C"/>
    <x v="101"/>
    <d v="2023-11-13T00:00:00"/>
    <s v="High demand"/>
  </r>
  <r>
    <x v="10"/>
    <x v="4"/>
    <n v="19"/>
    <n v="75"/>
    <x v="1"/>
    <x v="1"/>
    <n v="127.54"/>
    <s v="Warehouse B"/>
    <x v="207"/>
    <d v="2024-02-05T00:00:00"/>
    <s v="Pending Coastal Logistics Partnersonfirmation"/>
  </r>
  <r>
    <x v="22"/>
    <x v="2"/>
    <n v="39"/>
    <n v="98"/>
    <x v="1"/>
    <x v="1"/>
    <n v="209.6"/>
    <s v="Warehouse C"/>
    <x v="136"/>
    <d v="2023-04-27T00:00:00"/>
    <s v="High demand"/>
  </r>
  <r>
    <x v="38"/>
    <x v="3"/>
    <n v="182"/>
    <n v="38"/>
    <x v="0"/>
    <x v="0"/>
    <n v="87.07"/>
    <s v="Warehouse B"/>
    <x v="247"/>
    <d v="2023-05-30T00:00:00"/>
    <s v="Pending Coastal Logistics Partnersonfirmation"/>
  </r>
  <r>
    <x v="10"/>
    <x v="1"/>
    <n v="186"/>
    <n v="25"/>
    <x v="0"/>
    <x v="0"/>
    <n v="266.5"/>
    <s v="Warehouse C"/>
    <x v="75"/>
    <d v="2023-11-29T00:00:00"/>
    <m/>
  </r>
  <r>
    <x v="10"/>
    <x v="2"/>
    <n v="142"/>
    <n v="91"/>
    <x v="0"/>
    <x v="2"/>
    <n v="191.74"/>
    <s v="Warehouse A"/>
    <x v="89"/>
    <d v="2023-08-25T00:00:00"/>
    <s v="Discontinued"/>
  </r>
  <r>
    <x v="48"/>
    <x v="0"/>
    <n v="193"/>
    <n v="88"/>
    <x v="0"/>
    <x v="2"/>
    <n v="158.91999999999999"/>
    <s v="Warehouse C"/>
    <x v="73"/>
    <d v="2023-06-13T00:00:00"/>
    <s v="High demand"/>
  </r>
  <r>
    <x v="36"/>
    <x v="4"/>
    <n v="34"/>
    <n v="97"/>
    <x v="1"/>
    <x v="1"/>
    <n v="131.03"/>
    <s v="Warehouse A"/>
    <x v="248"/>
    <d v="2023-06-11T00:00:00"/>
    <s v="Discontinued"/>
  </r>
  <r>
    <x v="28"/>
    <x v="2"/>
    <n v="30"/>
    <n v="24"/>
    <x v="0"/>
    <x v="0"/>
    <n v="94.98"/>
    <s v="Warehouse C"/>
    <x v="46"/>
    <d v="2023-12-04T00:00:00"/>
    <m/>
  </r>
  <r>
    <x v="29"/>
    <x v="4"/>
    <n v="83"/>
    <n v="51"/>
    <x v="0"/>
    <x v="1"/>
    <n v="134.72"/>
    <s v="Warehouse B"/>
    <x v="85"/>
    <d v="2023-10-19T00:00:00"/>
    <s v="Discontinued"/>
  </r>
  <r>
    <x v="12"/>
    <x v="0"/>
    <n v="96"/>
    <n v="36"/>
    <x v="0"/>
    <x v="2"/>
    <n v="468.79"/>
    <s v="Warehouse B"/>
    <x v="253"/>
    <d v="2023-06-17T00:00:00"/>
    <s v="Discontinued"/>
  </r>
  <r>
    <x v="24"/>
    <x v="4"/>
    <n v="45"/>
    <n v="62"/>
    <x v="1"/>
    <x v="0"/>
    <n v="332.12"/>
    <s v="Warehouse B"/>
    <x v="72"/>
    <d v="2023-06-13T00:00:00"/>
    <s v="Pending Coastal Logistics Partnersonfirmation"/>
  </r>
  <r>
    <x v="31"/>
    <x v="4"/>
    <n v="179"/>
    <n v="45"/>
    <x v="0"/>
    <x v="1"/>
    <n v="261.89"/>
    <s v="Warehouse A"/>
    <x v="61"/>
    <d v="2023-11-22T00:00:00"/>
    <s v="Discontinued"/>
  </r>
  <r>
    <x v="1"/>
    <x v="0"/>
    <n v="185"/>
    <n v="34"/>
    <x v="0"/>
    <x v="2"/>
    <n v="277.99"/>
    <s v="Warehouse C"/>
    <x v="178"/>
    <d v="2023-07-08T00:00:00"/>
    <s v="High demand"/>
  </r>
  <r>
    <x v="6"/>
    <x v="3"/>
    <n v="41"/>
    <n v="83"/>
    <x v="1"/>
    <x v="1"/>
    <n v="269.93"/>
    <s v="Warehouse A"/>
    <x v="308"/>
    <d v="2023-07-23T00:00:00"/>
    <m/>
  </r>
  <r>
    <x v="30"/>
    <x v="2"/>
    <n v="109"/>
    <n v="21"/>
    <x v="0"/>
    <x v="2"/>
    <n v="268.73"/>
    <s v="Warehouse C"/>
    <x v="72"/>
    <d v="2023-06-26T00:00:00"/>
    <s v="Discontinued"/>
  </r>
  <r>
    <x v="8"/>
    <x v="3"/>
    <n v="4"/>
    <n v="80"/>
    <x v="1"/>
    <x v="0"/>
    <n v="399.36"/>
    <s v="Warehouse B"/>
    <x v="332"/>
    <d v="2023-04-27T00:00:00"/>
    <m/>
  </r>
  <r>
    <x v="20"/>
    <x v="1"/>
    <n v="164"/>
    <n v="94"/>
    <x v="0"/>
    <x v="1"/>
    <n v="448.1"/>
    <s v="Warehouse B"/>
    <x v="78"/>
    <d v="2023-12-21T00:00:00"/>
    <s v="Pending Coastal Logistics Partnersonfirmation"/>
  </r>
  <r>
    <x v="7"/>
    <x v="0"/>
    <n v="189"/>
    <n v="45"/>
    <x v="0"/>
    <x v="2"/>
    <n v="391.68"/>
    <s v="Warehouse A"/>
    <x v="333"/>
    <d v="2023-08-13T00:00:00"/>
    <m/>
  </r>
  <r>
    <x v="29"/>
    <x v="2"/>
    <n v="177"/>
    <n v="21"/>
    <x v="0"/>
    <x v="2"/>
    <n v="68.540000000000006"/>
    <s v="Warehouse A"/>
    <x v="112"/>
    <d v="2023-09-30T00:00:00"/>
    <s v="Pending Coastal Logistics Partnersonfirmation"/>
  </r>
  <r>
    <x v="27"/>
    <x v="1"/>
    <n v="86"/>
    <n v="35"/>
    <x v="0"/>
    <x v="2"/>
    <n v="421.44"/>
    <s v="Warehouse B"/>
    <x v="316"/>
    <d v="2023-12-30T00:00:00"/>
    <m/>
  </r>
  <r>
    <x v="15"/>
    <x v="2"/>
    <n v="83"/>
    <n v="66"/>
    <x v="0"/>
    <x v="0"/>
    <n v="86.4"/>
    <s v="Warehouse B"/>
    <x v="150"/>
    <d v="2024-01-04T00:00:00"/>
    <s v="Pending Coastal Logistics Partnersonfirmation"/>
  </r>
  <r>
    <x v="44"/>
    <x v="0"/>
    <n v="163"/>
    <n v="61"/>
    <x v="0"/>
    <x v="1"/>
    <n v="468.39"/>
    <s v="Warehouse B"/>
    <x v="218"/>
    <d v="2024-02-09T00:00:00"/>
    <m/>
  </r>
  <r>
    <x v="16"/>
    <x v="0"/>
    <n v="170"/>
    <n v="88"/>
    <x v="0"/>
    <x v="0"/>
    <n v="113.69"/>
    <s v="Warehouse C"/>
    <x v="88"/>
    <d v="2023-05-08T00:00:00"/>
    <s v="High demand"/>
  </r>
  <r>
    <x v="26"/>
    <x v="4"/>
    <n v="55"/>
    <n v="31"/>
    <x v="0"/>
    <x v="2"/>
    <n v="237.8"/>
    <s v="Warehouse A"/>
    <x v="326"/>
    <d v="2023-04-03T00:00:00"/>
    <s v="Discontinued"/>
  </r>
  <r>
    <x v="13"/>
    <x v="1"/>
    <n v="49"/>
    <n v="86"/>
    <x v="1"/>
    <x v="2"/>
    <n v="156.29"/>
    <s v="Warehouse B"/>
    <x v="8"/>
    <d v="2023-12-19T00:00:00"/>
    <m/>
  </r>
  <r>
    <x v="41"/>
    <x v="3"/>
    <n v="113"/>
    <n v="25"/>
    <x v="0"/>
    <x v="0"/>
    <n v="282.27"/>
    <s v="Warehouse B"/>
    <x v="83"/>
    <d v="2023-05-19T00:00:00"/>
    <s v="High demand"/>
  </r>
  <r>
    <x v="0"/>
    <x v="0"/>
    <n v="0"/>
    <n v="83"/>
    <x v="1"/>
    <x v="2"/>
    <n v="424.43"/>
    <s v="Warehouse C"/>
    <x v="146"/>
    <d v="2023-07-13T00:00:00"/>
    <m/>
  </r>
  <r>
    <x v="31"/>
    <x v="1"/>
    <n v="189"/>
    <n v="87"/>
    <x v="0"/>
    <x v="0"/>
    <n v="109.73"/>
    <s v="Warehouse C"/>
    <x v="119"/>
    <d v="2023-06-09T00:00:00"/>
    <s v="Pending Coastal Logistics Partnersonfirmation"/>
  </r>
  <r>
    <x v="16"/>
    <x v="2"/>
    <n v="123"/>
    <n v="21"/>
    <x v="0"/>
    <x v="2"/>
    <n v="327.3"/>
    <s v="Warehouse C"/>
    <x v="7"/>
    <d v="2023-05-20T00:00:00"/>
    <m/>
  </r>
  <r>
    <x v="10"/>
    <x v="2"/>
    <n v="120"/>
    <n v="91"/>
    <x v="0"/>
    <x v="2"/>
    <n v="446.94"/>
    <s v="Warehouse A"/>
    <x v="199"/>
    <d v="2023-08-16T00:00:00"/>
    <m/>
  </r>
  <r>
    <x v="39"/>
    <x v="2"/>
    <n v="194"/>
    <n v="88"/>
    <x v="0"/>
    <x v="1"/>
    <n v="365.08"/>
    <s v="Warehouse C"/>
    <x v="16"/>
    <d v="2023-06-01T00:00:00"/>
    <s v="Pending Coastal Logistics Partnersonfirmation"/>
  </r>
  <r>
    <x v="42"/>
    <x v="2"/>
    <n v="48"/>
    <n v="58"/>
    <x v="1"/>
    <x v="1"/>
    <n v="53.84"/>
    <s v="Warehouse A"/>
    <x v="79"/>
    <d v="2023-11-27T00:00:00"/>
    <s v="Discontinued"/>
  </r>
  <r>
    <x v="40"/>
    <x v="1"/>
    <n v="8"/>
    <n v="51"/>
    <x v="1"/>
    <x v="1"/>
    <n v="251.94"/>
    <s v="Warehouse B"/>
    <x v="166"/>
    <d v="2023-03-16T00:00:00"/>
    <s v="Discontinued"/>
  </r>
  <r>
    <x v="49"/>
    <x v="1"/>
    <n v="33"/>
    <n v="51"/>
    <x v="1"/>
    <x v="0"/>
    <n v="496.39"/>
    <s v="Warehouse C"/>
    <x v="132"/>
    <d v="2023-11-29T00:00:00"/>
    <m/>
  </r>
  <r>
    <x v="16"/>
    <x v="0"/>
    <n v="198"/>
    <n v="40"/>
    <x v="0"/>
    <x v="2"/>
    <n v="221.51"/>
    <s v="Warehouse A"/>
    <x v="191"/>
    <d v="2023-08-06T00:00:00"/>
    <s v="High demand"/>
  </r>
  <r>
    <x v="42"/>
    <x v="1"/>
    <n v="179"/>
    <n v="84"/>
    <x v="0"/>
    <x v="0"/>
    <n v="53.91"/>
    <s v="Warehouse A"/>
    <x v="207"/>
    <d v="2024-02-11T00:00:00"/>
    <s v="High demand"/>
  </r>
  <r>
    <x v="9"/>
    <x v="1"/>
    <n v="124"/>
    <n v="67"/>
    <x v="0"/>
    <x v="0"/>
    <n v="350.14"/>
    <s v="Warehouse A"/>
    <x v="35"/>
    <d v="2023-04-11T00:00:00"/>
    <s v="Discontinued"/>
  </r>
  <r>
    <x v="35"/>
    <x v="0"/>
    <n v="5"/>
    <n v="88"/>
    <x v="1"/>
    <x v="1"/>
    <n v="478.19"/>
    <s v="Warehouse B"/>
    <x v="180"/>
    <d v="2023-11-26T00:00:00"/>
    <s v="Discontinued"/>
  </r>
  <r>
    <x v="18"/>
    <x v="0"/>
    <n v="109"/>
    <n v="76"/>
    <x v="0"/>
    <x v="0"/>
    <n v="435.82"/>
    <s v="Warehouse B"/>
    <x v="192"/>
    <d v="2023-10-16T00:00:00"/>
    <m/>
  </r>
  <r>
    <x v="32"/>
    <x v="2"/>
    <n v="27"/>
    <n v="56"/>
    <x v="1"/>
    <x v="2"/>
    <n v="57.06"/>
    <s v="Warehouse C"/>
    <x v="123"/>
    <d v="2023-10-27T00:00:00"/>
    <s v="Discontinued"/>
  </r>
  <r>
    <x v="40"/>
    <x v="2"/>
    <n v="71"/>
    <n v="20"/>
    <x v="0"/>
    <x v="2"/>
    <n v="450"/>
    <s v="Warehouse B"/>
    <x v="144"/>
    <d v="2023-06-01T00:00:00"/>
    <s v="Discontinued"/>
  </r>
  <r>
    <x v="5"/>
    <x v="3"/>
    <n v="110"/>
    <n v="28"/>
    <x v="0"/>
    <x v="1"/>
    <n v="475.91"/>
    <s v="Warehouse C"/>
    <x v="204"/>
    <d v="2023-05-02T00:00:00"/>
    <s v="Pending Coastal Logistics Partnersonfirmation"/>
  </r>
  <r>
    <x v="36"/>
    <x v="4"/>
    <n v="108"/>
    <n v="38"/>
    <x v="0"/>
    <x v="1"/>
    <n v="151.12"/>
    <s v="Warehouse B"/>
    <x v="299"/>
    <d v="2023-04-07T00:00:00"/>
    <s v="Discontinued"/>
  </r>
  <r>
    <x v="49"/>
    <x v="3"/>
    <n v="62"/>
    <n v="65"/>
    <x v="1"/>
    <x v="2"/>
    <n v="359.13"/>
    <s v="Warehouse C"/>
    <x v="169"/>
    <d v="2023-09-23T00:00:00"/>
    <s v="Pending Coastal Logistics Partnersonfirmation"/>
  </r>
  <r>
    <x v="1"/>
    <x v="2"/>
    <n v="159"/>
    <n v="40"/>
    <x v="0"/>
    <x v="2"/>
    <n v="156.38999999999999"/>
    <s v="Warehouse B"/>
    <x v="97"/>
    <d v="2023-09-16T00:00:00"/>
    <m/>
  </r>
  <r>
    <x v="9"/>
    <x v="1"/>
    <n v="6"/>
    <n v="98"/>
    <x v="1"/>
    <x v="1"/>
    <n v="175.91"/>
    <s v="Warehouse C"/>
    <x v="5"/>
    <d v="2023-07-11T00:00:00"/>
    <s v="Discontinued"/>
  </r>
  <r>
    <x v="20"/>
    <x v="2"/>
    <n v="27"/>
    <n v="44"/>
    <x v="1"/>
    <x v="2"/>
    <n v="498.67"/>
    <s v="Warehouse B"/>
    <x v="42"/>
    <d v="2023-05-05T00:00:00"/>
    <m/>
  </r>
  <r>
    <x v="6"/>
    <x v="3"/>
    <n v="105"/>
    <n v="93"/>
    <x v="0"/>
    <x v="1"/>
    <n v="153.78"/>
    <s v="Warehouse A"/>
    <x v="193"/>
    <d v="2023-03-29T00:00:00"/>
    <s v="High demand"/>
  </r>
  <r>
    <x v="24"/>
    <x v="0"/>
    <n v="1"/>
    <n v="52"/>
    <x v="1"/>
    <x v="0"/>
    <n v="229.78"/>
    <s v="Warehouse A"/>
    <x v="1"/>
    <d v="2023-03-23T00:00:00"/>
    <m/>
  </r>
  <r>
    <x v="23"/>
    <x v="1"/>
    <n v="171"/>
    <n v="33"/>
    <x v="0"/>
    <x v="1"/>
    <n v="70.61"/>
    <s v="Warehouse B"/>
    <x v="63"/>
    <d v="2023-05-24T00:00:00"/>
    <s v="High demand"/>
  </r>
  <r>
    <x v="28"/>
    <x v="1"/>
    <n v="69"/>
    <n v="52"/>
    <x v="0"/>
    <x v="0"/>
    <n v="368"/>
    <s v="Warehouse B"/>
    <x v="0"/>
    <d v="2023-05-23T00:00:00"/>
    <s v="Pending Coastal Logistics Partnersonfirmation"/>
  </r>
  <r>
    <x v="48"/>
    <x v="1"/>
    <n v="93"/>
    <n v="23"/>
    <x v="0"/>
    <x v="2"/>
    <n v="273.48"/>
    <s v="Warehouse C"/>
    <x v="238"/>
    <d v="2023-07-29T00:00:00"/>
    <s v="High demand"/>
  </r>
  <r>
    <x v="21"/>
    <x v="1"/>
    <n v="101"/>
    <n v="51"/>
    <x v="0"/>
    <x v="1"/>
    <n v="341.53"/>
    <s v="Warehouse A"/>
    <x v="242"/>
    <d v="2023-07-05T00:00:00"/>
    <m/>
  </r>
  <r>
    <x v="49"/>
    <x v="1"/>
    <n v="86"/>
    <n v="84"/>
    <x v="0"/>
    <x v="1"/>
    <n v="101.76"/>
    <s v="Warehouse B"/>
    <x v="325"/>
    <d v="2023-01-28T00:00:00"/>
    <s v="High demand"/>
  </r>
  <r>
    <x v="0"/>
    <x v="1"/>
    <n v="137"/>
    <n v="94"/>
    <x v="0"/>
    <x v="0"/>
    <n v="319.85000000000002"/>
    <s v="Warehouse A"/>
    <x v="41"/>
    <d v="2023-02-17T00:00:00"/>
    <s v="Pending Coastal Logistics Partnersonfirmation"/>
  </r>
  <r>
    <x v="1"/>
    <x v="0"/>
    <n v="106"/>
    <n v="88"/>
    <x v="0"/>
    <x v="2"/>
    <n v="269.99"/>
    <s v="Warehouse B"/>
    <x v="90"/>
    <d v="2023-06-06T00:00:00"/>
    <s v="Pending Coastal Logistics Partnersonfirmation"/>
  </r>
  <r>
    <x v="48"/>
    <x v="3"/>
    <n v="125"/>
    <n v="83"/>
    <x v="0"/>
    <x v="0"/>
    <n v="103.22"/>
    <s v="Warehouse B"/>
    <x v="110"/>
    <d v="2023-07-08T00:00:00"/>
    <s v="Pending Coastal Logistics Partnersonfirmation"/>
  </r>
  <r>
    <x v="14"/>
    <x v="3"/>
    <n v="114"/>
    <n v="72"/>
    <x v="0"/>
    <x v="0"/>
    <n v="380.38"/>
    <s v="Warehouse A"/>
    <x v="301"/>
    <d v="2023-09-23T00:00:00"/>
    <m/>
  </r>
  <r>
    <x v="8"/>
    <x v="2"/>
    <n v="148"/>
    <n v="20"/>
    <x v="0"/>
    <x v="2"/>
    <n v="412.7"/>
    <s v="Warehouse B"/>
    <x v="284"/>
    <d v="2023-10-13T00:00:00"/>
    <s v="Discontinued"/>
  </r>
  <r>
    <x v="17"/>
    <x v="3"/>
    <n v="16"/>
    <n v="49"/>
    <x v="1"/>
    <x v="1"/>
    <n v="498.17"/>
    <s v="Warehouse B"/>
    <x v="265"/>
    <d v="2023-12-24T00:00:00"/>
    <s v="Discontinued"/>
  </r>
  <r>
    <x v="15"/>
    <x v="0"/>
    <n v="31"/>
    <n v="73"/>
    <x v="1"/>
    <x v="1"/>
    <n v="204.36"/>
    <s v="Warehouse A"/>
    <x v="74"/>
    <d v="2023-02-28T00:00:00"/>
    <m/>
  </r>
  <r>
    <x v="22"/>
    <x v="1"/>
    <n v="90"/>
    <n v="60"/>
    <x v="0"/>
    <x v="2"/>
    <n v="104.63"/>
    <s v="Warehouse C"/>
    <x v="146"/>
    <d v="2023-07-06T00:00:00"/>
    <s v="Pending Coastal Logistics Partnersonfirmation"/>
  </r>
  <r>
    <x v="15"/>
    <x v="3"/>
    <n v="45"/>
    <n v="97"/>
    <x v="1"/>
    <x v="1"/>
    <n v="432.31"/>
    <s v="Warehouse C"/>
    <x v="328"/>
    <d v="2023-06-25T00:00:00"/>
    <s v="Discontinued"/>
  </r>
  <r>
    <x v="1"/>
    <x v="3"/>
    <n v="2"/>
    <n v="71"/>
    <x v="1"/>
    <x v="1"/>
    <n v="476.95"/>
    <s v="Warehouse B"/>
    <x v="14"/>
    <d v="2023-10-15T00:00:00"/>
    <s v="High demand"/>
  </r>
  <r>
    <x v="44"/>
    <x v="2"/>
    <n v="94"/>
    <n v="74"/>
    <x v="0"/>
    <x v="0"/>
    <n v="231.31"/>
    <s v="Warehouse B"/>
    <x v="278"/>
    <d v="2023-02-06T00:00:00"/>
    <s v="High demand"/>
  </r>
  <r>
    <x v="31"/>
    <x v="3"/>
    <n v="110"/>
    <n v="35"/>
    <x v="0"/>
    <x v="1"/>
    <n v="341.12"/>
    <s v="Warehouse A"/>
    <x v="316"/>
    <d v="2023-11-02T00:00:00"/>
    <s v="Discontinued"/>
  </r>
  <r>
    <x v="6"/>
    <x v="1"/>
    <n v="194"/>
    <n v="73"/>
    <x v="0"/>
    <x v="2"/>
    <n v="309.95"/>
    <s v="Warehouse A"/>
    <x v="334"/>
    <d v="2023-06-18T00:00:00"/>
    <s v="Discontinued"/>
  </r>
  <r>
    <x v="4"/>
    <x v="4"/>
    <n v="170"/>
    <n v="97"/>
    <x v="0"/>
    <x v="0"/>
    <n v="395.59"/>
    <s v="Warehouse B"/>
    <x v="237"/>
    <d v="2023-06-23T00:00:00"/>
    <s v="Discontinued"/>
  </r>
  <r>
    <x v="3"/>
    <x v="2"/>
    <n v="11"/>
    <n v="23"/>
    <x v="1"/>
    <x v="2"/>
    <n v="346"/>
    <s v="Warehouse B"/>
    <x v="80"/>
    <d v="2023-08-28T00:00:00"/>
    <s v="High demand"/>
  </r>
  <r>
    <x v="44"/>
    <x v="0"/>
    <n v="18"/>
    <n v="95"/>
    <x v="1"/>
    <x v="2"/>
    <n v="333.78"/>
    <s v="Warehouse A"/>
    <x v="11"/>
    <d v="2023-09-08T00:00:00"/>
    <m/>
  </r>
  <r>
    <x v="48"/>
    <x v="3"/>
    <n v="23"/>
    <n v="40"/>
    <x v="1"/>
    <x v="2"/>
    <n v="187"/>
    <s v="Warehouse C"/>
    <x v="333"/>
    <d v="2023-10-14T00:00:00"/>
    <m/>
  </r>
  <r>
    <x v="34"/>
    <x v="0"/>
    <n v="63"/>
    <n v="42"/>
    <x v="0"/>
    <x v="1"/>
    <n v="205.92"/>
    <s v="Warehouse A"/>
    <x v="288"/>
    <d v="2023-06-07T00:00:00"/>
    <s v="Discontinued"/>
  </r>
  <r>
    <x v="12"/>
    <x v="1"/>
    <n v="159"/>
    <n v="85"/>
    <x v="0"/>
    <x v="1"/>
    <n v="422.85"/>
    <s v="Warehouse C"/>
    <x v="330"/>
    <d v="2023-04-16T00:00:00"/>
    <s v="Discontinued"/>
  </r>
  <r>
    <x v="49"/>
    <x v="0"/>
    <n v="187"/>
    <n v="68"/>
    <x v="0"/>
    <x v="2"/>
    <n v="131.38"/>
    <s v="Warehouse A"/>
    <x v="60"/>
    <d v="2023-02-25T00:00:00"/>
    <m/>
  </r>
  <r>
    <x v="42"/>
    <x v="0"/>
    <n v="71"/>
    <n v="40"/>
    <x v="0"/>
    <x v="0"/>
    <n v="457.23"/>
    <s v="Warehouse A"/>
    <x v="285"/>
    <d v="2023-08-10T00:00:00"/>
    <m/>
  </r>
  <r>
    <x v="19"/>
    <x v="1"/>
    <n v="68"/>
    <n v="84"/>
    <x v="1"/>
    <x v="0"/>
    <n v="30.93"/>
    <s v="Warehouse C"/>
    <x v="162"/>
    <d v="2023-05-17T00:00:00"/>
    <s v="Discontinued"/>
  </r>
  <r>
    <x v="7"/>
    <x v="3"/>
    <n v="10"/>
    <n v="88"/>
    <x v="1"/>
    <x v="0"/>
    <n v="187.69"/>
    <s v="Warehouse C"/>
    <x v="132"/>
    <d v="2023-10-26T00:00:00"/>
    <s v="Pending Coastal Logistics Partnersonfirmation"/>
  </r>
  <r>
    <x v="40"/>
    <x v="0"/>
    <n v="162"/>
    <n v="84"/>
    <x v="0"/>
    <x v="0"/>
    <n v="388.41"/>
    <s v="Warehouse B"/>
    <x v="233"/>
    <d v="2023-12-18T00:00:00"/>
    <s v="High demand"/>
  </r>
  <r>
    <x v="22"/>
    <x v="1"/>
    <n v="66"/>
    <n v="40"/>
    <x v="0"/>
    <x v="0"/>
    <n v="58.38"/>
    <s v="Warehouse C"/>
    <x v="335"/>
    <d v="2024-03-15T00:00:00"/>
    <s v="Pending Coastal Logistics Partnersonfirmation"/>
  </r>
  <r>
    <x v="31"/>
    <x v="0"/>
    <n v="83"/>
    <n v="77"/>
    <x v="0"/>
    <x v="1"/>
    <n v="190.01"/>
    <s v="Warehouse B"/>
    <x v="105"/>
    <d v="2023-04-29T00:00:00"/>
    <m/>
  </r>
  <r>
    <x v="32"/>
    <x v="1"/>
    <n v="198"/>
    <n v="31"/>
    <x v="0"/>
    <x v="1"/>
    <n v="418.06"/>
    <s v="Warehouse C"/>
    <x v="137"/>
    <d v="2023-12-07T00:00:00"/>
    <m/>
  </r>
  <r>
    <x v="39"/>
    <x v="4"/>
    <n v="81"/>
    <n v="89"/>
    <x v="1"/>
    <x v="1"/>
    <n v="418.97"/>
    <s v="Warehouse B"/>
    <x v="0"/>
    <d v="2023-06-12T00:00:00"/>
    <s v="Discontinued"/>
  </r>
  <r>
    <x v="8"/>
    <x v="3"/>
    <n v="142"/>
    <n v="54"/>
    <x v="0"/>
    <x v="2"/>
    <n v="80.23"/>
    <s v="Warehouse B"/>
    <x v="148"/>
    <d v="2023-08-19T00:00:00"/>
    <s v="High demand"/>
  </r>
  <r>
    <x v="18"/>
    <x v="3"/>
    <n v="59"/>
    <n v="64"/>
    <x v="1"/>
    <x v="2"/>
    <n v="408.54"/>
    <s v="Warehouse B"/>
    <x v="282"/>
    <d v="2023-12-02T00:00:00"/>
    <m/>
  </r>
  <r>
    <x v="37"/>
    <x v="2"/>
    <n v="23"/>
    <n v="84"/>
    <x v="1"/>
    <x v="0"/>
    <n v="493.58"/>
    <s v="Warehouse B"/>
    <x v="109"/>
    <d v="2023-03-14T00:00:00"/>
    <s v="High demand"/>
  </r>
  <r>
    <x v="30"/>
    <x v="1"/>
    <n v="113"/>
    <n v="20"/>
    <x v="0"/>
    <x v="1"/>
    <n v="70.430000000000007"/>
    <s v="Warehouse A"/>
    <x v="324"/>
    <d v="2024-01-11T00:00:00"/>
    <s v="Discontinued"/>
  </r>
  <r>
    <x v="11"/>
    <x v="0"/>
    <n v="46"/>
    <n v="98"/>
    <x v="1"/>
    <x v="0"/>
    <n v="379.38"/>
    <s v="Warehouse B"/>
    <x v="294"/>
    <d v="2023-06-15T00:00:00"/>
    <s v="Pending Coastal Logistics Partnersonfirmation"/>
  </r>
  <r>
    <x v="36"/>
    <x v="3"/>
    <n v="178"/>
    <n v="55"/>
    <x v="0"/>
    <x v="0"/>
    <n v="17.559999999999999"/>
    <s v="Warehouse B"/>
    <x v="4"/>
    <d v="2024-01-18T00:00:00"/>
    <s v="Discontinued"/>
  </r>
  <r>
    <x v="20"/>
    <x v="4"/>
    <n v="165"/>
    <n v="21"/>
    <x v="0"/>
    <x v="1"/>
    <n v="213.86"/>
    <s v="Warehouse B"/>
    <x v="96"/>
    <d v="2023-11-15T00:00:00"/>
    <m/>
  </r>
  <r>
    <x v="48"/>
    <x v="2"/>
    <n v="104"/>
    <n v="91"/>
    <x v="0"/>
    <x v="1"/>
    <n v="206.02"/>
    <s v="Warehouse A"/>
    <x v="67"/>
    <d v="2023-05-15T00:00:00"/>
    <s v="Pending Coastal Logistics Partnersonfirmation"/>
  </r>
  <r>
    <x v="24"/>
    <x v="2"/>
    <n v="146"/>
    <n v="75"/>
    <x v="0"/>
    <x v="2"/>
    <n v="386.52"/>
    <s v="Warehouse B"/>
    <x v="123"/>
    <d v="2023-09-27T00:00:00"/>
    <s v="Discontinued"/>
  </r>
  <r>
    <x v="45"/>
    <x v="4"/>
    <n v="76"/>
    <n v="61"/>
    <x v="0"/>
    <x v="1"/>
    <n v="430.25"/>
    <s v="Warehouse A"/>
    <x v="98"/>
    <d v="2023-09-13T00:00:00"/>
    <s v="Discontinued"/>
  </r>
  <r>
    <x v="1"/>
    <x v="0"/>
    <n v="62"/>
    <n v="43"/>
    <x v="0"/>
    <x v="1"/>
    <n v="401.46"/>
    <s v="Warehouse B"/>
    <x v="264"/>
    <d v="2023-12-17T00:00:00"/>
    <s v="High demand"/>
  </r>
  <r>
    <x v="26"/>
    <x v="3"/>
    <n v="131"/>
    <n v="83"/>
    <x v="0"/>
    <x v="0"/>
    <n v="396.32"/>
    <s v="Warehouse B"/>
    <x v="62"/>
    <d v="2023-10-01T00:00:00"/>
    <s v="High demand"/>
  </r>
  <r>
    <x v="6"/>
    <x v="3"/>
    <n v="85"/>
    <n v="43"/>
    <x v="0"/>
    <x v="0"/>
    <n v="313.60000000000002"/>
    <s v="Warehouse B"/>
    <x v="103"/>
    <d v="2023-06-03T00:00:00"/>
    <s v="High demand"/>
  </r>
  <r>
    <x v="15"/>
    <x v="0"/>
    <n v="40"/>
    <n v="95"/>
    <x v="1"/>
    <x v="0"/>
    <n v="433.82"/>
    <s v="Warehouse A"/>
    <x v="62"/>
    <d v="2023-10-30T00:00:00"/>
    <s v="Discontinued"/>
  </r>
  <r>
    <x v="4"/>
    <x v="4"/>
    <n v="62"/>
    <n v="83"/>
    <x v="1"/>
    <x v="0"/>
    <n v="254.07"/>
    <s v="Warehouse C"/>
    <x v="243"/>
    <d v="2023-10-22T00:00:00"/>
    <s v="Pending Coastal Logistics Partnersonfirmation"/>
  </r>
  <r>
    <x v="8"/>
    <x v="0"/>
    <n v="43"/>
    <n v="36"/>
    <x v="0"/>
    <x v="0"/>
    <n v="160.07"/>
    <s v="Warehouse C"/>
    <x v="145"/>
    <d v="2023-10-20T00:00:00"/>
    <s v="Pending Coastal Logistics Partnersonfirmation"/>
  </r>
  <r>
    <x v="35"/>
    <x v="2"/>
    <n v="199"/>
    <n v="63"/>
    <x v="0"/>
    <x v="1"/>
    <n v="91.24"/>
    <s v="Warehouse A"/>
    <x v="194"/>
    <d v="2023-04-07T00:00:00"/>
    <m/>
  </r>
  <r>
    <x v="41"/>
    <x v="1"/>
    <n v="194"/>
    <n v="81"/>
    <x v="0"/>
    <x v="2"/>
    <n v="408.79"/>
    <s v="Warehouse B"/>
    <x v="289"/>
    <d v="2023-11-24T00:00:00"/>
    <m/>
  </r>
  <r>
    <x v="41"/>
    <x v="1"/>
    <n v="167"/>
    <n v="32"/>
    <x v="0"/>
    <x v="2"/>
    <n v="19.649999999999999"/>
    <s v="Warehouse A"/>
    <x v="219"/>
    <d v="2023-12-04T00:00:00"/>
    <s v="Discontinued"/>
  </r>
  <r>
    <x v="3"/>
    <x v="3"/>
    <n v="52"/>
    <n v="81"/>
    <x v="1"/>
    <x v="0"/>
    <n v="477.87"/>
    <s v="Warehouse C"/>
    <x v="303"/>
    <d v="2023-07-26T00:00:00"/>
    <s v="Discontinued"/>
  </r>
  <r>
    <x v="16"/>
    <x v="2"/>
    <n v="4"/>
    <n v="47"/>
    <x v="1"/>
    <x v="1"/>
    <n v="455.79"/>
    <s v="Warehouse C"/>
    <x v="72"/>
    <d v="2023-06-04T00:00:00"/>
    <s v="Pending Coastal Logistics Partnersonfirmation"/>
  </r>
  <r>
    <x v="6"/>
    <x v="1"/>
    <n v="131"/>
    <n v="25"/>
    <x v="0"/>
    <x v="1"/>
    <n v="335.9"/>
    <s v="Warehouse A"/>
    <x v="277"/>
    <d v="2023-07-13T00:00:00"/>
    <s v="Discontinued"/>
  </r>
  <r>
    <x v="6"/>
    <x v="4"/>
    <n v="7"/>
    <n v="83"/>
    <x v="1"/>
    <x v="0"/>
    <n v="250.96"/>
    <s v="Warehouse A"/>
    <x v="226"/>
    <d v="2023-09-28T00:00:00"/>
    <s v="Discontinued"/>
  </r>
  <r>
    <x v="42"/>
    <x v="2"/>
    <n v="145"/>
    <n v="60"/>
    <x v="0"/>
    <x v="1"/>
    <n v="222.14"/>
    <s v="Warehouse B"/>
    <x v="336"/>
    <d v="2023-04-18T00:00:00"/>
    <s v="Discontinued"/>
  </r>
  <r>
    <x v="21"/>
    <x v="3"/>
    <n v="156"/>
    <n v="50"/>
    <x v="0"/>
    <x v="0"/>
    <n v="87.2"/>
    <s v="Warehouse A"/>
    <x v="230"/>
    <d v="2023-08-06T00:00:00"/>
    <s v="High demand"/>
  </r>
  <r>
    <x v="6"/>
    <x v="3"/>
    <n v="122"/>
    <n v="21"/>
    <x v="0"/>
    <x v="2"/>
    <n v="5.5"/>
    <s v="Warehouse A"/>
    <x v="337"/>
    <d v="2023-08-24T00:00:00"/>
    <m/>
  </r>
  <r>
    <x v="41"/>
    <x v="2"/>
    <n v="82"/>
    <n v="34"/>
    <x v="0"/>
    <x v="1"/>
    <n v="199.21"/>
    <s v="Warehouse A"/>
    <x v="188"/>
    <d v="2023-11-06T00:00:00"/>
    <s v="Pending Coastal Logistics Partnersonfirmation"/>
  </r>
  <r>
    <x v="13"/>
    <x v="1"/>
    <n v="15"/>
    <n v="91"/>
    <x v="1"/>
    <x v="1"/>
    <n v="273.8"/>
    <s v="Warehouse C"/>
    <x v="10"/>
    <d v="2023-12-06T00:00:00"/>
    <m/>
  </r>
  <r>
    <x v="4"/>
    <x v="3"/>
    <n v="128"/>
    <n v="91"/>
    <x v="0"/>
    <x v="0"/>
    <n v="278.2"/>
    <s v="Warehouse A"/>
    <x v="54"/>
    <d v="2023-08-25T00:00:00"/>
    <s v="Pending Coastal Logistics Partnersonfirmation"/>
  </r>
  <r>
    <x v="3"/>
    <x v="0"/>
    <n v="63"/>
    <n v="62"/>
    <x v="0"/>
    <x v="0"/>
    <n v="276.77999999999997"/>
    <s v="Warehouse B"/>
    <x v="189"/>
    <d v="2023-11-16T00:00:00"/>
    <s v="Discontinued"/>
  </r>
  <r>
    <x v="37"/>
    <x v="0"/>
    <n v="54"/>
    <n v="59"/>
    <x v="1"/>
    <x v="1"/>
    <n v="26.77"/>
    <s v="Warehouse C"/>
    <x v="167"/>
    <d v="2023-04-13T00:00:00"/>
    <m/>
  </r>
  <r>
    <x v="37"/>
    <x v="4"/>
    <n v="53"/>
    <n v="81"/>
    <x v="1"/>
    <x v="0"/>
    <n v="118.77"/>
    <s v="Warehouse C"/>
    <x v="189"/>
    <d v="2023-11-18T00:00:00"/>
    <m/>
  </r>
  <r>
    <x v="41"/>
    <x v="0"/>
    <n v="102"/>
    <n v="73"/>
    <x v="0"/>
    <x v="1"/>
    <n v="146.15"/>
    <s v="Warehouse B"/>
    <x v="286"/>
    <d v="2023-02-18T00:00:00"/>
    <s v="High demand"/>
  </r>
  <r>
    <x v="14"/>
    <x v="3"/>
    <n v="117"/>
    <n v="42"/>
    <x v="0"/>
    <x v="2"/>
    <n v="486.23"/>
    <s v="Warehouse C"/>
    <x v="321"/>
    <d v="2023-12-10T00:00:00"/>
    <m/>
  </r>
  <r>
    <x v="12"/>
    <x v="0"/>
    <n v="118"/>
    <n v="84"/>
    <x v="0"/>
    <x v="2"/>
    <n v="332.7"/>
    <s v="Warehouse C"/>
    <x v="338"/>
    <d v="2023-10-07T00:00:00"/>
    <s v="High demand"/>
  </r>
  <r>
    <x v="31"/>
    <x v="2"/>
    <n v="168"/>
    <n v="61"/>
    <x v="0"/>
    <x v="1"/>
    <n v="262.52"/>
    <s v="Warehouse C"/>
    <x v="115"/>
    <d v="2023-11-10T00:00:00"/>
    <s v="Pending Coastal Logistics Partnersonfirmation"/>
  </r>
  <r>
    <x v="5"/>
    <x v="0"/>
    <n v="130"/>
    <n v="92"/>
    <x v="0"/>
    <x v="1"/>
    <n v="341.51"/>
    <s v="Warehouse B"/>
    <x v="141"/>
    <d v="2023-11-11T00:00:00"/>
    <s v="High demand"/>
  </r>
  <r>
    <x v="25"/>
    <x v="4"/>
    <n v="189"/>
    <n v="94"/>
    <x v="0"/>
    <x v="1"/>
    <n v="42.41"/>
    <s v="Warehouse A"/>
    <x v="239"/>
    <d v="2023-03-26T00:00:00"/>
    <m/>
  </r>
  <r>
    <x v="43"/>
    <x v="4"/>
    <n v="33"/>
    <n v="70"/>
    <x v="1"/>
    <x v="1"/>
    <n v="212.81"/>
    <s v="Warehouse A"/>
    <x v="41"/>
    <d v="2023-03-17T00:00:00"/>
    <s v="High demand"/>
  </r>
  <r>
    <x v="34"/>
    <x v="2"/>
    <n v="77"/>
    <n v="32"/>
    <x v="0"/>
    <x v="2"/>
    <n v="174.26"/>
    <s v="Warehouse B"/>
    <x v="218"/>
    <d v="2024-03-13T00:00:00"/>
    <s v="High demand"/>
  </r>
  <r>
    <x v="41"/>
    <x v="3"/>
    <n v="69"/>
    <n v="73"/>
    <x v="1"/>
    <x v="1"/>
    <n v="452.98"/>
    <s v="Warehouse A"/>
    <x v="110"/>
    <d v="2023-07-14T00:00:00"/>
    <m/>
  </r>
  <r>
    <x v="18"/>
    <x v="1"/>
    <n v="1"/>
    <n v="78"/>
    <x v="1"/>
    <x v="0"/>
    <n v="90.74"/>
    <s v="Warehouse B"/>
    <x v="170"/>
    <d v="2023-12-27T00:00:00"/>
    <s v="Discontinued"/>
  </r>
  <r>
    <x v="16"/>
    <x v="0"/>
    <n v="163"/>
    <n v="54"/>
    <x v="0"/>
    <x v="2"/>
    <n v="477.71"/>
    <s v="Warehouse A"/>
    <x v="165"/>
    <d v="2023-09-01T00:00:00"/>
    <s v="Discontinued"/>
  </r>
  <r>
    <x v="25"/>
    <x v="4"/>
    <n v="47"/>
    <n v="31"/>
    <x v="0"/>
    <x v="1"/>
    <n v="403.14"/>
    <s v="Warehouse B"/>
    <x v="141"/>
    <d v="2023-10-11T00:00:00"/>
    <s v="Pending Coastal Logistics Partnersonfirmation"/>
  </r>
  <r>
    <x v="7"/>
    <x v="4"/>
    <n v="157"/>
    <n v="51"/>
    <x v="0"/>
    <x v="2"/>
    <n v="165.05"/>
    <s v="Warehouse A"/>
    <x v="96"/>
    <d v="2023-11-10T00:00:00"/>
    <m/>
  </r>
  <r>
    <x v="0"/>
    <x v="0"/>
    <n v="19"/>
    <n v="57"/>
    <x v="1"/>
    <x v="0"/>
    <n v="461.4"/>
    <s v="Warehouse A"/>
    <x v="262"/>
    <d v="2024-03-24T00:00:00"/>
    <m/>
  </r>
  <r>
    <x v="19"/>
    <x v="1"/>
    <n v="28"/>
    <n v="90"/>
    <x v="1"/>
    <x v="0"/>
    <n v="148.86000000000001"/>
    <s v="Warehouse A"/>
    <x v="184"/>
    <d v="2023-07-30T00:00:00"/>
    <s v="Discontinued"/>
  </r>
  <r>
    <x v="48"/>
    <x v="3"/>
    <n v="1"/>
    <n v="46"/>
    <x v="1"/>
    <x v="0"/>
    <n v="231.06"/>
    <s v="Warehouse B"/>
    <x v="339"/>
    <d v="2023-04-08T00:00:00"/>
    <s v="Pending Coastal Logistics Partnersonfirmation"/>
  </r>
  <r>
    <x v="18"/>
    <x v="4"/>
    <n v="122"/>
    <n v="78"/>
    <x v="0"/>
    <x v="1"/>
    <n v="384.58"/>
    <s v="Warehouse C"/>
    <x v="304"/>
    <d v="2023-06-09T00:00:00"/>
    <s v="High demand"/>
  </r>
  <r>
    <x v="41"/>
    <x v="3"/>
    <n v="106"/>
    <n v="73"/>
    <x v="0"/>
    <x v="1"/>
    <n v="133.88"/>
    <s v="Warehouse A"/>
    <x v="117"/>
    <d v="2023-12-19T00:00:00"/>
    <s v="Pending Coastal Logistics Partnersonfirmation"/>
  </r>
  <r>
    <x v="17"/>
    <x v="0"/>
    <n v="20"/>
    <n v="33"/>
    <x v="1"/>
    <x v="2"/>
    <n v="134.62"/>
    <s v="Warehouse A"/>
    <x v="179"/>
    <d v="2023-02-08T00:00:00"/>
    <s v="Discontinued"/>
  </r>
  <r>
    <x v="36"/>
    <x v="4"/>
    <n v="193"/>
    <n v="42"/>
    <x v="0"/>
    <x v="0"/>
    <n v="93.9"/>
    <s v="Warehouse A"/>
    <x v="161"/>
    <d v="2024-03-08T00:00:00"/>
    <s v="High demand"/>
  </r>
  <r>
    <x v="34"/>
    <x v="2"/>
    <n v="128"/>
    <n v="26"/>
    <x v="0"/>
    <x v="1"/>
    <n v="161.09"/>
    <s v="Warehouse C"/>
    <x v="3"/>
    <d v="2023-09-16T00:00:00"/>
    <s v="High demand"/>
  </r>
  <r>
    <x v="6"/>
    <x v="2"/>
    <n v="58"/>
    <n v="73"/>
    <x v="1"/>
    <x v="1"/>
    <n v="78.849999999999994"/>
    <s v="Warehouse B"/>
    <x v="70"/>
    <d v="2023-09-06T00:00:00"/>
    <s v="Pending Coastal Logistics Partnersonfirmation"/>
  </r>
  <r>
    <x v="4"/>
    <x v="2"/>
    <n v="47"/>
    <n v="96"/>
    <x v="1"/>
    <x v="2"/>
    <n v="495.73"/>
    <s v="Warehouse A"/>
    <x v="122"/>
    <d v="2023-07-10T00:00:00"/>
    <m/>
  </r>
  <r>
    <x v="31"/>
    <x v="3"/>
    <n v="157"/>
    <n v="29"/>
    <x v="0"/>
    <x v="0"/>
    <n v="309.51"/>
    <s v="Warehouse C"/>
    <x v="79"/>
    <d v="2023-11-05T00:00:00"/>
    <s v="Pending Coastal Logistics Partnersonfirmation"/>
  </r>
  <r>
    <x v="2"/>
    <x v="2"/>
    <n v="126"/>
    <n v="31"/>
    <x v="0"/>
    <x v="2"/>
    <n v="113.94"/>
    <s v="Warehouse B"/>
    <x v="123"/>
    <d v="2023-09-07T00:00:00"/>
    <s v="Pending Coastal Logistics Partnersonfirmation"/>
  </r>
  <r>
    <x v="50"/>
    <x v="2"/>
    <n v="99"/>
    <n v="20"/>
    <x v="0"/>
    <x v="1"/>
    <n v="155.58000000000001"/>
    <s v="Warehouse B"/>
    <x v="340"/>
    <d v="2024-05-07T00:00:00"/>
    <s v="High demand"/>
  </r>
  <r>
    <x v="51"/>
    <x v="3"/>
    <n v="67"/>
    <n v="27"/>
    <x v="0"/>
    <x v="1"/>
    <n v="155.44999999999999"/>
    <s v="Warehouse C"/>
    <x v="341"/>
    <d v="2024-09-05T00:00:00"/>
    <s v="Discontinued"/>
  </r>
  <r>
    <x v="52"/>
    <x v="0"/>
    <n v="132"/>
    <n v="48"/>
    <x v="0"/>
    <x v="2"/>
    <n v="119.06"/>
    <s v="Warehouse C"/>
    <x v="342"/>
    <d v="2024-10-20T00:00:00"/>
    <s v="High demand"/>
  </r>
  <r>
    <x v="53"/>
    <x v="3"/>
    <n v="119"/>
    <n v="24"/>
    <x v="0"/>
    <x v="2"/>
    <n v="5.73"/>
    <s v="Warehouse C"/>
    <x v="343"/>
    <d v="2024-06-13T00:00:00"/>
    <s v="Discontinued"/>
  </r>
  <r>
    <x v="54"/>
    <x v="3"/>
    <n v="36"/>
    <n v="66"/>
    <x v="1"/>
    <x v="0"/>
    <n v="366.03"/>
    <s v="Warehouse B"/>
    <x v="344"/>
    <d v="2024-05-05T00:00:00"/>
    <s v="Pending Coastal Logistics Partnersonfirmation"/>
  </r>
  <r>
    <x v="55"/>
    <x v="1"/>
    <n v="71"/>
    <n v="53"/>
    <x v="0"/>
    <x v="1"/>
    <n v="483.59"/>
    <s v="Warehouse C"/>
    <x v="345"/>
    <d v="2025-01-07T00:00:00"/>
    <s v="Discontinued"/>
  </r>
  <r>
    <x v="56"/>
    <x v="0"/>
    <n v="126"/>
    <n v="84"/>
    <x v="0"/>
    <x v="0"/>
    <n v="116.03"/>
    <s v="Warehouse C"/>
    <x v="346"/>
    <d v="2024-05-03T00:00:00"/>
    <s v="Discontinued"/>
  </r>
  <r>
    <x v="57"/>
    <x v="0"/>
    <n v="105"/>
    <n v="74"/>
    <x v="0"/>
    <x v="0"/>
    <n v="333.21"/>
    <s v="Warehouse A"/>
    <x v="347"/>
    <d v="2024-10-31T00:00:00"/>
    <m/>
  </r>
  <r>
    <x v="58"/>
    <x v="0"/>
    <n v="91"/>
    <n v="62"/>
    <x v="0"/>
    <x v="0"/>
    <n v="372.24"/>
    <s v="Warehouse C"/>
    <x v="348"/>
    <d v="2024-04-09T00:00:00"/>
    <s v="High demand"/>
  </r>
  <r>
    <x v="59"/>
    <x v="3"/>
    <n v="30"/>
    <n v="93"/>
    <x v="1"/>
    <x v="1"/>
    <n v="424.97"/>
    <s v="Warehouse A"/>
    <x v="349"/>
    <d v="2024-04-06T00:00:00"/>
    <s v="Pending Coastal Logistics Partnersonfirmation"/>
  </r>
  <r>
    <x v="60"/>
    <x v="2"/>
    <n v="121"/>
    <n v="49"/>
    <x v="0"/>
    <x v="0"/>
    <n v="214.2"/>
    <s v="Warehouse A"/>
    <x v="350"/>
    <d v="2024-02-29T00:00:00"/>
    <m/>
  </r>
  <r>
    <x v="61"/>
    <x v="0"/>
    <n v="136"/>
    <n v="36"/>
    <x v="0"/>
    <x v="0"/>
    <n v="154.94999999999999"/>
    <s v="Warehouse C"/>
    <x v="351"/>
    <d v="2024-09-02T00:00:00"/>
    <s v="High demand"/>
  </r>
  <r>
    <x v="62"/>
    <x v="3"/>
    <n v="50"/>
    <n v="45"/>
    <x v="0"/>
    <x v="0"/>
    <n v="166.02"/>
    <s v="Warehouse A"/>
    <x v="352"/>
    <d v="2024-09-16T00:00:00"/>
    <s v="Pending Coastal Logistics Partnersonfirmation"/>
  </r>
  <r>
    <x v="63"/>
    <x v="1"/>
    <n v="28"/>
    <n v="27"/>
    <x v="0"/>
    <x v="0"/>
    <n v="357.75"/>
    <s v="Warehouse B"/>
    <x v="353"/>
    <d v="2024-07-11T00:00:00"/>
    <s v="Pending Coastal Logistics Partnersonfirmation"/>
  </r>
  <r>
    <x v="20"/>
    <x v="2"/>
    <n v="39"/>
    <n v="66"/>
    <x v="1"/>
    <x v="0"/>
    <n v="409.31"/>
    <s v="Warehouse B"/>
    <x v="354"/>
    <d v="2024-08-18T00:00:00"/>
    <s v="Pending Coastal Logistics Partnersonfirmation"/>
  </r>
  <r>
    <x v="64"/>
    <x v="1"/>
    <n v="40"/>
    <n v="95"/>
    <x v="1"/>
    <x v="0"/>
    <n v="94.9"/>
    <s v="Warehouse C"/>
    <x v="355"/>
    <d v="2024-08-15T00:00:00"/>
    <s v="High demand"/>
  </r>
  <r>
    <x v="65"/>
    <x v="2"/>
    <n v="10"/>
    <n v="91"/>
    <x v="1"/>
    <x v="1"/>
    <n v="188.62"/>
    <s v="Warehouse B"/>
    <x v="356"/>
    <d v="2024-06-23T00:00:00"/>
    <s v="Pending Coastal Logistics Partnersonfirmation"/>
  </r>
  <r>
    <x v="66"/>
    <x v="3"/>
    <n v="150"/>
    <n v="65"/>
    <x v="0"/>
    <x v="0"/>
    <n v="451.46"/>
    <s v="Warehouse A"/>
    <x v="357"/>
    <d v="2024-12-18T00:00:00"/>
    <s v="Pending Coastal Logistics Partnersonfirmation"/>
  </r>
  <r>
    <x v="67"/>
    <x v="4"/>
    <n v="0"/>
    <n v="87"/>
    <x v="1"/>
    <x v="2"/>
    <n v="404.31"/>
    <s v="Warehouse B"/>
    <x v="358"/>
    <d v="2024-05-08T00:00:00"/>
    <m/>
  </r>
  <r>
    <x v="68"/>
    <x v="2"/>
    <n v="45"/>
    <n v="52"/>
    <x v="1"/>
    <x v="0"/>
    <n v="492.5"/>
    <s v="Warehouse C"/>
    <x v="359"/>
    <d v="2024-06-04T00:00:00"/>
    <s v="Discontinued"/>
  </r>
  <r>
    <x v="69"/>
    <x v="1"/>
    <n v="100"/>
    <n v="20"/>
    <x v="0"/>
    <x v="0"/>
    <n v="378.35"/>
    <s v="Warehouse C"/>
    <x v="360"/>
    <d v="2024-06-11T00:00:00"/>
    <s v="High demand"/>
  </r>
  <r>
    <x v="70"/>
    <x v="3"/>
    <n v="148"/>
    <n v="38"/>
    <x v="0"/>
    <x v="1"/>
    <n v="199.63"/>
    <s v="Warehouse A"/>
    <x v="361"/>
    <d v="2024-08-28T00:00:00"/>
    <s v="Discontinued"/>
  </r>
  <r>
    <x v="71"/>
    <x v="2"/>
    <n v="89"/>
    <n v="50"/>
    <x v="0"/>
    <x v="1"/>
    <n v="297.37"/>
    <s v="Warehouse C"/>
    <x v="362"/>
    <d v="2024-06-26T00:00:00"/>
    <m/>
  </r>
  <r>
    <x v="72"/>
    <x v="4"/>
    <n v="109"/>
    <n v="99"/>
    <x v="0"/>
    <x v="2"/>
    <n v="332.2"/>
    <s v="Warehouse B"/>
    <x v="342"/>
    <d v="2024-10-20T00:00:00"/>
    <s v="Discontinued"/>
  </r>
  <r>
    <x v="63"/>
    <x v="4"/>
    <n v="163"/>
    <n v="33"/>
    <x v="0"/>
    <x v="2"/>
    <n v="43.84"/>
    <s v="Warehouse C"/>
    <x v="363"/>
    <d v="2024-10-21T00:00:00"/>
    <s v="Pending Coastal Logistics Partnersonfirmation"/>
  </r>
  <r>
    <x v="62"/>
    <x v="0"/>
    <n v="181"/>
    <n v="72"/>
    <x v="0"/>
    <x v="1"/>
    <n v="274.52999999999997"/>
    <s v="Warehouse A"/>
    <x v="364"/>
    <d v="2025-02-04T00:00:00"/>
    <s v="Pending Coastal Logistics Partnersonfirmation"/>
  </r>
  <r>
    <x v="73"/>
    <x v="0"/>
    <n v="56"/>
    <n v="67"/>
    <x v="1"/>
    <x v="1"/>
    <n v="356.11"/>
    <s v="Warehouse C"/>
    <x v="365"/>
    <d v="2024-11-19T00:00:00"/>
    <s v="High demand"/>
  </r>
  <r>
    <x v="74"/>
    <x v="1"/>
    <n v="0"/>
    <n v="88"/>
    <x v="1"/>
    <x v="0"/>
    <n v="87.82"/>
    <s v="Warehouse B"/>
    <x v="366"/>
    <d v="2024-03-30T00:00:00"/>
    <s v="High demand"/>
  </r>
  <r>
    <x v="65"/>
    <x v="2"/>
    <n v="62"/>
    <n v="81"/>
    <x v="1"/>
    <x v="1"/>
    <n v="391.41"/>
    <s v="Warehouse A"/>
    <x v="367"/>
    <d v="2024-08-02T00:00:00"/>
    <s v="High demand"/>
  </r>
  <r>
    <x v="65"/>
    <x v="2"/>
    <n v="181"/>
    <n v="85"/>
    <x v="0"/>
    <x v="2"/>
    <n v="293.97000000000003"/>
    <s v="Warehouse B"/>
    <x v="368"/>
    <d v="2024-10-10T00:00:00"/>
    <m/>
  </r>
  <r>
    <x v="75"/>
    <x v="0"/>
    <n v="54"/>
    <n v="83"/>
    <x v="1"/>
    <x v="0"/>
    <n v="476.35"/>
    <s v="Warehouse A"/>
    <x v="369"/>
    <d v="2024-12-17T00:00:00"/>
    <s v="High demand"/>
  </r>
  <r>
    <x v="76"/>
    <x v="2"/>
    <n v="114"/>
    <n v="89"/>
    <x v="0"/>
    <x v="2"/>
    <n v="26"/>
    <s v="Warehouse C"/>
    <x v="370"/>
    <d v="2024-08-13T00:00:00"/>
    <m/>
  </r>
  <r>
    <x v="53"/>
    <x v="2"/>
    <n v="167"/>
    <n v="82"/>
    <x v="0"/>
    <x v="0"/>
    <n v="136.34"/>
    <s v="Warehouse A"/>
    <x v="371"/>
    <d v="2024-09-19T00:00:00"/>
    <s v="Pending Coastal Logistics Partnersonfirmation"/>
  </r>
  <r>
    <x v="69"/>
    <x v="4"/>
    <n v="142"/>
    <n v="92"/>
    <x v="0"/>
    <x v="1"/>
    <n v="302.77"/>
    <s v="Warehouse A"/>
    <x v="372"/>
    <d v="2024-10-17T00:00:00"/>
    <s v="Discontinued"/>
  </r>
  <r>
    <x v="77"/>
    <x v="0"/>
    <n v="148"/>
    <n v="52"/>
    <x v="0"/>
    <x v="2"/>
    <n v="151.80000000000001"/>
    <s v="Warehouse C"/>
    <x v="373"/>
    <d v="2024-11-03T00:00:00"/>
    <s v="Pending Coastal Logistics Partnersonfirmation"/>
  </r>
  <r>
    <x v="52"/>
    <x v="3"/>
    <n v="174"/>
    <n v="60"/>
    <x v="0"/>
    <x v="0"/>
    <n v="358.64"/>
    <s v="Warehouse B"/>
    <x v="374"/>
    <d v="2024-12-30T00:00:00"/>
    <s v="Pending Coastal Logistics Partnersonfirmation"/>
  </r>
  <r>
    <x v="78"/>
    <x v="0"/>
    <n v="52"/>
    <n v="67"/>
    <x v="1"/>
    <x v="0"/>
    <n v="380.71"/>
    <s v="Warehouse C"/>
    <x v="375"/>
    <d v="2024-03-31T00:00:00"/>
    <s v="Pending Coastal Logistics Partnersonfirmation"/>
  </r>
  <r>
    <x v="75"/>
    <x v="3"/>
    <n v="136"/>
    <n v="32"/>
    <x v="0"/>
    <x v="1"/>
    <n v="55.75"/>
    <s v="Warehouse A"/>
    <x v="376"/>
    <d v="2024-07-27T00:00:00"/>
    <s v="High demand"/>
  </r>
  <r>
    <x v="79"/>
    <x v="4"/>
    <n v="179"/>
    <n v="92"/>
    <x v="0"/>
    <x v="1"/>
    <n v="259.36"/>
    <s v="Warehouse C"/>
    <x v="377"/>
    <d v="2024-03-03T00:00:00"/>
    <s v="High demand"/>
  </r>
  <r>
    <x v="80"/>
    <x v="1"/>
    <n v="56"/>
    <n v="96"/>
    <x v="1"/>
    <x v="1"/>
    <n v="256.89999999999998"/>
    <s v="Warehouse A"/>
    <x v="378"/>
    <d v="2024-08-18T00:00:00"/>
    <s v="High demand"/>
  </r>
  <r>
    <x v="81"/>
    <x v="2"/>
    <n v="116"/>
    <n v="50"/>
    <x v="0"/>
    <x v="2"/>
    <n v="187.79"/>
    <s v="Warehouse C"/>
    <x v="379"/>
    <d v="2024-04-04T00:00:00"/>
    <s v="Discontinued"/>
  </r>
  <r>
    <x v="82"/>
    <x v="4"/>
    <n v="153"/>
    <n v="94"/>
    <x v="0"/>
    <x v="0"/>
    <n v="466.8"/>
    <s v="Warehouse C"/>
    <x v="380"/>
    <d v="2024-04-20T00:00:00"/>
    <s v="High demand"/>
  </r>
  <r>
    <x v="83"/>
    <x v="2"/>
    <n v="168"/>
    <n v="87"/>
    <x v="0"/>
    <x v="1"/>
    <n v="414.62"/>
    <s v="Warehouse B"/>
    <x v="381"/>
    <d v="2024-09-01T00:00:00"/>
    <m/>
  </r>
  <r>
    <x v="49"/>
    <x v="1"/>
    <n v="34"/>
    <n v="23"/>
    <x v="0"/>
    <x v="2"/>
    <n v="350.12"/>
    <s v="Warehouse A"/>
    <x v="382"/>
    <d v="2024-06-29T00:00:00"/>
    <s v="Pending Coastal Logistics Partnersonfirmation"/>
  </r>
  <r>
    <x v="84"/>
    <x v="1"/>
    <n v="62"/>
    <n v="38"/>
    <x v="0"/>
    <x v="2"/>
    <n v="358.59"/>
    <s v="Warehouse B"/>
    <x v="383"/>
    <d v="2024-03-28T00:00:00"/>
    <s v="Discontinued"/>
  </r>
  <r>
    <x v="85"/>
    <x v="4"/>
    <n v="24"/>
    <n v="89"/>
    <x v="1"/>
    <x v="2"/>
    <n v="233.55"/>
    <s v="Warehouse A"/>
    <x v="384"/>
    <d v="2024-04-23T00:00:00"/>
    <s v="Discontinued"/>
  </r>
  <r>
    <x v="75"/>
    <x v="1"/>
    <n v="89"/>
    <n v="32"/>
    <x v="0"/>
    <x v="1"/>
    <n v="460.89"/>
    <s v="Warehouse C"/>
    <x v="385"/>
    <d v="2025-02-25T00:00:00"/>
    <s v="Discontinued"/>
  </r>
  <r>
    <x v="55"/>
    <x v="3"/>
    <n v="74"/>
    <n v="42"/>
    <x v="0"/>
    <x v="1"/>
    <n v="348.82"/>
    <s v="Warehouse A"/>
    <x v="386"/>
    <d v="2024-08-12T00:00:00"/>
    <s v="Discontinued"/>
  </r>
  <r>
    <x v="86"/>
    <x v="1"/>
    <n v="37"/>
    <n v="94"/>
    <x v="1"/>
    <x v="0"/>
    <n v="365.85"/>
    <s v="Warehouse B"/>
    <x v="387"/>
    <d v="2025-01-31T00:00:00"/>
    <s v="Discontinued"/>
  </r>
  <r>
    <x v="87"/>
    <x v="2"/>
    <n v="129"/>
    <n v="20"/>
    <x v="0"/>
    <x v="0"/>
    <n v="431.54"/>
    <s v="Warehouse B"/>
    <x v="361"/>
    <d v="2024-09-14T00:00:00"/>
    <m/>
  </r>
  <r>
    <x v="88"/>
    <x v="2"/>
    <n v="134"/>
    <n v="73"/>
    <x v="0"/>
    <x v="1"/>
    <n v="140.66999999999999"/>
    <s v="Warehouse B"/>
    <x v="388"/>
    <d v="2024-05-29T00:00:00"/>
    <s v="Pending Coastal Logistics Partnersonfirmation"/>
  </r>
  <r>
    <x v="56"/>
    <x v="2"/>
    <n v="161"/>
    <n v="90"/>
    <x v="0"/>
    <x v="2"/>
    <n v="404.5"/>
    <s v="Warehouse A"/>
    <x v="389"/>
    <d v="2024-02-29T00:00:00"/>
    <s v="Discontinued"/>
  </r>
  <r>
    <x v="89"/>
    <x v="2"/>
    <n v="90"/>
    <n v="34"/>
    <x v="0"/>
    <x v="2"/>
    <n v="101.64"/>
    <s v="Warehouse B"/>
    <x v="390"/>
    <d v="2024-11-18T00:00:00"/>
    <s v="Pending Coastal Logistics Partnersonfirmation"/>
  </r>
  <r>
    <x v="68"/>
    <x v="3"/>
    <n v="16"/>
    <n v="84"/>
    <x v="1"/>
    <x v="2"/>
    <n v="175.94"/>
    <s v="Warehouse B"/>
    <x v="391"/>
    <d v="2025-03-11T00:00:00"/>
    <s v="High demand"/>
  </r>
  <r>
    <x v="90"/>
    <x v="0"/>
    <n v="127"/>
    <n v="95"/>
    <x v="0"/>
    <x v="0"/>
    <n v="171.13"/>
    <s v="Warehouse B"/>
    <x v="392"/>
    <d v="2025-01-03T00:00:00"/>
    <s v="Discontinued"/>
  </r>
  <r>
    <x v="91"/>
    <x v="4"/>
    <n v="170"/>
    <n v="90"/>
    <x v="0"/>
    <x v="2"/>
    <n v="489.37"/>
    <s v="Warehouse C"/>
    <x v="393"/>
    <d v="2024-05-04T00:00:00"/>
    <s v="Discontinued"/>
  </r>
  <r>
    <x v="33"/>
    <x v="2"/>
    <n v="186"/>
    <n v="34"/>
    <x v="0"/>
    <x v="0"/>
    <n v="428.99"/>
    <s v="Warehouse C"/>
    <x v="381"/>
    <d v="2024-09-25T00:00:00"/>
    <s v="Pending Coastal Logistics Partnersonfirmation"/>
  </r>
  <r>
    <x v="92"/>
    <x v="1"/>
    <n v="107"/>
    <n v="40"/>
    <x v="0"/>
    <x v="0"/>
    <n v="352.08"/>
    <s v="Warehouse A"/>
    <x v="394"/>
    <d v="2024-10-08T00:00:00"/>
    <s v="Discontinued"/>
  </r>
  <r>
    <x v="76"/>
    <x v="2"/>
    <n v="178"/>
    <n v="38"/>
    <x v="0"/>
    <x v="2"/>
    <n v="364.89"/>
    <s v="Warehouse A"/>
    <x v="395"/>
    <d v="2024-07-28T00:00:00"/>
    <s v="Discontinued"/>
  </r>
  <r>
    <x v="57"/>
    <x v="1"/>
    <n v="181"/>
    <n v="79"/>
    <x v="0"/>
    <x v="2"/>
    <n v="283.23"/>
    <s v="Warehouse B"/>
    <x v="354"/>
    <d v="2024-08-31T00:00:00"/>
    <s v="Discontinued"/>
  </r>
  <r>
    <x v="44"/>
    <x v="1"/>
    <n v="151"/>
    <n v="52"/>
    <x v="0"/>
    <x v="1"/>
    <n v="473.81"/>
    <s v="Warehouse C"/>
    <x v="396"/>
    <d v="2024-12-22T00:00:00"/>
    <m/>
  </r>
  <r>
    <x v="54"/>
    <x v="2"/>
    <n v="24"/>
    <n v="68"/>
    <x v="1"/>
    <x v="1"/>
    <n v="250.65"/>
    <s v="Warehouse B"/>
    <x v="397"/>
    <d v="2024-07-24T00:00:00"/>
    <m/>
  </r>
  <r>
    <x v="54"/>
    <x v="3"/>
    <n v="198"/>
    <n v="54"/>
    <x v="0"/>
    <x v="2"/>
    <n v="193.36"/>
    <s v="Warehouse B"/>
    <x v="367"/>
    <d v="2024-06-18T00:00:00"/>
    <s v="Discontinued"/>
  </r>
  <r>
    <x v="93"/>
    <x v="1"/>
    <n v="179"/>
    <n v="63"/>
    <x v="0"/>
    <x v="0"/>
    <n v="85.7"/>
    <s v="Warehouse C"/>
    <x v="398"/>
    <d v="2024-11-01T00:00:00"/>
    <m/>
  </r>
  <r>
    <x v="87"/>
    <x v="1"/>
    <n v="197"/>
    <n v="30"/>
    <x v="0"/>
    <x v="0"/>
    <n v="394.17"/>
    <s v="Warehouse C"/>
    <x v="399"/>
    <d v="2024-12-19T00:00:00"/>
    <s v="High demand"/>
  </r>
  <r>
    <x v="54"/>
    <x v="2"/>
    <n v="87"/>
    <n v="91"/>
    <x v="1"/>
    <x v="0"/>
    <n v="368.55"/>
    <s v="Warehouse C"/>
    <x v="400"/>
    <d v="2024-12-04T00:00:00"/>
    <s v="Discontinued"/>
  </r>
  <r>
    <x v="86"/>
    <x v="1"/>
    <n v="160"/>
    <n v="97"/>
    <x v="0"/>
    <x v="0"/>
    <n v="195.26"/>
    <s v="Warehouse A"/>
    <x v="401"/>
    <d v="2024-06-26T00:00:00"/>
    <s v="High demand"/>
  </r>
  <r>
    <x v="56"/>
    <x v="1"/>
    <n v="176"/>
    <n v="93"/>
    <x v="0"/>
    <x v="0"/>
    <n v="17.47"/>
    <s v="Warehouse A"/>
    <x v="402"/>
    <d v="2024-09-03T00:00:00"/>
    <s v="Pending Coastal Logistics Partnersonfirmation"/>
  </r>
  <r>
    <x v="70"/>
    <x v="2"/>
    <n v="28"/>
    <n v="85"/>
    <x v="1"/>
    <x v="1"/>
    <n v="420.3"/>
    <s v="Warehouse B"/>
    <x v="403"/>
    <d v="2024-08-15T00:00:00"/>
    <s v="High demand"/>
  </r>
  <r>
    <x v="94"/>
    <x v="2"/>
    <n v="62"/>
    <n v="65"/>
    <x v="1"/>
    <x v="2"/>
    <n v="10.65"/>
    <s v="Warehouse A"/>
    <x v="391"/>
    <d v="2025-03-04T00:00:00"/>
    <s v="Pending Coastal Logistics Partnersonfirmation"/>
  </r>
  <r>
    <x v="86"/>
    <x v="4"/>
    <n v="149"/>
    <n v="28"/>
    <x v="0"/>
    <x v="1"/>
    <n v="353.33"/>
    <s v="Warehouse C"/>
    <x v="404"/>
    <d v="2024-09-01T00:00:00"/>
    <s v="Discontinued"/>
  </r>
  <r>
    <x v="95"/>
    <x v="3"/>
    <n v="153"/>
    <n v="22"/>
    <x v="0"/>
    <x v="0"/>
    <n v="485.28"/>
    <s v="Warehouse C"/>
    <x v="405"/>
    <d v="2025-02-27T00:00:00"/>
    <s v="Pending Coastal Logistics Partnersonfirmation"/>
  </r>
  <r>
    <x v="88"/>
    <x v="3"/>
    <n v="155"/>
    <n v="45"/>
    <x v="0"/>
    <x v="0"/>
    <n v="221.64"/>
    <s v="Warehouse A"/>
    <x v="406"/>
    <d v="2025-01-05T00:00:00"/>
    <s v="Pending Coastal Logistics Partnersonfirmation"/>
  </r>
  <r>
    <x v="44"/>
    <x v="1"/>
    <n v="113"/>
    <n v="91"/>
    <x v="0"/>
    <x v="0"/>
    <n v="121.31"/>
    <s v="Warehouse B"/>
    <x v="407"/>
    <d v="2025-01-06T00:00:00"/>
    <s v="High demand"/>
  </r>
  <r>
    <x v="75"/>
    <x v="3"/>
    <n v="48"/>
    <n v="67"/>
    <x v="1"/>
    <x v="0"/>
    <n v="353.91"/>
    <s v="Warehouse B"/>
    <x v="408"/>
    <d v="2025-01-13T00:00:00"/>
    <s v="High demand"/>
  </r>
  <r>
    <x v="96"/>
    <x v="1"/>
    <n v="198"/>
    <n v="85"/>
    <x v="0"/>
    <x v="2"/>
    <n v="409.48"/>
    <s v="Warehouse A"/>
    <x v="409"/>
    <d v="2024-07-04T00:00:00"/>
    <s v="High demand"/>
  </r>
  <r>
    <x v="60"/>
    <x v="4"/>
    <n v="80"/>
    <n v="89"/>
    <x v="1"/>
    <x v="0"/>
    <n v="275.48"/>
    <s v="Warehouse B"/>
    <x v="410"/>
    <d v="2024-09-20T00:00:00"/>
    <s v="Discontinued"/>
  </r>
  <r>
    <x v="97"/>
    <x v="2"/>
    <n v="83"/>
    <n v="47"/>
    <x v="0"/>
    <x v="2"/>
    <n v="483.68"/>
    <s v="Warehouse B"/>
    <x v="411"/>
    <d v="2024-05-21T00:00:00"/>
    <s v="Discontinued"/>
  </r>
  <r>
    <x v="94"/>
    <x v="2"/>
    <n v="104"/>
    <n v="45"/>
    <x v="0"/>
    <x v="0"/>
    <n v="30.58"/>
    <s v="Warehouse B"/>
    <x v="412"/>
    <d v="2024-11-19T00:00:00"/>
    <s v="High demand"/>
  </r>
  <r>
    <x v="43"/>
    <x v="2"/>
    <n v="176"/>
    <n v="44"/>
    <x v="0"/>
    <x v="2"/>
    <n v="254.87"/>
    <s v="Warehouse C"/>
    <x v="413"/>
    <d v="2024-04-09T00:00:00"/>
    <s v="Discontinued"/>
  </r>
  <r>
    <x v="92"/>
    <x v="3"/>
    <n v="147"/>
    <n v="31"/>
    <x v="0"/>
    <x v="1"/>
    <n v="360.63"/>
    <s v="Warehouse C"/>
    <x v="414"/>
    <d v="2024-08-12T00:00:00"/>
    <s v="Discontinued"/>
  </r>
  <r>
    <x v="19"/>
    <x v="4"/>
    <n v="117"/>
    <n v="24"/>
    <x v="0"/>
    <x v="0"/>
    <n v="432.01"/>
    <s v="Warehouse A"/>
    <x v="415"/>
    <d v="2024-10-19T00:00:00"/>
    <s v="Pending Coastal Logistics Partnersonfirmation"/>
  </r>
  <r>
    <x v="98"/>
    <x v="3"/>
    <n v="85"/>
    <n v="67"/>
    <x v="0"/>
    <x v="2"/>
    <n v="93.73"/>
    <s v="Warehouse C"/>
    <x v="416"/>
    <d v="2024-02-21T00:00:00"/>
    <s v="Pending Coastal Logistics Partnersonfirmation"/>
  </r>
  <r>
    <x v="99"/>
    <x v="3"/>
    <n v="62"/>
    <n v="56"/>
    <x v="0"/>
    <x v="1"/>
    <n v="401"/>
    <s v="Warehouse B"/>
    <x v="417"/>
    <d v="2025-01-30T00:00:00"/>
    <s v="High demand"/>
  </r>
  <r>
    <x v="100"/>
    <x v="4"/>
    <n v="188"/>
    <n v="98"/>
    <x v="0"/>
    <x v="0"/>
    <n v="278.58999999999997"/>
    <s v="Warehouse C"/>
    <x v="418"/>
    <d v="2024-10-12T00:00:00"/>
    <s v="Discontinued"/>
  </r>
  <r>
    <x v="101"/>
    <x v="4"/>
    <n v="103"/>
    <n v="63"/>
    <x v="0"/>
    <x v="0"/>
    <n v="201.29"/>
    <s v="Warehouse A"/>
    <x v="419"/>
    <d v="2024-05-15T00:00:00"/>
    <s v="Pending Coastal Logistics Partnersonfirmation"/>
  </r>
  <r>
    <x v="82"/>
    <x v="4"/>
    <n v="48"/>
    <n v="34"/>
    <x v="0"/>
    <x v="0"/>
    <n v="70.2"/>
    <s v="Warehouse C"/>
    <x v="374"/>
    <d v="2025-01-06T00:00:00"/>
    <m/>
  </r>
  <r>
    <x v="102"/>
    <x v="4"/>
    <n v="70"/>
    <n v="62"/>
    <x v="0"/>
    <x v="2"/>
    <n v="433.32"/>
    <s v="Warehouse B"/>
    <x v="420"/>
    <d v="2024-08-26T00:00:00"/>
    <s v="Discontinued"/>
  </r>
  <r>
    <x v="103"/>
    <x v="2"/>
    <n v="0"/>
    <n v="67"/>
    <x v="1"/>
    <x v="2"/>
    <n v="82.85"/>
    <s v="Warehouse B"/>
    <x v="421"/>
    <d v="2024-09-02T00:00:00"/>
    <m/>
  </r>
  <r>
    <x v="89"/>
    <x v="0"/>
    <n v="140"/>
    <n v="89"/>
    <x v="0"/>
    <x v="1"/>
    <n v="158.34"/>
    <s v="Warehouse A"/>
    <x v="422"/>
    <d v="2024-12-19T00:00:00"/>
    <s v="High demand"/>
  </r>
  <r>
    <x v="88"/>
    <x v="0"/>
    <n v="178"/>
    <n v="65"/>
    <x v="0"/>
    <x v="2"/>
    <n v="148.57"/>
    <s v="Warehouse C"/>
    <x v="423"/>
    <d v="2024-11-29T00:00:00"/>
    <s v="Discontinued"/>
  </r>
  <r>
    <x v="52"/>
    <x v="4"/>
    <n v="122"/>
    <n v="62"/>
    <x v="0"/>
    <x v="2"/>
    <n v="436.35"/>
    <s v="Warehouse C"/>
    <x v="424"/>
    <d v="2024-09-16T00:00:00"/>
    <s v="High demand"/>
  </r>
  <r>
    <x v="104"/>
    <x v="0"/>
    <n v="183"/>
    <n v="40"/>
    <x v="0"/>
    <x v="0"/>
    <n v="337.99"/>
    <s v="Warehouse C"/>
    <x v="425"/>
    <d v="2025-02-17T00:00:00"/>
    <s v="High demand"/>
  </r>
  <r>
    <x v="86"/>
    <x v="0"/>
    <n v="61"/>
    <n v="42"/>
    <x v="0"/>
    <x v="0"/>
    <n v="399.36"/>
    <s v="Warehouse B"/>
    <x v="426"/>
    <d v="2025-01-30T00:00:00"/>
    <s v="High demand"/>
  </r>
  <r>
    <x v="93"/>
    <x v="4"/>
    <n v="31"/>
    <n v="99"/>
    <x v="1"/>
    <x v="0"/>
    <n v="128.97999999999999"/>
    <s v="Warehouse A"/>
    <x v="427"/>
    <d v="2024-09-25T00:00:00"/>
    <s v="High demand"/>
  </r>
  <r>
    <x v="105"/>
    <x v="0"/>
    <n v="157"/>
    <n v="66"/>
    <x v="0"/>
    <x v="0"/>
    <n v="314.31"/>
    <s v="Warehouse C"/>
    <x v="366"/>
    <d v="2024-03-27T00:00:00"/>
    <s v="High demand"/>
  </r>
  <r>
    <x v="51"/>
    <x v="3"/>
    <n v="28"/>
    <n v="34"/>
    <x v="1"/>
    <x v="0"/>
    <n v="288.01"/>
    <s v="Warehouse B"/>
    <x v="428"/>
    <d v="2024-06-25T00:00:00"/>
    <s v="Discontinued"/>
  </r>
  <r>
    <x v="66"/>
    <x v="1"/>
    <n v="48"/>
    <n v="44"/>
    <x v="0"/>
    <x v="0"/>
    <n v="417.25"/>
    <s v="Warehouse B"/>
    <x v="379"/>
    <d v="2024-03-12T00:00:00"/>
    <m/>
  </r>
  <r>
    <x v="81"/>
    <x v="1"/>
    <n v="172"/>
    <n v="55"/>
    <x v="0"/>
    <x v="0"/>
    <n v="453.51"/>
    <s v="Warehouse B"/>
    <x v="429"/>
    <d v="2024-04-24T00:00:00"/>
    <s v="Discontinued"/>
  </r>
  <r>
    <x v="105"/>
    <x v="4"/>
    <n v="29"/>
    <n v="94"/>
    <x v="1"/>
    <x v="1"/>
    <n v="11.02"/>
    <s v="Warehouse C"/>
    <x v="354"/>
    <d v="2024-08-30T00:00:00"/>
    <s v="Discontinued"/>
  </r>
  <r>
    <x v="58"/>
    <x v="2"/>
    <n v="143"/>
    <n v="70"/>
    <x v="0"/>
    <x v="1"/>
    <n v="338.64"/>
    <s v="Warehouse C"/>
    <x v="359"/>
    <d v="2024-05-25T00:00:00"/>
    <s v="Discontinued"/>
  </r>
  <r>
    <x v="103"/>
    <x v="4"/>
    <n v="167"/>
    <n v="34"/>
    <x v="0"/>
    <x v="1"/>
    <n v="30.66"/>
    <s v="Warehouse C"/>
    <x v="430"/>
    <d v="2024-11-22T00:00:00"/>
    <s v="Pending Coastal Logistics Partnersonfirmation"/>
  </r>
  <r>
    <x v="61"/>
    <x v="2"/>
    <n v="18"/>
    <n v="87"/>
    <x v="1"/>
    <x v="1"/>
    <n v="276.69"/>
    <s v="Warehouse C"/>
    <x v="431"/>
    <d v="2024-06-24T00:00:00"/>
    <s v="Pending Coastal Logistics Partnersonfirmation"/>
  </r>
  <r>
    <x v="106"/>
    <x v="1"/>
    <n v="17"/>
    <n v="40"/>
    <x v="1"/>
    <x v="0"/>
    <n v="147.38"/>
    <s v="Warehouse C"/>
    <x v="378"/>
    <d v="2024-08-26T00:00:00"/>
    <s v="Discontinued"/>
  </r>
  <r>
    <x v="56"/>
    <x v="4"/>
    <n v="0"/>
    <n v="32"/>
    <x v="1"/>
    <x v="1"/>
    <n v="156.85"/>
    <s v="Warehouse C"/>
    <x v="432"/>
    <d v="2024-12-03T00:00:00"/>
    <m/>
  </r>
  <r>
    <x v="96"/>
    <x v="3"/>
    <n v="77"/>
    <n v="38"/>
    <x v="0"/>
    <x v="0"/>
    <n v="179.71"/>
    <s v="Warehouse C"/>
    <x v="433"/>
    <d v="2024-03-20T00:00:00"/>
    <s v="Discontinued"/>
  </r>
  <r>
    <x v="107"/>
    <x v="0"/>
    <n v="114"/>
    <n v="53"/>
    <x v="0"/>
    <x v="1"/>
    <n v="312.54000000000002"/>
    <s v="Warehouse C"/>
    <x v="434"/>
    <d v="2024-11-13T00:00:00"/>
    <s v="High demand"/>
  </r>
  <r>
    <x v="72"/>
    <x v="2"/>
    <n v="174"/>
    <n v="97"/>
    <x v="0"/>
    <x v="2"/>
    <n v="170.35"/>
    <s v="Warehouse C"/>
    <x v="352"/>
    <d v="2024-08-12T00:00:00"/>
    <s v="Pending Coastal Logistics Partnersonfirmation"/>
  </r>
  <r>
    <x v="91"/>
    <x v="0"/>
    <n v="193"/>
    <n v="87"/>
    <x v="0"/>
    <x v="1"/>
    <n v="367.69"/>
    <s v="Warehouse B"/>
    <x v="402"/>
    <d v="2024-09-08T00:00:00"/>
    <s v="Pending Coastal Logistics Partnersonfirmation"/>
  </r>
  <r>
    <x v="16"/>
    <x v="0"/>
    <n v="112"/>
    <n v="71"/>
    <x v="0"/>
    <x v="1"/>
    <n v="205.24"/>
    <s v="Warehouse C"/>
    <x v="435"/>
    <d v="2024-08-29T00:00:00"/>
    <s v="Discontinued"/>
  </r>
  <r>
    <x v="108"/>
    <x v="4"/>
    <n v="113"/>
    <n v="46"/>
    <x v="0"/>
    <x v="0"/>
    <n v="38.83"/>
    <s v="Warehouse A"/>
    <x v="344"/>
    <d v="2024-03-27T00:00:00"/>
    <s v="Discontinued"/>
  </r>
  <r>
    <x v="103"/>
    <x v="0"/>
    <n v="165"/>
    <n v="48"/>
    <x v="0"/>
    <x v="1"/>
    <n v="392.96"/>
    <s v="Warehouse B"/>
    <x v="436"/>
    <d v="2024-07-19T00:00:00"/>
    <m/>
  </r>
  <r>
    <x v="109"/>
    <x v="3"/>
    <n v="178"/>
    <n v="47"/>
    <x v="0"/>
    <x v="2"/>
    <n v="146.44999999999999"/>
    <s v="Warehouse C"/>
    <x v="387"/>
    <d v="2025-02-17T00:00:00"/>
    <m/>
  </r>
  <r>
    <x v="110"/>
    <x v="0"/>
    <n v="62"/>
    <n v="54"/>
    <x v="0"/>
    <x v="0"/>
    <n v="219.22"/>
    <s v="Warehouse A"/>
    <x v="343"/>
    <d v="2024-06-21T00:00:00"/>
    <s v="High demand"/>
  </r>
  <r>
    <x v="111"/>
    <x v="4"/>
    <n v="131"/>
    <n v="27"/>
    <x v="0"/>
    <x v="0"/>
    <n v="344.29"/>
    <s v="Warehouse C"/>
    <x v="437"/>
    <d v="2024-08-01T00:00:00"/>
    <s v="Discontinued"/>
  </r>
  <r>
    <x v="84"/>
    <x v="3"/>
    <n v="128"/>
    <n v="35"/>
    <x v="0"/>
    <x v="1"/>
    <n v="169.57"/>
    <s v="Warehouse A"/>
    <x v="438"/>
    <d v="2024-11-10T00:00:00"/>
    <s v="Discontinued"/>
  </r>
  <r>
    <x v="65"/>
    <x v="1"/>
    <n v="7"/>
    <n v="55"/>
    <x v="1"/>
    <x v="0"/>
    <n v="33.01"/>
    <s v="Warehouse A"/>
    <x v="391"/>
    <d v="2025-02-12T00:00:00"/>
    <s v="Discontinued"/>
  </r>
  <r>
    <x v="112"/>
    <x v="0"/>
    <n v="156"/>
    <n v="49"/>
    <x v="0"/>
    <x v="0"/>
    <n v="190.09"/>
    <s v="Warehouse A"/>
    <x v="439"/>
    <d v="2024-05-16T00:00:00"/>
    <s v="Pending Coastal Logistics Partnersonfirmation"/>
  </r>
  <r>
    <x v="81"/>
    <x v="4"/>
    <n v="54"/>
    <n v="37"/>
    <x v="0"/>
    <x v="0"/>
    <n v="472.5"/>
    <s v="Warehouse A"/>
    <x v="440"/>
    <d v="2025-02-27T00:00:00"/>
    <s v="High demand"/>
  </r>
  <r>
    <x v="79"/>
    <x v="1"/>
    <n v="102"/>
    <n v="21"/>
    <x v="0"/>
    <x v="0"/>
    <n v="322.66000000000003"/>
    <s v="Warehouse B"/>
    <x v="441"/>
    <d v="2024-06-13T00:00:00"/>
    <m/>
  </r>
  <r>
    <x v="97"/>
    <x v="1"/>
    <n v="130"/>
    <n v="68"/>
    <x v="0"/>
    <x v="0"/>
    <n v="337.38"/>
    <s v="Warehouse B"/>
    <x v="442"/>
    <d v="2024-06-23T00:00:00"/>
    <s v="Pending Coastal Logistics Partnersonfirmation"/>
  </r>
  <r>
    <x v="86"/>
    <x v="2"/>
    <n v="31"/>
    <n v="96"/>
    <x v="1"/>
    <x v="0"/>
    <n v="317.98"/>
    <s v="Warehouse A"/>
    <x v="443"/>
    <d v="2024-10-03T00:00:00"/>
    <s v="Pending Coastal Logistics Partnersonfirmation"/>
  </r>
  <r>
    <x v="85"/>
    <x v="3"/>
    <n v="9"/>
    <n v="23"/>
    <x v="1"/>
    <x v="2"/>
    <n v="103.5"/>
    <s v="Warehouse C"/>
    <x v="444"/>
    <d v="2024-11-18T00:00:00"/>
    <s v="Pending Coastal Logistics Partnersonfirmation"/>
  </r>
  <r>
    <x v="113"/>
    <x v="0"/>
    <n v="109"/>
    <n v="94"/>
    <x v="0"/>
    <x v="1"/>
    <n v="212.08"/>
    <s v="Warehouse A"/>
    <x v="445"/>
    <d v="2025-02-10T00:00:00"/>
    <s v="Pending Coastal Logistics Partnersonfirmation"/>
  </r>
  <r>
    <x v="67"/>
    <x v="4"/>
    <n v="161"/>
    <n v="26"/>
    <x v="0"/>
    <x v="2"/>
    <n v="376.72"/>
    <s v="Warehouse B"/>
    <x v="446"/>
    <d v="2024-10-12T00:00:00"/>
    <s v="High demand"/>
  </r>
  <r>
    <x v="73"/>
    <x v="2"/>
    <n v="123"/>
    <n v="93"/>
    <x v="0"/>
    <x v="0"/>
    <n v="55.18"/>
    <s v="Warehouse C"/>
    <x v="416"/>
    <d v="2024-05-01T00:00:00"/>
    <s v="Discontinued"/>
  </r>
  <r>
    <x v="86"/>
    <x v="3"/>
    <n v="86"/>
    <n v="58"/>
    <x v="0"/>
    <x v="0"/>
    <n v="142.54"/>
    <s v="Warehouse B"/>
    <x v="447"/>
    <d v="2024-05-29T00:00:00"/>
    <m/>
  </r>
  <r>
    <x v="69"/>
    <x v="2"/>
    <n v="54"/>
    <n v="32"/>
    <x v="0"/>
    <x v="1"/>
    <n v="141.78"/>
    <s v="Warehouse B"/>
    <x v="448"/>
    <d v="2024-09-09T00:00:00"/>
    <m/>
  </r>
  <r>
    <x v="76"/>
    <x v="3"/>
    <n v="31"/>
    <n v="50"/>
    <x v="1"/>
    <x v="2"/>
    <n v="218.85"/>
    <s v="Warehouse C"/>
    <x v="449"/>
    <d v="2024-12-06T00:00:00"/>
    <s v="Pending Coastal Logistics Partnersonfirmation"/>
  </r>
  <r>
    <x v="71"/>
    <x v="3"/>
    <n v="177"/>
    <n v="90"/>
    <x v="0"/>
    <x v="1"/>
    <n v="490.28"/>
    <s v="Warehouse A"/>
    <x v="450"/>
    <d v="2024-08-16T00:00:00"/>
    <s v="Pending Coastal Logistics Partnersonfirmation"/>
  </r>
  <r>
    <x v="50"/>
    <x v="0"/>
    <n v="134"/>
    <n v="82"/>
    <x v="0"/>
    <x v="2"/>
    <n v="38.409999999999997"/>
    <s v="Warehouse A"/>
    <x v="451"/>
    <d v="2024-09-18T00:00:00"/>
    <s v="High demand"/>
  </r>
  <r>
    <x v="114"/>
    <x v="3"/>
    <n v="92"/>
    <n v="75"/>
    <x v="0"/>
    <x v="0"/>
    <n v="261.76"/>
    <s v="Warehouse A"/>
    <x v="362"/>
    <d v="2024-07-07T00:00:00"/>
    <s v="Pending Coastal Logistics Partnersonfirmation"/>
  </r>
  <r>
    <x v="91"/>
    <x v="2"/>
    <n v="7"/>
    <n v="61"/>
    <x v="1"/>
    <x v="1"/>
    <n v="93.79"/>
    <s v="Warehouse A"/>
    <x v="452"/>
    <d v="2024-07-13T00:00:00"/>
    <m/>
  </r>
  <r>
    <x v="79"/>
    <x v="3"/>
    <n v="64"/>
    <n v="80"/>
    <x v="1"/>
    <x v="1"/>
    <n v="485.48"/>
    <s v="Warehouse C"/>
    <x v="453"/>
    <d v="2025-01-23T00:00:00"/>
    <m/>
  </r>
  <r>
    <x v="2"/>
    <x v="0"/>
    <n v="56"/>
    <n v="61"/>
    <x v="1"/>
    <x v="0"/>
    <n v="61.09"/>
    <s v="Warehouse C"/>
    <x v="431"/>
    <d v="2024-06-16T00:00:00"/>
    <s v="Discontinued"/>
  </r>
  <r>
    <x v="103"/>
    <x v="0"/>
    <n v="66"/>
    <n v="75"/>
    <x v="1"/>
    <x v="1"/>
    <n v="204.78"/>
    <s v="Warehouse C"/>
    <x v="454"/>
    <d v="2025-01-28T00:00:00"/>
    <s v="Discontinued"/>
  </r>
  <r>
    <x v="115"/>
    <x v="2"/>
    <n v="186"/>
    <n v="55"/>
    <x v="0"/>
    <x v="2"/>
    <n v="370.25"/>
    <s v="Warehouse B"/>
    <x v="455"/>
    <d v="2024-08-22T00:00:00"/>
    <m/>
  </r>
  <r>
    <x v="116"/>
    <x v="1"/>
    <n v="71"/>
    <n v="87"/>
    <x v="1"/>
    <x v="2"/>
    <n v="353.75"/>
    <s v="Warehouse C"/>
    <x v="372"/>
    <d v="2024-12-21T00:00:00"/>
    <m/>
  </r>
  <r>
    <x v="59"/>
    <x v="1"/>
    <n v="53"/>
    <n v="26"/>
    <x v="0"/>
    <x v="2"/>
    <n v="214.25"/>
    <s v="Warehouse A"/>
    <x v="456"/>
    <d v="2024-10-13T00:00:00"/>
    <s v="High demand"/>
  </r>
  <r>
    <x v="52"/>
    <x v="3"/>
    <n v="66"/>
    <n v="73"/>
    <x v="1"/>
    <x v="2"/>
    <n v="176.53"/>
    <s v="Warehouse B"/>
    <x v="388"/>
    <d v="2024-04-20T00:00:00"/>
    <s v="High demand"/>
  </r>
  <r>
    <x v="116"/>
    <x v="4"/>
    <n v="50"/>
    <n v="20"/>
    <x v="0"/>
    <x v="0"/>
    <n v="201.82"/>
    <s v="Warehouse A"/>
    <x v="457"/>
    <d v="2024-06-07T00:00:00"/>
    <m/>
  </r>
  <r>
    <x v="113"/>
    <x v="3"/>
    <n v="96"/>
    <n v="63"/>
    <x v="0"/>
    <x v="1"/>
    <n v="135.82"/>
    <s v="Warehouse A"/>
    <x v="458"/>
    <d v="2024-03-12T00:00:00"/>
    <s v="Pending Coastal Logistics Partnersonfirmation"/>
  </r>
  <r>
    <x v="117"/>
    <x v="2"/>
    <n v="91"/>
    <n v="64"/>
    <x v="0"/>
    <x v="2"/>
    <n v="106.64"/>
    <s v="Warehouse C"/>
    <x v="459"/>
    <d v="2024-10-26T00:00:00"/>
    <s v="Discontinued"/>
  </r>
  <r>
    <x v="118"/>
    <x v="2"/>
    <n v="7"/>
    <n v="66"/>
    <x v="1"/>
    <x v="0"/>
    <n v="244.1"/>
    <s v="Warehouse C"/>
    <x v="401"/>
    <d v="2024-05-14T00:00:00"/>
    <m/>
  </r>
  <r>
    <x v="31"/>
    <x v="2"/>
    <n v="161"/>
    <n v="32"/>
    <x v="0"/>
    <x v="1"/>
    <n v="137.91999999999999"/>
    <s v="Warehouse A"/>
    <x v="460"/>
    <d v="2025-01-14T00:00:00"/>
    <s v="Pending Coastal Logistics Partnersonfirmation"/>
  </r>
  <r>
    <x v="107"/>
    <x v="2"/>
    <n v="34"/>
    <n v="41"/>
    <x v="1"/>
    <x v="1"/>
    <n v="147.29"/>
    <s v="Warehouse A"/>
    <x v="456"/>
    <d v="2024-11-19T00:00:00"/>
    <m/>
  </r>
  <r>
    <x v="74"/>
    <x v="2"/>
    <n v="95"/>
    <n v="40"/>
    <x v="0"/>
    <x v="0"/>
    <n v="330.09"/>
    <s v="Warehouse B"/>
    <x v="351"/>
    <d v="2024-09-20T00:00:00"/>
    <s v="Discontinued"/>
  </r>
  <r>
    <x v="76"/>
    <x v="0"/>
    <n v="87"/>
    <n v="28"/>
    <x v="0"/>
    <x v="0"/>
    <n v="484.43"/>
    <s v="Warehouse C"/>
    <x v="461"/>
    <d v="2024-03-09T00:00:00"/>
    <s v="Discontinued"/>
  </r>
  <r>
    <x v="60"/>
    <x v="1"/>
    <n v="77"/>
    <n v="45"/>
    <x v="0"/>
    <x v="2"/>
    <n v="303.8"/>
    <s v="Warehouse B"/>
    <x v="462"/>
    <d v="2024-12-15T00:00:00"/>
    <s v="High demand"/>
  </r>
  <r>
    <x v="77"/>
    <x v="2"/>
    <n v="31"/>
    <n v="28"/>
    <x v="0"/>
    <x v="1"/>
    <n v="43.1"/>
    <s v="Warehouse B"/>
    <x v="353"/>
    <d v="2024-08-26T00:00:00"/>
    <s v="High demand"/>
  </r>
  <r>
    <x v="66"/>
    <x v="4"/>
    <n v="119"/>
    <n v="34"/>
    <x v="0"/>
    <x v="1"/>
    <n v="42.41"/>
    <s v="Warehouse B"/>
    <x v="463"/>
    <d v="2024-04-03T00:00:00"/>
    <s v="High demand"/>
  </r>
  <r>
    <x v="110"/>
    <x v="4"/>
    <n v="45"/>
    <n v="29"/>
    <x v="0"/>
    <x v="0"/>
    <n v="475.95"/>
    <s v="Warehouse A"/>
    <x v="464"/>
    <d v="2024-10-28T00:00:00"/>
    <s v="High demand"/>
  </r>
  <r>
    <x v="116"/>
    <x v="4"/>
    <n v="143"/>
    <n v="61"/>
    <x v="0"/>
    <x v="1"/>
    <n v="152.16"/>
    <s v="Warehouse B"/>
    <x v="369"/>
    <d v="2024-11-15T00:00:00"/>
    <s v="Discontinued"/>
  </r>
  <r>
    <x v="119"/>
    <x v="4"/>
    <n v="195"/>
    <n v="91"/>
    <x v="0"/>
    <x v="2"/>
    <n v="50.57"/>
    <s v="Warehouse B"/>
    <x v="465"/>
    <d v="2025-02-03T00:00:00"/>
    <s v="Pending Coastal Logistics Partnersonfirmation"/>
  </r>
  <r>
    <x v="108"/>
    <x v="0"/>
    <n v="164"/>
    <n v="43"/>
    <x v="0"/>
    <x v="1"/>
    <n v="301.52999999999997"/>
    <s v="Warehouse A"/>
    <x v="466"/>
    <d v="2024-06-16T00:00:00"/>
    <s v="Pending Coastal Logistics Partnersonfirmation"/>
  </r>
  <r>
    <x v="16"/>
    <x v="4"/>
    <n v="181"/>
    <n v="99"/>
    <x v="0"/>
    <x v="0"/>
    <n v="313.70999999999998"/>
    <s v="Warehouse C"/>
    <x v="462"/>
    <d v="2025-01-26T00:00:00"/>
    <s v="Pending Coastal Logistics Partnersonfirmation"/>
  </r>
  <r>
    <x v="84"/>
    <x v="2"/>
    <n v="141"/>
    <n v="68"/>
    <x v="0"/>
    <x v="0"/>
    <n v="326.01"/>
    <s v="Warehouse C"/>
    <x v="467"/>
    <d v="2024-04-15T00:00:00"/>
    <m/>
  </r>
  <r>
    <x v="88"/>
    <x v="3"/>
    <n v="54"/>
    <n v="45"/>
    <x v="0"/>
    <x v="2"/>
    <n v="137.36000000000001"/>
    <s v="Warehouse B"/>
    <x v="468"/>
    <d v="2024-06-27T00:00:00"/>
    <s v="High demand"/>
  </r>
  <r>
    <x v="72"/>
    <x v="4"/>
    <n v="175"/>
    <n v="56"/>
    <x v="0"/>
    <x v="2"/>
    <n v="12.48"/>
    <s v="Warehouse A"/>
    <x v="469"/>
    <d v="2024-05-27T00:00:00"/>
    <s v="High demand"/>
  </r>
  <r>
    <x v="79"/>
    <x v="0"/>
    <n v="6"/>
    <n v="87"/>
    <x v="1"/>
    <x v="1"/>
    <n v="482.68"/>
    <s v="Warehouse C"/>
    <x v="464"/>
    <d v="2024-11-23T00:00:00"/>
    <s v="Discontinued"/>
  </r>
  <r>
    <x v="79"/>
    <x v="0"/>
    <n v="73"/>
    <n v="69"/>
    <x v="0"/>
    <x v="1"/>
    <n v="129.19"/>
    <s v="Warehouse B"/>
    <x v="470"/>
    <d v="2024-07-26T00:00:00"/>
    <s v="Discontinued"/>
  </r>
  <r>
    <x v="105"/>
    <x v="4"/>
    <n v="6"/>
    <n v="43"/>
    <x v="1"/>
    <x v="0"/>
    <n v="339.63"/>
    <s v="Warehouse B"/>
    <x v="471"/>
    <d v="2025-01-06T00:00:00"/>
    <m/>
  </r>
  <r>
    <x v="97"/>
    <x v="3"/>
    <n v="160"/>
    <n v="38"/>
    <x v="0"/>
    <x v="2"/>
    <n v="354.78"/>
    <s v="Warehouse A"/>
    <x v="383"/>
    <d v="2024-03-08T00:00:00"/>
    <m/>
  </r>
  <r>
    <x v="117"/>
    <x v="4"/>
    <n v="150"/>
    <n v="79"/>
    <x v="0"/>
    <x v="2"/>
    <n v="306.95"/>
    <s v="Warehouse B"/>
    <x v="472"/>
    <d v="2024-03-10T00:00:00"/>
    <s v="Pending Coastal Logistics Partnersonfirmation"/>
  </r>
  <r>
    <x v="67"/>
    <x v="0"/>
    <n v="84"/>
    <n v="58"/>
    <x v="0"/>
    <x v="2"/>
    <n v="159.88999999999999"/>
    <s v="Warehouse C"/>
    <x v="473"/>
    <d v="2024-04-09T00:00:00"/>
    <s v="Discontinued"/>
  </r>
  <r>
    <x v="120"/>
    <x v="1"/>
    <n v="146"/>
    <n v="93"/>
    <x v="0"/>
    <x v="1"/>
    <n v="139.19"/>
    <s v="Warehouse A"/>
    <x v="421"/>
    <d v="2024-09-01T00:00:00"/>
    <s v="High demand"/>
  </r>
  <r>
    <x v="33"/>
    <x v="2"/>
    <n v="111"/>
    <n v="37"/>
    <x v="0"/>
    <x v="2"/>
    <n v="300.85000000000002"/>
    <s v="Warehouse C"/>
    <x v="474"/>
    <d v="2024-06-06T00:00:00"/>
    <s v="Pending Coastal Logistics Partnersonfirmation"/>
  </r>
  <r>
    <x v="121"/>
    <x v="0"/>
    <n v="124"/>
    <n v="38"/>
    <x v="0"/>
    <x v="0"/>
    <n v="433.72"/>
    <s v="Warehouse C"/>
    <x v="428"/>
    <d v="2024-08-16T00:00:00"/>
    <s v="High demand"/>
  </r>
  <r>
    <x v="122"/>
    <x v="4"/>
    <n v="146"/>
    <n v="55"/>
    <x v="0"/>
    <x v="0"/>
    <n v="473.63"/>
    <s v="Warehouse C"/>
    <x v="475"/>
    <d v="2024-06-23T00:00:00"/>
    <s v="Pending Coastal Logistics Partnersonfirmation"/>
  </r>
  <r>
    <x v="57"/>
    <x v="2"/>
    <n v="35"/>
    <n v="93"/>
    <x v="1"/>
    <x v="1"/>
    <n v="57.42"/>
    <s v="Warehouse B"/>
    <x v="476"/>
    <d v="2024-05-08T00:00:00"/>
    <s v="High demand"/>
  </r>
  <r>
    <x v="112"/>
    <x v="4"/>
    <n v="28"/>
    <n v="74"/>
    <x v="1"/>
    <x v="1"/>
    <n v="81.64"/>
    <s v="Warehouse B"/>
    <x v="440"/>
    <d v="2025-02-20T00:00:00"/>
    <m/>
  </r>
  <r>
    <x v="105"/>
    <x v="4"/>
    <n v="187"/>
    <n v="88"/>
    <x v="0"/>
    <x v="2"/>
    <n v="472.64"/>
    <s v="Warehouse C"/>
    <x v="406"/>
    <d v="2025-02-08T00:00:00"/>
    <s v="Pending Coastal Logistics Partnersonfirmation"/>
  </r>
  <r>
    <x v="54"/>
    <x v="1"/>
    <n v="81"/>
    <n v="66"/>
    <x v="0"/>
    <x v="1"/>
    <n v="369.58"/>
    <s v="Warehouse C"/>
    <x v="464"/>
    <d v="2024-11-05T00:00:00"/>
    <s v="High demand"/>
  </r>
  <r>
    <x v="123"/>
    <x v="2"/>
    <n v="1"/>
    <n v="68"/>
    <x v="1"/>
    <x v="0"/>
    <n v="442.08"/>
    <s v="Warehouse A"/>
    <x v="360"/>
    <d v="2024-08-04T00:00:00"/>
    <s v="High demand"/>
  </r>
  <r>
    <x v="73"/>
    <x v="2"/>
    <n v="128"/>
    <n v="52"/>
    <x v="0"/>
    <x v="2"/>
    <n v="105.3"/>
    <s v="Warehouse A"/>
    <x v="477"/>
    <d v="2024-04-27T00:00:00"/>
    <s v="Discontinued"/>
  </r>
  <r>
    <x v="77"/>
    <x v="1"/>
    <n v="46"/>
    <n v="40"/>
    <x v="0"/>
    <x v="0"/>
    <n v="295.86"/>
    <s v="Warehouse B"/>
    <x v="478"/>
    <d v="2024-03-22T00:00:00"/>
    <s v="Pending Coastal Logistics Partnersonfirmation"/>
  </r>
  <r>
    <x v="105"/>
    <x v="0"/>
    <n v="196"/>
    <n v="41"/>
    <x v="0"/>
    <x v="2"/>
    <n v="352.06"/>
    <s v="Warehouse B"/>
    <x v="479"/>
    <d v="2024-11-12T00:00:00"/>
    <s v="High demand"/>
  </r>
  <r>
    <x v="58"/>
    <x v="4"/>
    <n v="147"/>
    <n v="67"/>
    <x v="0"/>
    <x v="1"/>
    <n v="341.66"/>
    <s v="Warehouse A"/>
    <x v="373"/>
    <d v="2024-10-29T00:00:00"/>
    <s v="Discontinued"/>
  </r>
  <r>
    <x v="60"/>
    <x v="3"/>
    <n v="10"/>
    <n v="56"/>
    <x v="1"/>
    <x v="2"/>
    <n v="207.04"/>
    <s v="Warehouse C"/>
    <x v="376"/>
    <d v="2024-07-20T00:00:00"/>
    <s v="High demand"/>
  </r>
  <r>
    <x v="62"/>
    <x v="4"/>
    <n v="129"/>
    <n v="34"/>
    <x v="0"/>
    <x v="2"/>
    <n v="12.62"/>
    <s v="Warehouse B"/>
    <x v="457"/>
    <d v="2024-06-05T00:00:00"/>
    <s v="Pending Coastal Logistics Partnersonfirmation"/>
  </r>
  <r>
    <x v="90"/>
    <x v="4"/>
    <n v="194"/>
    <n v="54"/>
    <x v="0"/>
    <x v="0"/>
    <n v="293.55"/>
    <s v="Warehouse C"/>
    <x v="480"/>
    <d v="2024-12-11T00:00:00"/>
    <m/>
  </r>
  <r>
    <x v="101"/>
    <x v="0"/>
    <n v="118"/>
    <n v="90"/>
    <x v="0"/>
    <x v="0"/>
    <n v="130.29"/>
    <s v="Warehouse A"/>
    <x v="481"/>
    <d v="2025-02-08T00:00:00"/>
    <s v="Pending Coastal Logistics Partnersonfirmation"/>
  </r>
  <r>
    <x v="81"/>
    <x v="4"/>
    <n v="139"/>
    <n v="51"/>
    <x v="0"/>
    <x v="2"/>
    <n v="227.88"/>
    <s v="Warehouse B"/>
    <x v="482"/>
    <d v="2024-04-06T00:00:00"/>
    <s v="Pending Coastal Logistics Partnersonfirmation"/>
  </r>
  <r>
    <x v="124"/>
    <x v="1"/>
    <n v="19"/>
    <n v="30"/>
    <x v="1"/>
    <x v="1"/>
    <n v="479"/>
    <s v="Warehouse B"/>
    <x v="483"/>
    <d v="2024-04-04T00:00:00"/>
    <s v="High demand"/>
  </r>
  <r>
    <x v="103"/>
    <x v="1"/>
    <n v="4"/>
    <n v="29"/>
    <x v="1"/>
    <x v="1"/>
    <n v="202.52"/>
    <s v="Warehouse A"/>
    <x v="362"/>
    <d v="2024-07-17T00:00:00"/>
    <s v="High demand"/>
  </r>
  <r>
    <x v="70"/>
    <x v="2"/>
    <n v="36"/>
    <n v="92"/>
    <x v="1"/>
    <x v="0"/>
    <n v="420.7"/>
    <s v="Warehouse B"/>
    <x v="484"/>
    <d v="2024-03-29T00:00:00"/>
    <s v="Pending Coastal Logistics Partnersonfirmation"/>
  </r>
  <r>
    <x v="6"/>
    <x v="3"/>
    <n v="165"/>
    <n v="97"/>
    <x v="0"/>
    <x v="1"/>
    <n v="98.33"/>
    <s v="Warehouse A"/>
    <x v="357"/>
    <d v="2024-11-08T00:00:00"/>
    <s v="Discontinued"/>
  </r>
  <r>
    <x v="59"/>
    <x v="4"/>
    <n v="136"/>
    <n v="96"/>
    <x v="0"/>
    <x v="0"/>
    <n v="337.87"/>
    <s v="Warehouse B"/>
    <x v="485"/>
    <d v="2024-12-20T00:00:00"/>
    <s v="Discontinued"/>
  </r>
  <r>
    <x v="49"/>
    <x v="4"/>
    <n v="52"/>
    <n v="76"/>
    <x v="1"/>
    <x v="1"/>
    <n v="488.62"/>
    <s v="Warehouse A"/>
    <x v="486"/>
    <d v="2024-11-04T00:00:00"/>
    <s v="Discontinued"/>
  </r>
  <r>
    <x v="105"/>
    <x v="0"/>
    <n v="171"/>
    <n v="44"/>
    <x v="0"/>
    <x v="2"/>
    <n v="55.44"/>
    <s v="Warehouse B"/>
    <x v="487"/>
    <d v="2024-11-30T00:00:00"/>
    <s v="High demand"/>
  </r>
  <r>
    <x v="125"/>
    <x v="1"/>
    <n v="98"/>
    <n v="21"/>
    <x v="0"/>
    <x v="0"/>
    <n v="9.1199999999999992"/>
    <s v="Warehouse C"/>
    <x v="375"/>
    <d v="2024-02-29T00:00:00"/>
    <s v="High demand"/>
  </r>
  <r>
    <x v="86"/>
    <x v="3"/>
    <n v="85"/>
    <n v="83"/>
    <x v="0"/>
    <x v="0"/>
    <n v="219.62"/>
    <s v="Warehouse C"/>
    <x v="488"/>
    <d v="2024-11-28T00:00:00"/>
    <s v="Pending Coastal Logistics Partnersonfirmation"/>
  </r>
  <r>
    <x v="68"/>
    <x v="2"/>
    <n v="107"/>
    <n v="54"/>
    <x v="0"/>
    <x v="2"/>
    <n v="50.85"/>
    <s v="Warehouse C"/>
    <x v="489"/>
    <d v="2024-07-08T00:00:00"/>
    <m/>
  </r>
  <r>
    <x v="119"/>
    <x v="1"/>
    <n v="23"/>
    <n v="26"/>
    <x v="1"/>
    <x v="0"/>
    <n v="375.45"/>
    <s v="Warehouse B"/>
    <x v="490"/>
    <d v="2025-03-01T00:00:00"/>
    <s v="High demand"/>
  </r>
  <r>
    <x v="74"/>
    <x v="2"/>
    <n v="80"/>
    <n v="37"/>
    <x v="0"/>
    <x v="1"/>
    <n v="457.7"/>
    <s v="Warehouse B"/>
    <x v="491"/>
    <d v="2024-03-30T00:00:00"/>
    <s v="Pending Coastal Logistics Partnersonfirmation"/>
  </r>
  <r>
    <x v="105"/>
    <x v="0"/>
    <n v="157"/>
    <n v="86"/>
    <x v="0"/>
    <x v="1"/>
    <n v="219.84"/>
    <s v="Warehouse C"/>
    <x v="492"/>
    <d v="2024-04-24T00:00:00"/>
    <s v="Pending Coastal Logistics Partnersonfirmation"/>
  </r>
  <r>
    <x v="89"/>
    <x v="0"/>
    <n v="119"/>
    <n v="61"/>
    <x v="0"/>
    <x v="0"/>
    <n v="133.06"/>
    <s v="Warehouse C"/>
    <x v="493"/>
    <d v="2024-05-10T00:00:00"/>
    <m/>
  </r>
  <r>
    <x v="33"/>
    <x v="4"/>
    <n v="58"/>
    <n v="58"/>
    <x v="0"/>
    <x v="1"/>
    <n v="220.03"/>
    <s v="Warehouse A"/>
    <x v="365"/>
    <d v="2024-09-26T00:00:00"/>
    <s v="Discontinued"/>
  </r>
  <r>
    <x v="59"/>
    <x v="3"/>
    <n v="127"/>
    <n v="60"/>
    <x v="0"/>
    <x v="0"/>
    <n v="363.11"/>
    <s v="Warehouse A"/>
    <x v="494"/>
    <d v="2024-09-13T00:00:00"/>
    <s v="Pending Coastal Logistics Partnersonfirmation"/>
  </r>
  <r>
    <x v="71"/>
    <x v="2"/>
    <n v="113"/>
    <n v="94"/>
    <x v="0"/>
    <x v="2"/>
    <n v="9.48"/>
    <s v="Warehouse A"/>
    <x v="495"/>
    <d v="2024-11-12T00:00:00"/>
    <s v="Pending Coastal Logistics Partnersonfirmation"/>
  </r>
  <r>
    <x v="31"/>
    <x v="1"/>
    <n v="114"/>
    <n v="43"/>
    <x v="0"/>
    <x v="0"/>
    <n v="296.77999999999997"/>
    <s v="Warehouse C"/>
    <x v="401"/>
    <d v="2024-05-28T00:00:00"/>
    <s v="Pending Coastal Logistics Partnersonfirmation"/>
  </r>
  <r>
    <x v="126"/>
    <x v="0"/>
    <n v="13"/>
    <n v="79"/>
    <x v="1"/>
    <x v="2"/>
    <n v="308.58"/>
    <s v="Warehouse C"/>
    <x v="496"/>
    <d v="2024-02-25T00:00:00"/>
    <s v="Discontinued"/>
  </r>
  <r>
    <x v="127"/>
    <x v="4"/>
    <n v="8"/>
    <n v="65"/>
    <x v="1"/>
    <x v="1"/>
    <n v="320.66000000000003"/>
    <s v="Warehouse C"/>
    <x v="342"/>
    <d v="2024-09-24T00:00:00"/>
    <s v="Discontinued"/>
  </r>
  <r>
    <x v="84"/>
    <x v="4"/>
    <n v="39"/>
    <n v="38"/>
    <x v="0"/>
    <x v="2"/>
    <n v="124.8"/>
    <s v="Warehouse A"/>
    <x v="497"/>
    <d v="2024-11-09T00:00:00"/>
    <m/>
  </r>
  <r>
    <x v="75"/>
    <x v="2"/>
    <n v="193"/>
    <n v="87"/>
    <x v="0"/>
    <x v="1"/>
    <n v="358.46"/>
    <s v="Warehouse B"/>
    <x v="488"/>
    <d v="2025-01-03T00:00:00"/>
    <s v="High demand"/>
  </r>
  <r>
    <x v="112"/>
    <x v="0"/>
    <n v="24"/>
    <n v="61"/>
    <x v="1"/>
    <x v="0"/>
    <n v="50.24"/>
    <s v="Warehouse C"/>
    <x v="498"/>
    <d v="2024-02-16T00:00:00"/>
    <s v="Discontinued"/>
  </r>
  <r>
    <x v="84"/>
    <x v="3"/>
    <n v="102"/>
    <n v="51"/>
    <x v="0"/>
    <x v="1"/>
    <n v="103.64"/>
    <s v="Warehouse B"/>
    <x v="499"/>
    <d v="2025-01-01T00:00:00"/>
    <s v="High demand"/>
  </r>
  <r>
    <x v="109"/>
    <x v="0"/>
    <n v="21"/>
    <n v="58"/>
    <x v="1"/>
    <x v="0"/>
    <n v="439.35"/>
    <s v="Warehouse B"/>
    <x v="377"/>
    <d v="2024-05-05T00:00:00"/>
    <s v="High demand"/>
  </r>
  <r>
    <x v="123"/>
    <x v="2"/>
    <n v="3"/>
    <n v="55"/>
    <x v="1"/>
    <x v="0"/>
    <n v="370.67"/>
    <s v="Warehouse B"/>
    <x v="500"/>
    <d v="2025-01-07T00:00:00"/>
    <s v="Discontinued"/>
  </r>
  <r>
    <x v="103"/>
    <x v="2"/>
    <n v="153"/>
    <n v="55"/>
    <x v="0"/>
    <x v="2"/>
    <n v="11.8"/>
    <s v="Warehouse A"/>
    <x v="501"/>
    <d v="2024-09-29T00:00:00"/>
    <s v="Pending Coastal Logistics Partnersonfirmation"/>
  </r>
  <r>
    <x v="68"/>
    <x v="0"/>
    <n v="185"/>
    <n v="22"/>
    <x v="0"/>
    <x v="2"/>
    <n v="127.95"/>
    <s v="Warehouse B"/>
    <x v="502"/>
    <d v="2025-02-01T00:00:00"/>
    <m/>
  </r>
  <r>
    <x v="57"/>
    <x v="2"/>
    <n v="28"/>
    <n v="92"/>
    <x v="1"/>
    <x v="2"/>
    <n v="111.13"/>
    <s v="Warehouse C"/>
    <x v="503"/>
    <d v="2024-05-22T00:00:00"/>
    <s v="High demand"/>
  </r>
  <r>
    <x v="20"/>
    <x v="0"/>
    <n v="108"/>
    <n v="27"/>
    <x v="0"/>
    <x v="2"/>
    <n v="139.05000000000001"/>
    <s v="Warehouse A"/>
    <x v="504"/>
    <d v="2024-11-15T00:00:00"/>
    <s v="Pending Coastal Logistics Partnersonfirmation"/>
  </r>
  <r>
    <x v="2"/>
    <x v="1"/>
    <n v="97"/>
    <n v="89"/>
    <x v="0"/>
    <x v="1"/>
    <n v="127.54"/>
    <s v="Warehouse C"/>
    <x v="450"/>
    <d v="2024-09-29T00:00:00"/>
    <s v="Discontinued"/>
  </r>
  <r>
    <x v="81"/>
    <x v="0"/>
    <n v="36"/>
    <n v="60"/>
    <x v="1"/>
    <x v="1"/>
    <n v="35.950000000000003"/>
    <s v="Warehouse C"/>
    <x v="505"/>
    <d v="2024-08-17T00:00:00"/>
    <s v="High demand"/>
  </r>
  <r>
    <x v="79"/>
    <x v="0"/>
    <n v="74"/>
    <n v="87"/>
    <x v="1"/>
    <x v="1"/>
    <n v="232.18"/>
    <s v="Warehouse A"/>
    <x v="355"/>
    <d v="2024-08-04T00:00:00"/>
    <s v="High demand"/>
  </r>
  <r>
    <x v="68"/>
    <x v="2"/>
    <n v="69"/>
    <n v="32"/>
    <x v="0"/>
    <x v="0"/>
    <n v="367.7"/>
    <s v="Warehouse C"/>
    <x v="506"/>
    <d v="2024-08-26T00:00:00"/>
    <s v="High demand"/>
  </r>
  <r>
    <x v="124"/>
    <x v="2"/>
    <n v="145"/>
    <n v="68"/>
    <x v="0"/>
    <x v="1"/>
    <n v="305.33"/>
    <s v="Warehouse C"/>
    <x v="507"/>
    <d v="2024-03-13T00:00:00"/>
    <s v="Pending Coastal Logistics Partnersonfirmation"/>
  </r>
  <r>
    <x v="71"/>
    <x v="4"/>
    <n v="127"/>
    <n v="79"/>
    <x v="0"/>
    <x v="1"/>
    <n v="338.07"/>
    <s v="Warehouse A"/>
    <x v="508"/>
    <d v="2024-07-03T00:00:00"/>
    <s v="Pending Coastal Logistics Partnersonfirmation"/>
  </r>
  <r>
    <x v="87"/>
    <x v="4"/>
    <n v="84"/>
    <n v="21"/>
    <x v="0"/>
    <x v="1"/>
    <n v="45.17"/>
    <s v="Warehouse C"/>
    <x v="509"/>
    <d v="2024-03-07T00:00:00"/>
    <s v="Pending Coastal Logistics Partnersonfirmation"/>
  </r>
  <r>
    <x v="86"/>
    <x v="1"/>
    <n v="41"/>
    <n v="79"/>
    <x v="1"/>
    <x v="2"/>
    <n v="475.99"/>
    <s v="Warehouse B"/>
    <x v="390"/>
    <d v="2024-11-07T00:00:00"/>
    <s v="High demand"/>
  </r>
  <r>
    <x v="75"/>
    <x v="4"/>
    <n v="99"/>
    <n v="24"/>
    <x v="0"/>
    <x v="1"/>
    <n v="420.05"/>
    <s v="Warehouse C"/>
    <x v="510"/>
    <d v="2024-04-14T00:00:00"/>
    <s v="High demand"/>
  </r>
  <r>
    <x v="44"/>
    <x v="0"/>
    <n v="40"/>
    <n v="63"/>
    <x v="1"/>
    <x v="0"/>
    <n v="403.52"/>
    <s v="Warehouse B"/>
    <x v="349"/>
    <d v="2024-03-03T00:00:00"/>
    <m/>
  </r>
  <r>
    <x v="92"/>
    <x v="2"/>
    <n v="165"/>
    <n v="46"/>
    <x v="0"/>
    <x v="2"/>
    <n v="412.38"/>
    <s v="Warehouse C"/>
    <x v="378"/>
    <d v="2024-08-27T00:00:00"/>
    <m/>
  </r>
  <r>
    <x v="128"/>
    <x v="4"/>
    <n v="33"/>
    <n v="51"/>
    <x v="1"/>
    <x v="0"/>
    <n v="466.69"/>
    <s v="Warehouse A"/>
    <x v="511"/>
    <d v="2024-06-01T00:00:00"/>
    <s v="Pending Coastal Logistics Partnersonfirmation"/>
  </r>
  <r>
    <x v="59"/>
    <x v="4"/>
    <n v="16"/>
    <n v="40"/>
    <x v="1"/>
    <x v="1"/>
    <n v="274.41000000000003"/>
    <s v="Warehouse A"/>
    <x v="512"/>
    <d v="2024-10-11T00:00:00"/>
    <s v="Pending Coastal Logistics Partnersonfirmation"/>
  </r>
  <r>
    <x v="69"/>
    <x v="1"/>
    <n v="164"/>
    <n v="27"/>
    <x v="0"/>
    <x v="2"/>
    <n v="104.14"/>
    <s v="Warehouse C"/>
    <x v="352"/>
    <d v="2024-09-27T00:00:00"/>
    <s v="Discontinued"/>
  </r>
  <r>
    <x v="114"/>
    <x v="1"/>
    <n v="152"/>
    <n v="91"/>
    <x v="0"/>
    <x v="0"/>
    <n v="310.31"/>
    <s v="Warehouse A"/>
    <x v="513"/>
    <d v="2024-05-25T00:00:00"/>
    <s v="Pending Coastal Logistics Partnersonfirmation"/>
  </r>
  <r>
    <x v="67"/>
    <x v="0"/>
    <n v="121"/>
    <n v="69"/>
    <x v="0"/>
    <x v="1"/>
    <n v="372.73"/>
    <s v="Warehouse C"/>
    <x v="514"/>
    <d v="2024-10-16T00:00:00"/>
    <m/>
  </r>
  <r>
    <x v="101"/>
    <x v="2"/>
    <n v="75"/>
    <n v="86"/>
    <x v="1"/>
    <x v="0"/>
    <n v="370.27"/>
    <s v="Warehouse A"/>
    <x v="515"/>
    <d v="2025-01-09T00:00:00"/>
    <m/>
  </r>
  <r>
    <x v="94"/>
    <x v="1"/>
    <n v="86"/>
    <n v="63"/>
    <x v="0"/>
    <x v="0"/>
    <n v="263.12"/>
    <s v="Warehouse B"/>
    <x v="433"/>
    <d v="2024-04-28T00:00:00"/>
    <m/>
  </r>
  <r>
    <x v="123"/>
    <x v="4"/>
    <n v="116"/>
    <n v="77"/>
    <x v="0"/>
    <x v="0"/>
    <n v="38.89"/>
    <s v="Warehouse C"/>
    <x v="514"/>
    <d v="2024-10-13T00:00:00"/>
    <s v="High demand"/>
  </r>
  <r>
    <x v="101"/>
    <x v="2"/>
    <n v="105"/>
    <n v="22"/>
    <x v="0"/>
    <x v="1"/>
    <n v="188.7"/>
    <s v="Warehouse B"/>
    <x v="440"/>
    <d v="2025-01-23T00:00:00"/>
    <s v="High demand"/>
  </r>
  <r>
    <x v="105"/>
    <x v="2"/>
    <n v="85"/>
    <n v="89"/>
    <x v="1"/>
    <x v="1"/>
    <n v="460.78"/>
    <s v="Warehouse B"/>
    <x v="382"/>
    <d v="2024-06-29T00:00:00"/>
    <s v="Pending Coastal Logistics Partnersonfirmation"/>
  </r>
  <r>
    <x v="90"/>
    <x v="4"/>
    <n v="26"/>
    <n v="21"/>
    <x v="0"/>
    <x v="0"/>
    <n v="294.3"/>
    <s v="Warehouse C"/>
    <x v="497"/>
    <d v="2024-10-26T00:00:00"/>
    <s v="Discontinued"/>
  </r>
  <r>
    <x v="71"/>
    <x v="1"/>
    <n v="56"/>
    <n v="63"/>
    <x v="1"/>
    <x v="2"/>
    <n v="271.47000000000003"/>
    <s v="Warehouse B"/>
    <x v="516"/>
    <d v="2024-05-05T00:00:00"/>
    <s v="Discontinued"/>
  </r>
  <r>
    <x v="62"/>
    <x v="4"/>
    <n v="30"/>
    <n v="21"/>
    <x v="0"/>
    <x v="2"/>
    <n v="138.08000000000001"/>
    <s v="Warehouse C"/>
    <x v="517"/>
    <d v="2024-11-19T00:00:00"/>
    <s v="Discontinued"/>
  </r>
  <r>
    <x v="53"/>
    <x v="2"/>
    <n v="133"/>
    <n v="54"/>
    <x v="0"/>
    <x v="1"/>
    <n v="187.38"/>
    <s v="Warehouse B"/>
    <x v="373"/>
    <d v="2025-01-06T00:00:00"/>
    <s v="High demand"/>
  </r>
  <r>
    <x v="51"/>
    <x v="3"/>
    <n v="167"/>
    <n v="49"/>
    <x v="0"/>
    <x v="1"/>
    <n v="448.2"/>
    <s v="Warehouse C"/>
    <x v="439"/>
    <d v="2024-04-15T00:00:00"/>
    <m/>
  </r>
  <r>
    <x v="129"/>
    <x v="3"/>
    <n v="97"/>
    <n v="27"/>
    <x v="0"/>
    <x v="1"/>
    <n v="334.9"/>
    <s v="Warehouse C"/>
    <x v="518"/>
    <d v="2024-08-17T00:00:00"/>
    <m/>
  </r>
  <r>
    <x v="122"/>
    <x v="0"/>
    <n v="11"/>
    <n v="41"/>
    <x v="1"/>
    <x v="1"/>
    <n v="394.76"/>
    <s v="Warehouse A"/>
    <x v="432"/>
    <d v="2024-12-10T00:00:00"/>
    <s v="High demand"/>
  </r>
  <r>
    <x v="55"/>
    <x v="4"/>
    <n v="52"/>
    <n v="63"/>
    <x v="1"/>
    <x v="1"/>
    <n v="229.9"/>
    <s v="Warehouse C"/>
    <x v="519"/>
    <d v="2024-12-17T00:00:00"/>
    <s v="Discontinued"/>
  </r>
  <r>
    <x v="121"/>
    <x v="4"/>
    <n v="198"/>
    <n v="77"/>
    <x v="0"/>
    <x v="2"/>
    <n v="316.97000000000003"/>
    <s v="Warehouse C"/>
    <x v="520"/>
    <d v="2024-08-30T00:00:00"/>
    <s v="Discontinued"/>
  </r>
  <r>
    <x v="16"/>
    <x v="0"/>
    <n v="137"/>
    <n v="55"/>
    <x v="0"/>
    <x v="1"/>
    <n v="127.95"/>
    <s v="Warehouse B"/>
    <x v="419"/>
    <d v="2024-06-03T00:00:00"/>
    <s v="Pending Coastal Logistics Partnersonfirmation"/>
  </r>
  <r>
    <x v="55"/>
    <x v="0"/>
    <n v="172"/>
    <n v="88"/>
    <x v="0"/>
    <x v="0"/>
    <n v="354.2"/>
    <s v="Warehouse C"/>
    <x v="368"/>
    <d v="2024-10-03T00:00:00"/>
    <s v="Pending Coastal Logistics Partnersonfirmation"/>
  </r>
  <r>
    <x v="72"/>
    <x v="0"/>
    <n v="144"/>
    <n v="96"/>
    <x v="0"/>
    <x v="0"/>
    <n v="216.66"/>
    <s v="Warehouse A"/>
    <x v="504"/>
    <d v="2024-12-08T00:00:00"/>
    <s v="Discontinued"/>
  </r>
  <r>
    <x v="130"/>
    <x v="2"/>
    <n v="153"/>
    <n v="50"/>
    <x v="0"/>
    <x v="2"/>
    <n v="224.06"/>
    <s v="Warehouse B"/>
    <x v="521"/>
    <d v="2024-07-10T00:00:00"/>
    <s v="High demand"/>
  </r>
  <r>
    <x v="66"/>
    <x v="4"/>
    <n v="189"/>
    <n v="66"/>
    <x v="0"/>
    <x v="0"/>
    <n v="326.41000000000003"/>
    <s v="Warehouse B"/>
    <x v="522"/>
    <d v="2024-08-27T00:00:00"/>
    <s v="Discontinued"/>
  </r>
  <r>
    <x v="120"/>
    <x v="2"/>
    <n v="121"/>
    <n v="74"/>
    <x v="0"/>
    <x v="2"/>
    <n v="468.46"/>
    <s v="Warehouse A"/>
    <x v="369"/>
    <d v="2024-12-29T00:00:00"/>
    <s v="Pending Coastal Logistics Partnersonfirmation"/>
  </r>
  <r>
    <x v="124"/>
    <x v="0"/>
    <n v="45"/>
    <n v="99"/>
    <x v="1"/>
    <x v="2"/>
    <n v="36.68"/>
    <s v="Warehouse B"/>
    <x v="380"/>
    <d v="2024-04-06T00:00:00"/>
    <s v="Discontinued"/>
  </r>
  <r>
    <x v="129"/>
    <x v="4"/>
    <n v="63"/>
    <n v="81"/>
    <x v="1"/>
    <x v="0"/>
    <n v="413.25"/>
    <s v="Warehouse B"/>
    <x v="523"/>
    <d v="2024-05-25T00:00:00"/>
    <s v="High demand"/>
  </r>
  <r>
    <x v="31"/>
    <x v="2"/>
    <n v="129"/>
    <n v="49"/>
    <x v="0"/>
    <x v="1"/>
    <n v="149.72999999999999"/>
    <s v="Warehouse B"/>
    <x v="444"/>
    <d v="2024-11-28T00:00:00"/>
    <m/>
  </r>
  <r>
    <x v="131"/>
    <x v="2"/>
    <n v="53"/>
    <n v="74"/>
    <x v="1"/>
    <x v="0"/>
    <n v="224.74"/>
    <s v="Warehouse B"/>
    <x v="524"/>
    <d v="2024-03-26T00:00:00"/>
    <s v="High demand"/>
  </r>
  <r>
    <x v="129"/>
    <x v="0"/>
    <n v="106"/>
    <n v="35"/>
    <x v="0"/>
    <x v="0"/>
    <n v="15.85"/>
    <s v="Warehouse A"/>
    <x v="485"/>
    <d v="2025-01-04T00:00:00"/>
    <s v="High demand"/>
  </r>
  <r>
    <x v="88"/>
    <x v="4"/>
    <n v="192"/>
    <n v="31"/>
    <x v="0"/>
    <x v="2"/>
    <n v="154.02000000000001"/>
    <s v="Warehouse A"/>
    <x v="495"/>
    <d v="2024-10-06T00:00:00"/>
    <s v="Pending Coastal Logistics Partnersonfirmation"/>
  </r>
  <r>
    <x v="31"/>
    <x v="0"/>
    <n v="50"/>
    <n v="36"/>
    <x v="0"/>
    <x v="0"/>
    <n v="253.8"/>
    <s v="Warehouse B"/>
    <x v="364"/>
    <d v="2025-01-28T00:00:00"/>
    <s v="High demand"/>
  </r>
  <r>
    <x v="118"/>
    <x v="4"/>
    <n v="180"/>
    <n v="35"/>
    <x v="0"/>
    <x v="2"/>
    <n v="32.81"/>
    <s v="Warehouse B"/>
    <x v="515"/>
    <d v="2025-01-02T00:00:00"/>
    <s v="High demand"/>
  </r>
  <r>
    <x v="57"/>
    <x v="3"/>
    <n v="35"/>
    <n v="31"/>
    <x v="0"/>
    <x v="1"/>
    <n v="248.09"/>
    <s v="Warehouse A"/>
    <x v="525"/>
    <d v="2024-08-02T00:00:00"/>
    <s v="Pending Coastal Logistics Partnersonfirmation"/>
  </r>
  <r>
    <x v="69"/>
    <x v="1"/>
    <n v="114"/>
    <n v="27"/>
    <x v="0"/>
    <x v="1"/>
    <n v="463.92"/>
    <s v="Warehouse A"/>
    <x v="495"/>
    <d v="2024-10-29T00:00:00"/>
    <s v="Pending Coastal Logistics Partnersonfirmation"/>
  </r>
  <r>
    <x v="85"/>
    <x v="1"/>
    <n v="25"/>
    <n v="22"/>
    <x v="0"/>
    <x v="1"/>
    <n v="57.17"/>
    <s v="Warehouse A"/>
    <x v="526"/>
    <d v="2024-06-01T00:00:00"/>
    <m/>
  </r>
  <r>
    <x v="105"/>
    <x v="1"/>
    <n v="28"/>
    <n v="35"/>
    <x v="1"/>
    <x v="0"/>
    <n v="383.4"/>
    <s v="Warehouse B"/>
    <x v="518"/>
    <d v="2024-09-17T00:00:00"/>
    <s v="Discontinued"/>
  </r>
  <r>
    <x v="71"/>
    <x v="0"/>
    <n v="148"/>
    <n v="49"/>
    <x v="0"/>
    <x v="2"/>
    <n v="207.79"/>
    <s v="Warehouse B"/>
    <x v="527"/>
    <d v="2024-05-30T00:00:00"/>
    <s v="High demand"/>
  </r>
  <r>
    <x v="55"/>
    <x v="3"/>
    <n v="10"/>
    <n v="42"/>
    <x v="1"/>
    <x v="1"/>
    <n v="329.31"/>
    <s v="Warehouse C"/>
    <x v="421"/>
    <d v="2024-08-30T00:00:00"/>
    <s v="Pending Coastal Logistics Partnersonfirmation"/>
  </r>
  <r>
    <x v="82"/>
    <x v="4"/>
    <n v="39"/>
    <n v="24"/>
    <x v="0"/>
    <x v="2"/>
    <n v="133.82"/>
    <s v="Warehouse A"/>
    <x v="464"/>
    <d v="2024-12-09T00:00:00"/>
    <m/>
  </r>
  <r>
    <x v="31"/>
    <x v="2"/>
    <n v="10"/>
    <n v="84"/>
    <x v="1"/>
    <x v="2"/>
    <n v="83.95"/>
    <s v="Warehouse B"/>
    <x v="528"/>
    <d v="2024-09-12T00:00:00"/>
    <s v="Discontinued"/>
  </r>
  <r>
    <x v="56"/>
    <x v="4"/>
    <n v="163"/>
    <n v="49"/>
    <x v="0"/>
    <x v="1"/>
    <n v="84.43"/>
    <s v="Warehouse A"/>
    <x v="525"/>
    <d v="2024-09-09T00:00:00"/>
    <s v="Pending Coastal Logistics Partnersonfirmation"/>
  </r>
  <r>
    <x v="71"/>
    <x v="2"/>
    <n v="112"/>
    <n v="40"/>
    <x v="0"/>
    <x v="1"/>
    <n v="39.89"/>
    <s v="Warehouse B"/>
    <x v="529"/>
    <d v="2024-06-09T00:00:00"/>
    <s v="Discontinued"/>
  </r>
  <r>
    <x v="75"/>
    <x v="4"/>
    <n v="186"/>
    <n v="89"/>
    <x v="0"/>
    <x v="2"/>
    <n v="96.9"/>
    <s v="Warehouse A"/>
    <x v="530"/>
    <d v="2024-07-08T00:00:00"/>
    <s v="Discontinued"/>
  </r>
  <r>
    <x v="31"/>
    <x v="3"/>
    <n v="38"/>
    <n v="41"/>
    <x v="1"/>
    <x v="1"/>
    <n v="333.79"/>
    <s v="Warehouse B"/>
    <x v="472"/>
    <d v="2024-03-24T00:00:00"/>
    <s v="High demand"/>
  </r>
  <r>
    <x v="111"/>
    <x v="2"/>
    <n v="53"/>
    <n v="91"/>
    <x v="1"/>
    <x v="2"/>
    <n v="441.44"/>
    <s v="Warehouse C"/>
    <x v="531"/>
    <d v="2024-03-18T00:00:00"/>
    <s v="High demand"/>
  </r>
  <r>
    <x v="52"/>
    <x v="0"/>
    <n v="97"/>
    <n v="51"/>
    <x v="0"/>
    <x v="2"/>
    <n v="407.99"/>
    <s v="Warehouse C"/>
    <x v="436"/>
    <d v="2024-09-09T00:00:00"/>
    <s v="Pending Coastal Logistics Partnersonfirmation"/>
  </r>
  <r>
    <x v="116"/>
    <x v="4"/>
    <n v="54"/>
    <n v="52"/>
    <x v="0"/>
    <x v="1"/>
    <n v="344.14"/>
    <s v="Warehouse A"/>
    <x v="532"/>
    <d v="2024-04-05T00:00:00"/>
    <s v="Discontinued"/>
  </r>
  <r>
    <x v="52"/>
    <x v="4"/>
    <n v="110"/>
    <n v="35"/>
    <x v="0"/>
    <x v="0"/>
    <n v="59.66"/>
    <s v="Warehouse B"/>
    <x v="533"/>
    <d v="2024-11-17T00:00:00"/>
    <s v="Pending Coastal Logistics Partnersonfirmation"/>
  </r>
  <r>
    <x v="132"/>
    <x v="2"/>
    <n v="151"/>
    <n v="95"/>
    <x v="0"/>
    <x v="1"/>
    <n v="148.15"/>
    <s v="Warehouse B"/>
    <x v="534"/>
    <d v="2024-06-21T00:00:00"/>
    <s v="Pending Coastal Logistics Partnersonfirmation"/>
  </r>
  <r>
    <x v="53"/>
    <x v="0"/>
    <n v="149"/>
    <n v="57"/>
    <x v="0"/>
    <x v="0"/>
    <n v="158.35"/>
    <s v="Warehouse A"/>
    <x v="528"/>
    <d v="2024-10-17T00:00:00"/>
    <s v="Discontinued"/>
  </r>
  <r>
    <x v="105"/>
    <x v="0"/>
    <n v="68"/>
    <n v="33"/>
    <x v="0"/>
    <x v="2"/>
    <n v="128.72999999999999"/>
    <s v="Warehouse B"/>
    <x v="368"/>
    <d v="2024-11-22T00:00:00"/>
    <s v="Pending Coastal Logistics Partnersonfirmation"/>
  </r>
  <r>
    <x v="71"/>
    <x v="3"/>
    <n v="55"/>
    <n v="55"/>
    <x v="0"/>
    <x v="2"/>
    <n v="259.93"/>
    <s v="Warehouse A"/>
    <x v="535"/>
    <d v="2024-05-08T00:00:00"/>
    <s v="Discontinued"/>
  </r>
  <r>
    <x v="91"/>
    <x v="0"/>
    <n v="32"/>
    <n v="42"/>
    <x v="1"/>
    <x v="0"/>
    <n v="270.10000000000002"/>
    <s v="Warehouse B"/>
    <x v="348"/>
    <d v="2024-04-06T00:00:00"/>
    <s v="Discontinued"/>
  </r>
  <r>
    <x v="122"/>
    <x v="0"/>
    <n v="35"/>
    <n v="85"/>
    <x v="1"/>
    <x v="2"/>
    <n v="181.66"/>
    <s v="Warehouse A"/>
    <x v="369"/>
    <d v="2025-01-18T00:00:00"/>
    <s v="Discontinued"/>
  </r>
  <r>
    <x v="126"/>
    <x v="0"/>
    <n v="147"/>
    <n v="21"/>
    <x v="0"/>
    <x v="0"/>
    <n v="180.13"/>
    <s v="Warehouse B"/>
    <x v="536"/>
    <d v="2024-08-31T00:00:00"/>
    <s v="Discontinued"/>
  </r>
  <r>
    <x v="105"/>
    <x v="1"/>
    <n v="80"/>
    <n v="92"/>
    <x v="1"/>
    <x v="0"/>
    <n v="415.14"/>
    <s v="Warehouse A"/>
    <x v="537"/>
    <d v="2024-12-17T00:00:00"/>
    <m/>
  </r>
  <r>
    <x v="43"/>
    <x v="3"/>
    <n v="189"/>
    <n v="84"/>
    <x v="0"/>
    <x v="2"/>
    <n v="395.7"/>
    <s v="Warehouse B"/>
    <x v="393"/>
    <d v="2024-04-29T00:00:00"/>
    <s v="Discontinued"/>
  </r>
  <r>
    <x v="94"/>
    <x v="4"/>
    <n v="108"/>
    <n v="94"/>
    <x v="0"/>
    <x v="0"/>
    <n v="157.36000000000001"/>
    <s v="Warehouse C"/>
    <x v="538"/>
    <d v="2024-12-28T00:00:00"/>
    <s v="High demand"/>
  </r>
  <r>
    <x v="86"/>
    <x v="2"/>
    <n v="153"/>
    <n v="86"/>
    <x v="0"/>
    <x v="1"/>
    <n v="457.33"/>
    <s v="Warehouse B"/>
    <x v="509"/>
    <d v="2024-01-20T00:00:00"/>
    <s v="High demand"/>
  </r>
  <r>
    <x v="86"/>
    <x v="4"/>
    <n v="193"/>
    <n v="71"/>
    <x v="0"/>
    <x v="1"/>
    <n v="476.64"/>
    <s v="Warehouse A"/>
    <x v="411"/>
    <d v="2024-04-09T00:00:00"/>
    <s v="High demand"/>
  </r>
  <r>
    <x v="54"/>
    <x v="3"/>
    <n v="72"/>
    <n v="81"/>
    <x v="1"/>
    <x v="2"/>
    <n v="166.74"/>
    <s v="Warehouse C"/>
    <x v="477"/>
    <d v="2024-02-26T00:00:00"/>
    <s v="Discontinued"/>
  </r>
  <r>
    <x v="103"/>
    <x v="2"/>
    <n v="39"/>
    <n v="42"/>
    <x v="1"/>
    <x v="2"/>
    <n v="180.44"/>
    <s v="Warehouse B"/>
    <x v="539"/>
    <d v="2025-03-17T00:00:00"/>
    <s v="High demand"/>
  </r>
  <r>
    <x v="56"/>
    <x v="3"/>
    <n v="16"/>
    <n v="45"/>
    <x v="1"/>
    <x v="0"/>
    <n v="255.29"/>
    <s v="Warehouse C"/>
    <x v="513"/>
    <d v="2024-07-03T00:00:00"/>
    <m/>
  </r>
  <r>
    <x v="20"/>
    <x v="0"/>
    <n v="128"/>
    <n v="87"/>
    <x v="0"/>
    <x v="0"/>
    <n v="470.85"/>
    <s v="Warehouse B"/>
    <x v="540"/>
    <d v="2024-02-27T00:00:00"/>
    <s v="Pending Coastal Logistics Partnersonfirmation"/>
  </r>
  <r>
    <x v="77"/>
    <x v="2"/>
    <n v="60"/>
    <n v="74"/>
    <x v="1"/>
    <x v="0"/>
    <n v="438.78"/>
    <s v="Warehouse C"/>
    <x v="447"/>
    <d v="2024-04-25T00:00:00"/>
    <s v="Discontinued"/>
  </r>
  <r>
    <x v="93"/>
    <x v="0"/>
    <n v="170"/>
    <n v="25"/>
    <x v="0"/>
    <x v="0"/>
    <n v="55.77"/>
    <s v="Warehouse A"/>
    <x v="427"/>
    <d v="2024-09-19T00:00:00"/>
    <s v="High demand"/>
  </r>
  <r>
    <x v="120"/>
    <x v="4"/>
    <n v="103"/>
    <n v="54"/>
    <x v="0"/>
    <x v="1"/>
    <n v="199.4"/>
    <s v="Warehouse B"/>
    <x v="354"/>
    <d v="2024-09-29T00:00:00"/>
    <m/>
  </r>
  <r>
    <x v="56"/>
    <x v="4"/>
    <n v="41"/>
    <n v="41"/>
    <x v="0"/>
    <x v="1"/>
    <n v="278.92"/>
    <s v="Warehouse B"/>
    <x v="541"/>
    <d v="2024-07-31T00:00:00"/>
    <s v="Pending Coastal Logistics Partnersonfirmation"/>
  </r>
  <r>
    <x v="88"/>
    <x v="2"/>
    <n v="24"/>
    <n v="62"/>
    <x v="1"/>
    <x v="2"/>
    <n v="254.05"/>
    <s v="Warehouse A"/>
    <x v="494"/>
    <d v="2024-11-22T00:00:00"/>
    <m/>
  </r>
  <r>
    <x v="66"/>
    <x v="2"/>
    <n v="38"/>
    <n v="34"/>
    <x v="0"/>
    <x v="0"/>
    <n v="100.96"/>
    <s v="Warehouse C"/>
    <x v="542"/>
    <d v="2025-03-06T00:00:00"/>
    <s v="High demand"/>
  </r>
  <r>
    <x v="71"/>
    <x v="3"/>
    <n v="34"/>
    <n v="79"/>
    <x v="1"/>
    <x v="0"/>
    <n v="430.11"/>
    <s v="Warehouse A"/>
    <x v="429"/>
    <d v="2024-04-27T00:00:00"/>
    <m/>
  </r>
  <r>
    <x v="100"/>
    <x v="3"/>
    <n v="130"/>
    <n v="31"/>
    <x v="0"/>
    <x v="2"/>
    <n v="340.09"/>
    <s v="Warehouse A"/>
    <x v="543"/>
    <d v="2025-01-19T00:00:00"/>
    <s v="Pending Coastal Logistics Partnersonfirmation"/>
  </r>
  <r>
    <x v="114"/>
    <x v="0"/>
    <n v="107"/>
    <n v="68"/>
    <x v="0"/>
    <x v="0"/>
    <n v="419.76"/>
    <s v="Warehouse C"/>
    <x v="525"/>
    <d v="2024-08-26T00:00:00"/>
    <s v="High demand"/>
  </r>
  <r>
    <x v="70"/>
    <x v="2"/>
    <n v="171"/>
    <n v="61"/>
    <x v="0"/>
    <x v="0"/>
    <n v="430.09"/>
    <s v="Warehouse A"/>
    <x v="475"/>
    <d v="2024-07-20T00:00:00"/>
    <s v="Pending Coastal Logistics Partnersonfirmation"/>
  </r>
  <r>
    <x v="130"/>
    <x v="4"/>
    <n v="178"/>
    <n v="57"/>
    <x v="0"/>
    <x v="0"/>
    <n v="375.44"/>
    <s v="Warehouse B"/>
    <x v="460"/>
    <d v="2025-01-22T00:00:00"/>
    <m/>
  </r>
  <r>
    <x v="89"/>
    <x v="3"/>
    <n v="101"/>
    <n v="64"/>
    <x v="0"/>
    <x v="0"/>
    <n v="222.41"/>
    <s v="Warehouse B"/>
    <x v="399"/>
    <d v="2024-11-12T00:00:00"/>
    <s v="Discontinued"/>
  </r>
  <r>
    <x v="68"/>
    <x v="3"/>
    <n v="97"/>
    <n v="54"/>
    <x v="0"/>
    <x v="0"/>
    <n v="307.22000000000003"/>
    <s v="Warehouse B"/>
    <x v="544"/>
    <d v="2024-04-27T00:00:00"/>
    <s v="Discontinued"/>
  </r>
  <r>
    <x v="96"/>
    <x v="4"/>
    <n v="11"/>
    <n v="49"/>
    <x v="1"/>
    <x v="2"/>
    <n v="84.38"/>
    <s v="Warehouse A"/>
    <x v="506"/>
    <d v="2024-09-01T00:00:00"/>
    <s v="Discontinued"/>
  </r>
  <r>
    <x v="71"/>
    <x v="3"/>
    <n v="18"/>
    <n v="49"/>
    <x v="1"/>
    <x v="0"/>
    <n v="338.45"/>
    <s v="Warehouse B"/>
    <x v="545"/>
    <d v="2024-03-29T00:00:00"/>
    <s v="Discontinued"/>
  </r>
  <r>
    <x v="100"/>
    <x v="0"/>
    <n v="100"/>
    <n v="97"/>
    <x v="0"/>
    <x v="2"/>
    <n v="93.73"/>
    <s v="Warehouse B"/>
    <x v="372"/>
    <d v="2024-10-19T00:00:00"/>
    <s v="Pending Coastal Logistics Partnersonfirmation"/>
  </r>
  <r>
    <x v="108"/>
    <x v="2"/>
    <n v="43"/>
    <n v="25"/>
    <x v="0"/>
    <x v="0"/>
    <n v="348.51"/>
    <s v="Warehouse B"/>
    <x v="546"/>
    <d v="2025-01-23T00:00:00"/>
    <s v="Discontinued"/>
  </r>
  <r>
    <x v="107"/>
    <x v="4"/>
    <n v="186"/>
    <n v="86"/>
    <x v="0"/>
    <x v="1"/>
    <n v="118.65"/>
    <s v="Warehouse B"/>
    <x v="529"/>
    <d v="2024-05-12T00:00:00"/>
    <s v="Pending Coastal Logistics Partnersonfirmation"/>
  </r>
  <r>
    <x v="121"/>
    <x v="2"/>
    <n v="48"/>
    <n v="99"/>
    <x v="1"/>
    <x v="1"/>
    <n v="63.19"/>
    <s v="Warehouse B"/>
    <x v="490"/>
    <d v="2025-01-09T00:00:00"/>
    <s v="High demand"/>
  </r>
  <r>
    <x v="115"/>
    <x v="3"/>
    <n v="188"/>
    <n v="26"/>
    <x v="0"/>
    <x v="1"/>
    <n v="86.82"/>
    <s v="Warehouse B"/>
    <x v="547"/>
    <d v="2024-07-31T00:00:00"/>
    <s v="Discontinued"/>
  </r>
  <r>
    <x v="57"/>
    <x v="3"/>
    <n v="16"/>
    <n v="71"/>
    <x v="1"/>
    <x v="1"/>
    <n v="5.99"/>
    <s v="Warehouse A"/>
    <x v="412"/>
    <d v="2024-09-21T00:00:00"/>
    <s v="Pending Coastal Logistics Partnersonfirmation"/>
  </r>
  <r>
    <x v="55"/>
    <x v="4"/>
    <n v="73"/>
    <n v="33"/>
    <x v="0"/>
    <x v="2"/>
    <n v="360.78"/>
    <s v="Warehouse B"/>
    <x v="400"/>
    <d v="2025-02-11T00:00:00"/>
    <s v="Discontinued"/>
  </r>
  <r>
    <x v="57"/>
    <x v="0"/>
    <n v="56"/>
    <n v="92"/>
    <x v="1"/>
    <x v="2"/>
    <n v="367.54"/>
    <s v="Warehouse B"/>
    <x v="479"/>
    <d v="2024-10-31T00:00:00"/>
    <s v="Discontinued"/>
  </r>
  <r>
    <x v="103"/>
    <x v="1"/>
    <n v="54"/>
    <n v="34"/>
    <x v="0"/>
    <x v="0"/>
    <n v="259.89"/>
    <s v="Warehouse C"/>
    <x v="548"/>
    <d v="2025-02-22T00:00:00"/>
    <s v="Discontinued"/>
  </r>
  <r>
    <x v="97"/>
    <x v="4"/>
    <n v="46"/>
    <n v="40"/>
    <x v="0"/>
    <x v="1"/>
    <n v="84.87"/>
    <s v="Warehouse A"/>
    <x v="549"/>
    <d v="2024-09-16T00:00:00"/>
    <s v="Pending Coastal Logistics Partnersonfirmation"/>
  </r>
  <r>
    <x v="129"/>
    <x v="1"/>
    <n v="11"/>
    <n v="54"/>
    <x v="1"/>
    <x v="2"/>
    <n v="46.36"/>
    <s v="Warehouse A"/>
    <x v="430"/>
    <d v="2024-09-26T00:00:00"/>
    <m/>
  </r>
  <r>
    <x v="49"/>
    <x v="1"/>
    <n v="61"/>
    <n v="85"/>
    <x v="1"/>
    <x v="0"/>
    <n v="14.47"/>
    <s v="Warehouse A"/>
    <x v="468"/>
    <d v="2024-07-23T00:00:00"/>
    <s v="Discontinued"/>
  </r>
  <r>
    <x v="84"/>
    <x v="0"/>
    <n v="79"/>
    <n v="21"/>
    <x v="0"/>
    <x v="0"/>
    <n v="87.05"/>
    <s v="Warehouse A"/>
    <x v="365"/>
    <d v="2024-10-21T00:00:00"/>
    <s v="Discontinued"/>
  </r>
  <r>
    <x v="110"/>
    <x v="1"/>
    <n v="82"/>
    <n v="54"/>
    <x v="0"/>
    <x v="2"/>
    <n v="445.97"/>
    <s v="Warehouse B"/>
    <x v="401"/>
    <d v="2024-06-04T00:00:00"/>
    <s v="High demand"/>
  </r>
  <r>
    <x v="52"/>
    <x v="1"/>
    <n v="7"/>
    <n v="97"/>
    <x v="1"/>
    <x v="1"/>
    <n v="124.56"/>
    <s v="Warehouse B"/>
    <x v="550"/>
    <d v="2024-05-17T00:00:00"/>
    <m/>
  </r>
  <r>
    <x v="57"/>
    <x v="0"/>
    <n v="148"/>
    <n v="39"/>
    <x v="0"/>
    <x v="0"/>
    <n v="180.36"/>
    <s v="Warehouse C"/>
    <x v="551"/>
    <d v="2024-07-24T00:00:00"/>
    <s v="Pending Coastal Logistics Partnersonfirmation"/>
  </r>
  <r>
    <x v="133"/>
    <x v="1"/>
    <n v="80"/>
    <n v="29"/>
    <x v="0"/>
    <x v="1"/>
    <n v="57.15"/>
    <s v="Warehouse C"/>
    <x v="552"/>
    <d v="2024-10-18T00:00:00"/>
    <s v="High demand"/>
  </r>
  <r>
    <x v="101"/>
    <x v="1"/>
    <n v="117"/>
    <n v="44"/>
    <x v="0"/>
    <x v="1"/>
    <n v="115.07"/>
    <s v="Warehouse A"/>
    <x v="511"/>
    <d v="2024-04-16T00:00:00"/>
    <s v="Discontinued"/>
  </r>
  <r>
    <x v="6"/>
    <x v="1"/>
    <n v="197"/>
    <n v="85"/>
    <x v="0"/>
    <x v="1"/>
    <n v="262.02"/>
    <s v="Warehouse C"/>
    <x v="485"/>
    <d v="2024-12-07T00:00:00"/>
    <s v="High demand"/>
  </r>
  <r>
    <x v="66"/>
    <x v="4"/>
    <n v="199"/>
    <n v="44"/>
    <x v="0"/>
    <x v="0"/>
    <n v="305.83999999999997"/>
    <s v="Warehouse C"/>
    <x v="553"/>
    <d v="2024-12-26T00:00:00"/>
    <s v="High demand"/>
  </r>
  <r>
    <x v="59"/>
    <x v="4"/>
    <n v="24"/>
    <n v="73"/>
    <x v="1"/>
    <x v="1"/>
    <n v="126.45"/>
    <s v="Warehouse A"/>
    <x v="491"/>
    <d v="2024-05-05T00:00:00"/>
    <s v="Discontinued"/>
  </r>
  <r>
    <x v="53"/>
    <x v="4"/>
    <n v="88"/>
    <n v="52"/>
    <x v="0"/>
    <x v="0"/>
    <n v="33.58"/>
    <s v="Warehouse A"/>
    <x v="554"/>
    <d v="2024-11-25T00:00:00"/>
    <m/>
  </r>
  <r>
    <x v="69"/>
    <x v="0"/>
    <n v="11"/>
    <n v="55"/>
    <x v="1"/>
    <x v="1"/>
    <n v="198.56"/>
    <s v="Warehouse C"/>
    <x v="340"/>
    <d v="2024-03-22T00:00:00"/>
    <m/>
  </r>
  <r>
    <x v="79"/>
    <x v="3"/>
    <n v="142"/>
    <n v="33"/>
    <x v="0"/>
    <x v="0"/>
    <n v="120.93"/>
    <s v="Warehouse B"/>
    <x v="350"/>
    <d v="2024-03-21T00:00:00"/>
    <s v="High demand"/>
  </r>
  <r>
    <x v="112"/>
    <x v="1"/>
    <n v="58"/>
    <n v="84"/>
    <x v="1"/>
    <x v="1"/>
    <n v="113.68"/>
    <s v="Warehouse C"/>
    <x v="541"/>
    <d v="2024-08-17T00:00:00"/>
    <s v="Discontinued"/>
  </r>
  <r>
    <x v="106"/>
    <x v="1"/>
    <n v="153"/>
    <n v="99"/>
    <x v="0"/>
    <x v="2"/>
    <n v="480.13"/>
    <s v="Warehouse C"/>
    <x v="555"/>
    <d v="2024-04-12T00:00:00"/>
    <s v="Pending Coastal Logistics Partnersonfirmation"/>
  </r>
  <r>
    <x v="68"/>
    <x v="0"/>
    <n v="108"/>
    <n v="73"/>
    <x v="0"/>
    <x v="1"/>
    <n v="310.07"/>
    <s v="Warehouse B"/>
    <x v="354"/>
    <d v="2024-08-04T00:00:00"/>
    <s v="High demand"/>
  </r>
  <r>
    <x v="96"/>
    <x v="1"/>
    <n v="25"/>
    <n v="71"/>
    <x v="1"/>
    <x v="1"/>
    <n v="280.64999999999998"/>
    <s v="Warehouse B"/>
    <x v="441"/>
    <d v="2024-08-02T00:00:00"/>
    <s v="Pending Coastal Logistics Partnersonfirmation"/>
  </r>
  <r>
    <x v="73"/>
    <x v="4"/>
    <n v="46"/>
    <n v="22"/>
    <x v="0"/>
    <x v="0"/>
    <n v="210.81"/>
    <s v="Warehouse A"/>
    <x v="556"/>
    <d v="2024-05-17T00:00:00"/>
    <s v="High demand"/>
  </r>
  <r>
    <x v="93"/>
    <x v="3"/>
    <n v="31"/>
    <n v="60"/>
    <x v="1"/>
    <x v="0"/>
    <n v="217.33"/>
    <s v="Warehouse A"/>
    <x v="502"/>
    <d v="2025-01-26T00:00:00"/>
    <s v="High demand"/>
  </r>
  <r>
    <x v="2"/>
    <x v="2"/>
    <n v="9"/>
    <n v="25"/>
    <x v="1"/>
    <x v="1"/>
    <n v="272.75"/>
    <s v="Warehouse C"/>
    <x v="557"/>
    <d v="2024-11-16T00:00:00"/>
    <s v="Discontinued"/>
  </r>
  <r>
    <x v="84"/>
    <x v="1"/>
    <n v="15"/>
    <n v="44"/>
    <x v="1"/>
    <x v="2"/>
    <n v="349.73"/>
    <s v="Warehouse B"/>
    <x v="426"/>
    <d v="2024-12-04T00:00:00"/>
    <s v="Discontinued"/>
  </r>
  <r>
    <x v="72"/>
    <x v="4"/>
    <n v="198"/>
    <n v="32"/>
    <x v="0"/>
    <x v="2"/>
    <n v="352.56"/>
    <s v="Warehouse A"/>
    <x v="558"/>
    <d v="2024-09-09T00:00:00"/>
    <s v="Pending Coastal Logistics Partnersonfirmation"/>
  </r>
  <r>
    <x v="20"/>
    <x v="2"/>
    <n v="144"/>
    <n v="27"/>
    <x v="0"/>
    <x v="0"/>
    <n v="89.99"/>
    <s v="Warehouse C"/>
    <x v="417"/>
    <d v="2025-02-16T00:00:00"/>
    <s v="Pending Coastal Logistics Partnersonfirmation"/>
  </r>
  <r>
    <x v="99"/>
    <x v="3"/>
    <n v="150"/>
    <n v="40"/>
    <x v="0"/>
    <x v="2"/>
    <n v="252.56"/>
    <s v="Warehouse B"/>
    <x v="496"/>
    <d v="2024-04-22T00:00:00"/>
    <m/>
  </r>
  <r>
    <x v="113"/>
    <x v="2"/>
    <n v="25"/>
    <n v="87"/>
    <x v="1"/>
    <x v="1"/>
    <n v="208.92"/>
    <s v="Warehouse C"/>
    <x v="543"/>
    <d v="2025-01-02T00:00:00"/>
    <s v="Discontinued"/>
  </r>
  <r>
    <x v="2"/>
    <x v="4"/>
    <n v="85"/>
    <n v="44"/>
    <x v="0"/>
    <x v="0"/>
    <n v="435.91"/>
    <s v="Warehouse A"/>
    <x v="390"/>
    <d v="2024-11-20T00:00:00"/>
    <s v="High demand"/>
  </r>
  <r>
    <x v="134"/>
    <x v="2"/>
    <n v="134"/>
    <n v="98"/>
    <x v="0"/>
    <x v="1"/>
    <n v="317.55"/>
    <s v="Warehouse A"/>
    <x v="559"/>
    <d v="2024-11-21T00:00:00"/>
    <s v="High demand"/>
  </r>
  <r>
    <x v="130"/>
    <x v="0"/>
    <n v="13"/>
    <n v="87"/>
    <x v="1"/>
    <x v="0"/>
    <n v="268.58999999999997"/>
    <s v="Warehouse B"/>
    <x v="376"/>
    <d v="2024-07-30T00:00:00"/>
    <m/>
  </r>
  <r>
    <x v="55"/>
    <x v="2"/>
    <n v="78"/>
    <n v="64"/>
    <x v="0"/>
    <x v="0"/>
    <n v="62.12"/>
    <s v="Warehouse C"/>
    <x v="518"/>
    <d v="2024-09-26T00:00:00"/>
    <s v="Discontinued"/>
  </r>
  <r>
    <x v="58"/>
    <x v="1"/>
    <n v="116"/>
    <n v="79"/>
    <x v="0"/>
    <x v="0"/>
    <n v="304.79000000000002"/>
    <s v="Warehouse B"/>
    <x v="401"/>
    <d v="2024-06-13T00:00:00"/>
    <s v="High demand"/>
  </r>
  <r>
    <x v="102"/>
    <x v="1"/>
    <n v="6"/>
    <n v="31"/>
    <x v="1"/>
    <x v="0"/>
    <n v="63.02"/>
    <s v="Warehouse A"/>
    <x v="451"/>
    <d v="2024-08-07T00:00:00"/>
    <m/>
  </r>
  <r>
    <x v="68"/>
    <x v="0"/>
    <n v="136"/>
    <n v="51"/>
    <x v="0"/>
    <x v="2"/>
    <n v="171.92"/>
    <s v="Warehouse A"/>
    <x v="560"/>
    <d v="2025-01-17T00:00:00"/>
    <m/>
  </r>
  <r>
    <x v="69"/>
    <x v="4"/>
    <n v="114"/>
    <n v="32"/>
    <x v="0"/>
    <x v="1"/>
    <n v="75.709999999999994"/>
    <s v="Warehouse C"/>
    <x v="561"/>
    <d v="2024-07-24T00:00:00"/>
    <s v="High demand"/>
  </r>
  <r>
    <x v="31"/>
    <x v="1"/>
    <n v="175"/>
    <n v="50"/>
    <x v="0"/>
    <x v="1"/>
    <n v="347.58"/>
    <s v="Warehouse C"/>
    <x v="433"/>
    <d v="2024-04-04T00:00:00"/>
    <s v="High demand"/>
  </r>
  <r>
    <x v="110"/>
    <x v="3"/>
    <n v="71"/>
    <n v="97"/>
    <x v="1"/>
    <x v="1"/>
    <n v="107.09"/>
    <s v="Warehouse C"/>
    <x v="562"/>
    <d v="2024-11-14T00:00:00"/>
    <s v="Pending Coastal Logistics Partnersonfirmation"/>
  </r>
  <r>
    <x v="68"/>
    <x v="1"/>
    <n v="58"/>
    <n v="39"/>
    <x v="0"/>
    <x v="0"/>
    <n v="198.97"/>
    <s v="Warehouse B"/>
    <x v="463"/>
    <d v="2024-04-07T00:00:00"/>
    <s v="Discontinued"/>
  </r>
  <r>
    <x v="131"/>
    <x v="1"/>
    <n v="81"/>
    <n v="37"/>
    <x v="0"/>
    <x v="2"/>
    <n v="448.36"/>
    <s v="Warehouse C"/>
    <x v="512"/>
    <d v="2024-10-03T00:00:00"/>
    <s v="Pending Coastal Logistics Partnersonfirmation"/>
  </r>
  <r>
    <x v="19"/>
    <x v="4"/>
    <n v="115"/>
    <n v="79"/>
    <x v="0"/>
    <x v="1"/>
    <n v="106.14"/>
    <s v="Warehouse C"/>
    <x v="563"/>
    <d v="2024-04-25T00:00:00"/>
    <m/>
  </r>
  <r>
    <x v="93"/>
    <x v="2"/>
    <n v="166"/>
    <n v="82"/>
    <x v="0"/>
    <x v="2"/>
    <n v="256.36"/>
    <s v="Warehouse A"/>
    <x v="353"/>
    <d v="2024-08-30T00:00:00"/>
    <s v="High demand"/>
  </r>
  <r>
    <x v="119"/>
    <x v="1"/>
    <n v="145"/>
    <n v="25"/>
    <x v="0"/>
    <x v="0"/>
    <n v="212.54"/>
    <s v="Warehouse A"/>
    <x v="422"/>
    <d v="2024-12-20T00:00:00"/>
    <s v="Pending Coastal Logistics Partnersonfirmation"/>
  </r>
  <r>
    <x v="78"/>
    <x v="0"/>
    <n v="186"/>
    <n v="51"/>
    <x v="0"/>
    <x v="1"/>
    <n v="13.97"/>
    <s v="Warehouse C"/>
    <x v="502"/>
    <d v="2025-01-13T00:00:00"/>
    <m/>
  </r>
  <r>
    <x v="67"/>
    <x v="2"/>
    <n v="102"/>
    <n v="62"/>
    <x v="0"/>
    <x v="2"/>
    <n v="397.42"/>
    <s v="Warehouse C"/>
    <x v="433"/>
    <d v="2024-03-19T00:00:00"/>
    <s v="Discontinued"/>
  </r>
  <r>
    <x v="113"/>
    <x v="3"/>
    <n v="16"/>
    <n v="21"/>
    <x v="1"/>
    <x v="0"/>
    <n v="39.18"/>
    <s v="Warehouse A"/>
    <x v="564"/>
    <d v="2024-11-27T00:00:00"/>
    <s v="High demand"/>
  </r>
  <r>
    <x v="67"/>
    <x v="4"/>
    <n v="13"/>
    <n v="79"/>
    <x v="1"/>
    <x v="2"/>
    <n v="239.76"/>
    <s v="Warehouse C"/>
    <x v="565"/>
    <d v="2024-09-08T00:00:00"/>
    <s v="Pending Coastal Logistics Partnersonfirmation"/>
  </r>
  <r>
    <x v="105"/>
    <x v="3"/>
    <n v="158"/>
    <n v="42"/>
    <x v="0"/>
    <x v="1"/>
    <n v="282.54000000000002"/>
    <s v="Warehouse B"/>
    <x v="566"/>
    <d v="2025-01-21T00:00:00"/>
    <s v="Discontinued"/>
  </r>
  <r>
    <x v="72"/>
    <x v="2"/>
    <n v="151"/>
    <n v="50"/>
    <x v="0"/>
    <x v="1"/>
    <n v="316.07"/>
    <s v="Warehouse B"/>
    <x v="405"/>
    <d v="2025-03-09T00:00:00"/>
    <s v="Pending Coastal Logistics Partnersonfirmation"/>
  </r>
  <r>
    <x v="124"/>
    <x v="2"/>
    <n v="107"/>
    <n v="24"/>
    <x v="0"/>
    <x v="0"/>
    <n v="345.87"/>
    <s v="Warehouse B"/>
    <x v="517"/>
    <d v="2024-11-04T00:00:00"/>
    <m/>
  </r>
  <r>
    <x v="68"/>
    <x v="2"/>
    <n v="187"/>
    <n v="53"/>
    <x v="0"/>
    <x v="0"/>
    <n v="130.37"/>
    <s v="Warehouse C"/>
    <x v="499"/>
    <d v="2024-12-15T00:00:00"/>
    <s v="Discontinued"/>
  </r>
  <r>
    <x v="131"/>
    <x v="3"/>
    <n v="44"/>
    <n v="29"/>
    <x v="0"/>
    <x v="0"/>
    <n v="9.94"/>
    <s v="Warehouse A"/>
    <x v="567"/>
    <d v="2024-10-05T00:00:00"/>
    <s v="Pending Coastal Logistics Partnersonfirmation"/>
  </r>
  <r>
    <x v="53"/>
    <x v="2"/>
    <n v="97"/>
    <n v="21"/>
    <x v="0"/>
    <x v="2"/>
    <n v="363.1"/>
    <s v="Warehouse C"/>
    <x v="568"/>
    <d v="2024-02-27T00:00:00"/>
    <s v="Discontinued"/>
  </r>
  <r>
    <x v="59"/>
    <x v="3"/>
    <n v="130"/>
    <n v="30"/>
    <x v="0"/>
    <x v="2"/>
    <n v="270.14999999999998"/>
    <s v="Warehouse C"/>
    <x v="569"/>
    <d v="2024-08-20T00:00:00"/>
    <m/>
  </r>
  <r>
    <x v="98"/>
    <x v="2"/>
    <n v="36"/>
    <n v="69"/>
    <x v="1"/>
    <x v="2"/>
    <n v="418.88"/>
    <s v="Warehouse A"/>
    <x v="570"/>
    <d v="2024-06-04T00:00:00"/>
    <s v="Discontinued"/>
  </r>
  <r>
    <x v="70"/>
    <x v="0"/>
    <n v="170"/>
    <n v="50"/>
    <x v="0"/>
    <x v="0"/>
    <n v="411.59"/>
    <s v="Warehouse A"/>
    <x v="383"/>
    <d v="2024-02-17T00:00:00"/>
    <s v="Pending Coastal Logistics Partnersonfirmation"/>
  </r>
  <r>
    <x v="58"/>
    <x v="2"/>
    <n v="167"/>
    <n v="75"/>
    <x v="0"/>
    <x v="1"/>
    <n v="422.45"/>
    <s v="Warehouse A"/>
    <x v="375"/>
    <d v="2024-02-20T00:00:00"/>
    <m/>
  </r>
  <r>
    <x v="20"/>
    <x v="3"/>
    <n v="182"/>
    <n v="98"/>
    <x v="0"/>
    <x v="1"/>
    <n v="245.12"/>
    <s v="Warehouse B"/>
    <x v="571"/>
    <d v="2024-11-04T00:00:00"/>
    <s v="High demand"/>
  </r>
  <r>
    <x v="60"/>
    <x v="1"/>
    <n v="107"/>
    <n v="92"/>
    <x v="0"/>
    <x v="2"/>
    <n v="170.15"/>
    <s v="Warehouse C"/>
    <x v="572"/>
    <d v="2024-08-03T00:00:00"/>
    <s v="Pending Coastal Logistics Partnersonfirmation"/>
  </r>
  <r>
    <x v="20"/>
    <x v="2"/>
    <n v="38"/>
    <n v="28"/>
    <x v="0"/>
    <x v="2"/>
    <n v="396.82"/>
    <s v="Warehouse A"/>
    <x v="573"/>
    <d v="2024-12-14T00:00:00"/>
    <s v="Pending Coastal Logistics Partnersonfirmation"/>
  </r>
  <r>
    <x v="97"/>
    <x v="1"/>
    <n v="14"/>
    <n v="40"/>
    <x v="1"/>
    <x v="1"/>
    <n v="228.39"/>
    <s v="Warehouse C"/>
    <x v="541"/>
    <d v="2024-07-21T00:00:00"/>
    <m/>
  </r>
  <r>
    <x v="76"/>
    <x v="0"/>
    <n v="119"/>
    <n v="92"/>
    <x v="0"/>
    <x v="1"/>
    <n v="95.8"/>
    <s v="Warehouse B"/>
    <x v="574"/>
    <d v="2024-07-26T00:00:00"/>
    <m/>
  </r>
  <r>
    <x v="95"/>
    <x v="4"/>
    <n v="3"/>
    <n v="47"/>
    <x v="1"/>
    <x v="2"/>
    <n v="428.21"/>
    <s v="Warehouse B"/>
    <x v="575"/>
    <d v="2025-01-15T00:00:00"/>
    <s v="High demand"/>
  </r>
  <r>
    <x v="19"/>
    <x v="0"/>
    <n v="92"/>
    <n v="81"/>
    <x v="0"/>
    <x v="2"/>
    <n v="441.87"/>
    <s v="Warehouse A"/>
    <x v="514"/>
    <d v="2024-12-14T00:00:00"/>
    <s v="Pending Coastal Logistics Partnersonfirmation"/>
  </r>
  <r>
    <x v="106"/>
    <x v="2"/>
    <n v="152"/>
    <n v="26"/>
    <x v="0"/>
    <x v="1"/>
    <n v="235.82"/>
    <s v="Warehouse A"/>
    <x v="346"/>
    <d v="2024-05-16T00:00:00"/>
    <m/>
  </r>
  <r>
    <x v="44"/>
    <x v="1"/>
    <n v="140"/>
    <n v="99"/>
    <x v="0"/>
    <x v="0"/>
    <n v="42.47"/>
    <s v="Warehouse C"/>
    <x v="560"/>
    <d v="2025-03-07T00:00:00"/>
    <s v="High demand"/>
  </r>
  <r>
    <x v="97"/>
    <x v="1"/>
    <n v="160"/>
    <n v="35"/>
    <x v="0"/>
    <x v="2"/>
    <n v="196.97"/>
    <s v="Warehouse A"/>
    <x v="463"/>
    <d v="2024-04-19T00:00:00"/>
    <s v="High demand"/>
  </r>
  <r>
    <x v="78"/>
    <x v="3"/>
    <n v="15"/>
    <n v="23"/>
    <x v="1"/>
    <x v="1"/>
    <n v="402.75"/>
    <s v="Warehouse C"/>
    <x v="576"/>
    <d v="2025-02-02T00:00:00"/>
    <m/>
  </r>
  <r>
    <x v="51"/>
    <x v="1"/>
    <n v="169"/>
    <n v="23"/>
    <x v="0"/>
    <x v="1"/>
    <n v="451.38"/>
    <s v="Warehouse A"/>
    <x v="465"/>
    <d v="2025-01-22T00:00:00"/>
    <s v="Pending Coastal Logistics Partnersonfirmation"/>
  </r>
  <r>
    <x v="112"/>
    <x v="3"/>
    <n v="107"/>
    <n v="59"/>
    <x v="0"/>
    <x v="1"/>
    <n v="105.72"/>
    <s v="Warehouse C"/>
    <x v="577"/>
    <d v="2024-05-08T00:00:00"/>
    <s v="Discontinued"/>
  </r>
  <r>
    <x v="61"/>
    <x v="4"/>
    <n v="125"/>
    <n v="36"/>
    <x v="0"/>
    <x v="1"/>
    <n v="38.15"/>
    <s v="Warehouse C"/>
    <x v="514"/>
    <d v="2024-11-06T00:00:00"/>
    <s v="Discontinued"/>
  </r>
  <r>
    <x v="88"/>
    <x v="2"/>
    <n v="193"/>
    <n v="71"/>
    <x v="0"/>
    <x v="0"/>
    <n v="439.29"/>
    <s v="Warehouse C"/>
    <x v="407"/>
    <d v="2024-12-10T00:00:00"/>
    <s v="High demand"/>
  </r>
  <r>
    <x v="124"/>
    <x v="3"/>
    <n v="54"/>
    <n v="71"/>
    <x v="1"/>
    <x v="1"/>
    <n v="197.76"/>
    <s v="Warehouse C"/>
    <x v="434"/>
    <d v="2024-10-22T00:00:00"/>
    <s v="Discontinued"/>
  </r>
  <r>
    <x v="135"/>
    <x v="4"/>
    <n v="169"/>
    <n v="55"/>
    <x v="0"/>
    <x v="2"/>
    <n v="273.17"/>
    <s v="Warehouse B"/>
    <x v="578"/>
    <d v="2025-01-02T00:00:00"/>
    <s v="Discontinued"/>
  </r>
  <r>
    <x v="103"/>
    <x v="1"/>
    <n v="33"/>
    <n v="57"/>
    <x v="1"/>
    <x v="0"/>
    <n v="484.19"/>
    <s v="Warehouse C"/>
    <x v="376"/>
    <d v="2024-09-11T00:00:00"/>
    <m/>
  </r>
  <r>
    <x v="101"/>
    <x v="1"/>
    <n v="157"/>
    <n v="69"/>
    <x v="0"/>
    <x v="1"/>
    <n v="37.950000000000003"/>
    <s v="Warehouse A"/>
    <x v="441"/>
    <d v="2024-08-11T00:00:00"/>
    <s v="High demand"/>
  </r>
  <r>
    <x v="103"/>
    <x v="4"/>
    <n v="12"/>
    <n v="82"/>
    <x v="1"/>
    <x v="0"/>
    <n v="325.92"/>
    <s v="Warehouse B"/>
    <x v="506"/>
    <d v="2024-09-02T00:00:00"/>
    <s v="Pending Coastal Logistics Partnersonfirmation"/>
  </r>
  <r>
    <x v="71"/>
    <x v="1"/>
    <n v="140"/>
    <n v="82"/>
    <x v="0"/>
    <x v="2"/>
    <n v="41.68"/>
    <s v="Warehouse B"/>
    <x v="500"/>
    <d v="2024-11-08T00:00:00"/>
    <s v="High demand"/>
  </r>
  <r>
    <x v="78"/>
    <x v="4"/>
    <n v="17"/>
    <n v="81"/>
    <x v="1"/>
    <x v="1"/>
    <n v="190.86"/>
    <s v="Warehouse C"/>
    <x v="458"/>
    <d v="2024-05-06T00:00:00"/>
    <m/>
  </r>
  <r>
    <x v="114"/>
    <x v="3"/>
    <n v="159"/>
    <n v="26"/>
    <x v="0"/>
    <x v="2"/>
    <n v="402.89"/>
    <s v="Warehouse B"/>
    <x v="342"/>
    <d v="2024-11-19T00:00:00"/>
    <s v="Discontinued"/>
  </r>
  <r>
    <x v="118"/>
    <x v="3"/>
    <n v="95"/>
    <n v="46"/>
    <x v="0"/>
    <x v="1"/>
    <n v="219.57"/>
    <s v="Warehouse C"/>
    <x v="578"/>
    <d v="2025-01-28T00:00:00"/>
    <s v="Pending Coastal Logistics Partnersonfirmation"/>
  </r>
  <r>
    <x v="105"/>
    <x v="4"/>
    <n v="122"/>
    <n v="33"/>
    <x v="0"/>
    <x v="1"/>
    <n v="498.61"/>
    <s v="Warehouse A"/>
    <x v="514"/>
    <d v="2024-10-18T00:00:00"/>
    <s v="High demand"/>
  </r>
  <r>
    <x v="107"/>
    <x v="3"/>
    <n v="38"/>
    <n v="90"/>
    <x v="1"/>
    <x v="1"/>
    <n v="281.73"/>
    <s v="Warehouse C"/>
    <x v="496"/>
    <d v="2024-02-15T00:00:00"/>
    <s v="Discontinued"/>
  </r>
  <r>
    <x v="118"/>
    <x v="3"/>
    <n v="45"/>
    <n v="24"/>
    <x v="0"/>
    <x v="1"/>
    <n v="163.98"/>
    <s v="Warehouse B"/>
    <x v="444"/>
    <d v="2024-11-22T00:00:00"/>
    <s v="High demand"/>
  </r>
  <r>
    <x v="104"/>
    <x v="3"/>
    <n v="28"/>
    <n v="74"/>
    <x v="1"/>
    <x v="1"/>
    <n v="113.96"/>
    <s v="Warehouse A"/>
    <x v="550"/>
    <d v="2024-05-25T00:00:00"/>
    <s v="Pending Coastal Logistics Partnersonfirmation"/>
  </r>
  <r>
    <x v="70"/>
    <x v="0"/>
    <n v="189"/>
    <n v="21"/>
    <x v="0"/>
    <x v="0"/>
    <n v="178.51"/>
    <s v="Warehouse C"/>
    <x v="579"/>
    <d v="2024-11-17T00:00:00"/>
    <s v="High demand"/>
  </r>
  <r>
    <x v="104"/>
    <x v="2"/>
    <n v="61"/>
    <n v="81"/>
    <x v="1"/>
    <x v="1"/>
    <n v="189.4"/>
    <s v="Warehouse A"/>
    <x v="580"/>
    <d v="2024-07-21T00:00:00"/>
    <s v="High demand"/>
  </r>
  <r>
    <x v="134"/>
    <x v="1"/>
    <n v="184"/>
    <n v="40"/>
    <x v="0"/>
    <x v="1"/>
    <n v="39.01"/>
    <s v="Warehouse A"/>
    <x v="477"/>
    <d v="2024-02-25T00:00:00"/>
    <s v="High demand"/>
  </r>
  <r>
    <x v="57"/>
    <x v="0"/>
    <n v="15"/>
    <n v="98"/>
    <x v="1"/>
    <x v="0"/>
    <n v="187.94"/>
    <s v="Warehouse B"/>
    <x v="581"/>
    <d v="2024-09-18T00:00:00"/>
    <s v="Discontinued"/>
  </r>
  <r>
    <x v="87"/>
    <x v="3"/>
    <n v="183"/>
    <n v="40"/>
    <x v="0"/>
    <x v="0"/>
    <n v="234.8"/>
    <s v="Warehouse A"/>
    <x v="387"/>
    <d v="2025-01-28T00:00:00"/>
    <s v="Pending Coastal Logistics Partnersonfirmation"/>
  </r>
  <r>
    <x v="52"/>
    <x v="4"/>
    <n v="120"/>
    <n v="29"/>
    <x v="0"/>
    <x v="0"/>
    <n v="362.76"/>
    <s v="Warehouse B"/>
    <x v="464"/>
    <d v="2025-01-05T00:00:00"/>
    <s v="Pending Coastal Logistics Partnersonfirmation"/>
  </r>
  <r>
    <x v="82"/>
    <x v="3"/>
    <n v="9"/>
    <n v="77"/>
    <x v="1"/>
    <x v="0"/>
    <n v="330.08"/>
    <s v="Warehouse A"/>
    <x v="582"/>
    <d v="2024-12-27T00:00:00"/>
    <s v="Discontinued"/>
  </r>
  <r>
    <x v="68"/>
    <x v="2"/>
    <n v="157"/>
    <n v="58"/>
    <x v="0"/>
    <x v="0"/>
    <n v="355.84"/>
    <s v="Warehouse C"/>
    <x v="583"/>
    <d v="2024-02-09T00:00:00"/>
    <s v="Discontinued"/>
  </r>
  <r>
    <x v="113"/>
    <x v="3"/>
    <n v="152"/>
    <n v="24"/>
    <x v="0"/>
    <x v="0"/>
    <n v="9.14"/>
    <s v="Warehouse A"/>
    <x v="406"/>
    <d v="2025-02-23T00:00:00"/>
    <s v="Discontinued"/>
  </r>
  <r>
    <x v="119"/>
    <x v="4"/>
    <n v="102"/>
    <n v="84"/>
    <x v="0"/>
    <x v="1"/>
    <n v="112.75"/>
    <s v="Warehouse C"/>
    <x v="514"/>
    <d v="2024-10-14T00:00:00"/>
    <m/>
  </r>
  <r>
    <x v="132"/>
    <x v="2"/>
    <n v="83"/>
    <n v="32"/>
    <x v="0"/>
    <x v="1"/>
    <n v="332.53"/>
    <s v="Warehouse C"/>
    <x v="584"/>
    <d v="2024-09-28T00:00:00"/>
    <s v="High demand"/>
  </r>
  <r>
    <x v="59"/>
    <x v="3"/>
    <n v="132"/>
    <n v="72"/>
    <x v="0"/>
    <x v="2"/>
    <n v="244.57"/>
    <s v="Warehouse A"/>
    <x v="584"/>
    <d v="2024-08-24T00:00:00"/>
    <s v="High demand"/>
  </r>
  <r>
    <x v="64"/>
    <x v="2"/>
    <n v="64"/>
    <n v="64"/>
    <x v="0"/>
    <x v="1"/>
    <n v="7.63"/>
    <s v="Warehouse C"/>
    <x v="351"/>
    <d v="2024-10-27T00:00:00"/>
    <s v="Pending Coastal Logistics Partnersonfirmation"/>
  </r>
  <r>
    <x v="101"/>
    <x v="1"/>
    <n v="176"/>
    <n v="51"/>
    <x v="0"/>
    <x v="1"/>
    <n v="403.22"/>
    <s v="Warehouse A"/>
    <x v="533"/>
    <d v="2024-11-09T00:00:00"/>
    <s v="High demand"/>
  </r>
  <r>
    <x v="99"/>
    <x v="1"/>
    <n v="2"/>
    <n v="55"/>
    <x v="1"/>
    <x v="0"/>
    <n v="387.54"/>
    <s v="Warehouse A"/>
    <x v="454"/>
    <d v="2025-01-26T00:00:00"/>
    <m/>
  </r>
  <r>
    <x v="125"/>
    <x v="3"/>
    <n v="172"/>
    <n v="79"/>
    <x v="0"/>
    <x v="0"/>
    <n v="276.47000000000003"/>
    <s v="Warehouse C"/>
    <x v="531"/>
    <d v="2024-03-22T00:00:00"/>
    <s v="Discontinued"/>
  </r>
  <r>
    <x v="81"/>
    <x v="2"/>
    <n v="141"/>
    <n v="30"/>
    <x v="0"/>
    <x v="1"/>
    <n v="37.9"/>
    <s v="Warehouse C"/>
    <x v="519"/>
    <d v="2024-12-14T00:00:00"/>
    <s v="Pending Coastal Logistics Partnersonfirmation"/>
  </r>
  <r>
    <x v="111"/>
    <x v="4"/>
    <n v="119"/>
    <n v="82"/>
    <x v="0"/>
    <x v="2"/>
    <n v="384.42"/>
    <s v="Warehouse B"/>
    <x v="358"/>
    <d v="2024-04-18T00:00:00"/>
    <s v="Pending Coastal Logistics Partnersonfirmation"/>
  </r>
  <r>
    <x v="69"/>
    <x v="3"/>
    <n v="157"/>
    <n v="40"/>
    <x v="0"/>
    <x v="0"/>
    <n v="293.94"/>
    <s v="Warehouse C"/>
    <x v="373"/>
    <d v="2024-11-30T00:00:00"/>
    <s v="High demand"/>
  </r>
  <r>
    <x v="54"/>
    <x v="1"/>
    <n v="67"/>
    <n v="71"/>
    <x v="1"/>
    <x v="1"/>
    <n v="392.07"/>
    <s v="Warehouse B"/>
    <x v="585"/>
    <d v="2024-12-05T00:00:00"/>
    <s v="Pending Coastal Logistics Partnersonfirmation"/>
  </r>
  <r>
    <x v="86"/>
    <x v="1"/>
    <n v="145"/>
    <n v="74"/>
    <x v="0"/>
    <x v="1"/>
    <n v="377.11"/>
    <s v="Warehouse C"/>
    <x v="504"/>
    <d v="2024-11-22T00:00:00"/>
    <s v="Discontinued"/>
  </r>
  <r>
    <x v="92"/>
    <x v="3"/>
    <n v="189"/>
    <n v="45"/>
    <x v="0"/>
    <x v="2"/>
    <n v="402.49"/>
    <s v="Warehouse A"/>
    <x v="440"/>
    <d v="2025-03-01T00:00:00"/>
    <s v="Pending Coastal Logistics Partnersonfirmation"/>
  </r>
  <r>
    <x v="91"/>
    <x v="2"/>
    <n v="36"/>
    <n v="87"/>
    <x v="1"/>
    <x v="2"/>
    <n v="261.41000000000003"/>
    <s v="Warehouse C"/>
    <x v="557"/>
    <d v="2024-11-27T00:00:00"/>
    <s v="Discontinued"/>
  </r>
  <r>
    <x v="61"/>
    <x v="1"/>
    <n v="152"/>
    <n v="53"/>
    <x v="0"/>
    <x v="0"/>
    <n v="74.459999999999994"/>
    <s v="Warehouse A"/>
    <x v="388"/>
    <d v="2024-06-13T00:00:00"/>
    <m/>
  </r>
  <r>
    <x v="66"/>
    <x v="2"/>
    <n v="175"/>
    <n v="71"/>
    <x v="0"/>
    <x v="2"/>
    <n v="337.22"/>
    <s v="Warehouse A"/>
    <x v="586"/>
    <d v="2024-08-08T00:00:00"/>
    <m/>
  </r>
  <r>
    <x v="132"/>
    <x v="1"/>
    <n v="192"/>
    <n v="71"/>
    <x v="0"/>
    <x v="1"/>
    <n v="312.13"/>
    <s v="Warehouse A"/>
    <x v="431"/>
    <d v="2024-08-09T00:00:00"/>
    <s v="Discontinued"/>
  </r>
  <r>
    <x v="124"/>
    <x v="1"/>
    <n v="180"/>
    <n v="48"/>
    <x v="0"/>
    <x v="1"/>
    <n v="372.42"/>
    <s v="Warehouse B"/>
    <x v="408"/>
    <d v="2025-03-03T00:00:00"/>
    <s v="High demand"/>
  </r>
  <r>
    <x v="83"/>
    <x v="0"/>
    <n v="72"/>
    <n v="57"/>
    <x v="0"/>
    <x v="2"/>
    <n v="89.09"/>
    <s v="Warehouse C"/>
    <x v="347"/>
    <d v="2024-10-30T00:00:00"/>
    <s v="Pending Coastal Logistics Partnersonfirmation"/>
  </r>
  <r>
    <x v="83"/>
    <x v="1"/>
    <n v="142"/>
    <n v="61"/>
    <x v="0"/>
    <x v="2"/>
    <n v="101.51"/>
    <s v="Warehouse A"/>
    <x v="405"/>
    <d v="2025-02-11T00:00:00"/>
    <s v="High demand"/>
  </r>
  <r>
    <x v="110"/>
    <x v="4"/>
    <n v="48"/>
    <n v="40"/>
    <x v="0"/>
    <x v="2"/>
    <n v="445.75"/>
    <s v="Warehouse A"/>
    <x v="533"/>
    <d v="2025-01-01T00:00:00"/>
    <s v="Pending Coastal Logistics Partnersonfirmation"/>
  </r>
  <r>
    <x v="61"/>
    <x v="3"/>
    <n v="120"/>
    <n v="61"/>
    <x v="0"/>
    <x v="2"/>
    <n v="376.24"/>
    <s v="Warehouse B"/>
    <x v="423"/>
    <d v="2024-12-17T00:00:00"/>
    <m/>
  </r>
  <r>
    <x v="95"/>
    <x v="3"/>
    <n v="87"/>
    <n v="32"/>
    <x v="0"/>
    <x v="0"/>
    <n v="454.57"/>
    <s v="Warehouse C"/>
    <x v="587"/>
    <d v="2024-07-18T00:00:00"/>
    <m/>
  </r>
  <r>
    <x v="100"/>
    <x v="2"/>
    <n v="195"/>
    <n v="83"/>
    <x v="0"/>
    <x v="2"/>
    <n v="380.56"/>
    <s v="Warehouse C"/>
    <x v="549"/>
    <d v="2024-08-20T00:00:00"/>
    <m/>
  </r>
  <r>
    <x v="93"/>
    <x v="1"/>
    <n v="139"/>
    <n v="36"/>
    <x v="0"/>
    <x v="0"/>
    <n v="300.58999999999997"/>
    <s v="Warehouse B"/>
    <x v="521"/>
    <d v="2024-08-11T00:00:00"/>
    <s v="Pending Coastal Logistics Partnersonfirmation"/>
  </r>
  <r>
    <x v="128"/>
    <x v="4"/>
    <n v="186"/>
    <n v="28"/>
    <x v="0"/>
    <x v="1"/>
    <n v="328.8"/>
    <s v="Warehouse B"/>
    <x v="412"/>
    <d v="2024-09-18T00:00:00"/>
    <m/>
  </r>
  <r>
    <x v="77"/>
    <x v="2"/>
    <n v="36"/>
    <n v="60"/>
    <x v="1"/>
    <x v="2"/>
    <n v="445.12"/>
    <s v="Warehouse C"/>
    <x v="362"/>
    <d v="2024-08-29T00:00:00"/>
    <m/>
  </r>
  <r>
    <x v="122"/>
    <x v="0"/>
    <n v="60"/>
    <n v="20"/>
    <x v="0"/>
    <x v="0"/>
    <n v="291.51"/>
    <s v="Warehouse B"/>
    <x v="514"/>
    <d v="2024-12-12T00:00:00"/>
    <m/>
  </r>
  <r>
    <x v="113"/>
    <x v="2"/>
    <n v="170"/>
    <n v="21"/>
    <x v="0"/>
    <x v="2"/>
    <n v="318.02999999999997"/>
    <s v="Warehouse C"/>
    <x v="559"/>
    <d v="2024-11-22T00:00:00"/>
    <m/>
  </r>
  <r>
    <x v="91"/>
    <x v="2"/>
    <n v="123"/>
    <n v="79"/>
    <x v="0"/>
    <x v="1"/>
    <n v="82.46"/>
    <s v="Warehouse C"/>
    <x v="418"/>
    <d v="2024-12-02T00:00:00"/>
    <s v="High demand"/>
  </r>
  <r>
    <x v="102"/>
    <x v="1"/>
    <n v="197"/>
    <n v="67"/>
    <x v="0"/>
    <x v="1"/>
    <n v="239.59"/>
    <s v="Warehouse A"/>
    <x v="402"/>
    <d v="2024-09-08T00:00:00"/>
    <m/>
  </r>
  <r>
    <x v="31"/>
    <x v="0"/>
    <n v="38"/>
    <n v="48"/>
    <x v="1"/>
    <x v="1"/>
    <n v="359.62"/>
    <s v="Warehouse A"/>
    <x v="588"/>
    <d v="2024-09-30T00:00:00"/>
    <m/>
  </r>
  <r>
    <x v="125"/>
    <x v="2"/>
    <n v="183"/>
    <n v="29"/>
    <x v="0"/>
    <x v="2"/>
    <n v="139.12"/>
    <s v="Warehouse C"/>
    <x v="503"/>
    <d v="2024-04-02T00:00:00"/>
    <s v="High demand"/>
  </r>
  <r>
    <x v="82"/>
    <x v="4"/>
    <n v="62"/>
    <n v="77"/>
    <x v="1"/>
    <x v="2"/>
    <n v="105.12"/>
    <s v="Warehouse C"/>
    <x v="589"/>
    <d v="2024-07-02T00:00:00"/>
    <s v="High demand"/>
  </r>
  <r>
    <x v="136"/>
    <x v="4"/>
    <n v="45"/>
    <n v="79"/>
    <x v="1"/>
    <x v="0"/>
    <n v="160.34"/>
    <s v="Warehouse C"/>
    <x v="485"/>
    <d v="2025-01-16T00:00:00"/>
    <s v="Pending Coastal Logistics Partnersonfirmation"/>
  </r>
  <r>
    <x v="114"/>
    <x v="3"/>
    <n v="87"/>
    <n v="40"/>
    <x v="0"/>
    <x v="1"/>
    <n v="124.54"/>
    <s v="Warehouse C"/>
    <x v="580"/>
    <d v="2024-08-05T00:00:00"/>
    <s v="Discontinued"/>
  </r>
  <r>
    <x v="117"/>
    <x v="0"/>
    <n v="10"/>
    <n v="47"/>
    <x v="1"/>
    <x v="2"/>
    <n v="111.38"/>
    <s v="Warehouse C"/>
    <x v="445"/>
    <d v="2025-01-04T00:00:00"/>
    <m/>
  </r>
  <r>
    <x v="112"/>
    <x v="0"/>
    <n v="61"/>
    <n v="94"/>
    <x v="1"/>
    <x v="1"/>
    <n v="215.3"/>
    <s v="Warehouse C"/>
    <x v="519"/>
    <d v="2024-12-22T00:00:00"/>
    <m/>
  </r>
  <r>
    <x v="86"/>
    <x v="3"/>
    <n v="76"/>
    <n v="53"/>
    <x v="0"/>
    <x v="1"/>
    <n v="454.38"/>
    <s v="Warehouse B"/>
    <x v="385"/>
    <d v="2025-01-14T00:00:00"/>
    <m/>
  </r>
  <r>
    <x v="89"/>
    <x v="2"/>
    <n v="152"/>
    <n v="27"/>
    <x v="0"/>
    <x v="0"/>
    <n v="255.99"/>
    <s v="Warehouse C"/>
    <x v="546"/>
    <d v="2024-12-09T00:00:00"/>
    <s v="Pending Coastal Logistics Partnersonfirmation"/>
  </r>
  <r>
    <x v="94"/>
    <x v="0"/>
    <n v="198"/>
    <n v="78"/>
    <x v="0"/>
    <x v="0"/>
    <n v="98.02"/>
    <s v="Warehouse B"/>
    <x v="404"/>
    <d v="2024-08-22T00:00:00"/>
    <m/>
  </r>
  <r>
    <x v="95"/>
    <x v="4"/>
    <n v="51"/>
    <n v="91"/>
    <x v="1"/>
    <x v="0"/>
    <n v="43.1"/>
    <s v="Warehouse B"/>
    <x v="419"/>
    <d v="2024-05-04T00:00:00"/>
    <s v="Discontinued"/>
  </r>
  <r>
    <x v="16"/>
    <x v="4"/>
    <n v="3"/>
    <n v="68"/>
    <x v="1"/>
    <x v="0"/>
    <n v="349.6"/>
    <s v="Warehouse C"/>
    <x v="362"/>
    <d v="2024-07-25T00:00:00"/>
    <s v="High demand"/>
  </r>
  <r>
    <x v="54"/>
    <x v="1"/>
    <n v="58"/>
    <n v="98"/>
    <x v="1"/>
    <x v="1"/>
    <n v="194.49"/>
    <s v="Warehouse C"/>
    <x v="349"/>
    <d v="2024-04-06T00:00:00"/>
    <s v="Pending Coastal Logistics Partnersonfirmation"/>
  </r>
  <r>
    <x v="105"/>
    <x v="0"/>
    <n v="71"/>
    <n v="36"/>
    <x v="0"/>
    <x v="0"/>
    <n v="411.81"/>
    <s v="Warehouse B"/>
    <x v="451"/>
    <d v="2024-09-20T00:00:00"/>
    <s v="High demand"/>
  </r>
  <r>
    <x v="126"/>
    <x v="2"/>
    <n v="147"/>
    <n v="79"/>
    <x v="0"/>
    <x v="0"/>
    <n v="331.46"/>
    <s v="Warehouse B"/>
    <x v="342"/>
    <d v="2024-09-29T00:00:00"/>
    <m/>
  </r>
  <r>
    <x v="97"/>
    <x v="3"/>
    <n v="92"/>
    <n v="64"/>
    <x v="0"/>
    <x v="0"/>
    <n v="399.14"/>
    <s v="Warehouse C"/>
    <x v="590"/>
    <d v="2024-10-20T00:00:00"/>
    <m/>
  </r>
  <r>
    <x v="109"/>
    <x v="3"/>
    <n v="62"/>
    <n v="88"/>
    <x v="1"/>
    <x v="0"/>
    <n v="139.61000000000001"/>
    <s v="Warehouse C"/>
    <x v="467"/>
    <d v="2024-04-25T00:00:00"/>
    <m/>
  </r>
  <r>
    <x v="73"/>
    <x v="2"/>
    <n v="53"/>
    <n v="51"/>
    <x v="0"/>
    <x v="1"/>
    <n v="347.72"/>
    <s v="Warehouse B"/>
    <x v="554"/>
    <d v="2024-11-09T00:00:00"/>
    <s v="Discontinued"/>
  </r>
  <r>
    <x v="109"/>
    <x v="1"/>
    <n v="116"/>
    <n v="63"/>
    <x v="0"/>
    <x v="0"/>
    <n v="135.71"/>
    <s v="Warehouse B"/>
    <x v="341"/>
    <d v="2024-08-06T00:00:00"/>
    <s v="Discontinued"/>
  </r>
  <r>
    <x v="64"/>
    <x v="3"/>
    <n v="109"/>
    <n v="84"/>
    <x v="0"/>
    <x v="1"/>
    <n v="469.84"/>
    <s v="Warehouse B"/>
    <x v="364"/>
    <d v="2025-02-01T00:00:00"/>
    <s v="Pending Coastal Logistics Partnersonfirmation"/>
  </r>
  <r>
    <x v="120"/>
    <x v="0"/>
    <n v="73"/>
    <n v="27"/>
    <x v="0"/>
    <x v="2"/>
    <n v="320.01"/>
    <s v="Warehouse A"/>
    <x v="466"/>
    <d v="2024-05-02T00:00:00"/>
    <s v="High demand"/>
  </r>
  <r>
    <x v="31"/>
    <x v="1"/>
    <n v="106"/>
    <n v="96"/>
    <x v="0"/>
    <x v="1"/>
    <n v="165.63"/>
    <s v="Warehouse B"/>
    <x v="357"/>
    <d v="2024-12-29T00:00:00"/>
    <m/>
  </r>
  <r>
    <x v="64"/>
    <x v="0"/>
    <n v="56"/>
    <n v="91"/>
    <x v="1"/>
    <x v="1"/>
    <n v="138.41"/>
    <s v="Warehouse A"/>
    <x v="409"/>
    <d v="2024-07-12T00:00:00"/>
    <m/>
  </r>
  <r>
    <x v="137"/>
    <x v="4"/>
    <n v="168"/>
    <n v="62"/>
    <x v="0"/>
    <x v="0"/>
    <n v="99.51"/>
    <s v="Warehouse C"/>
    <x v="511"/>
    <d v="2024-06-01T00:00:00"/>
    <m/>
  </r>
  <r>
    <x v="92"/>
    <x v="1"/>
    <n v="2"/>
    <n v="20"/>
    <x v="1"/>
    <x v="2"/>
    <n v="348.85"/>
    <s v="Warehouse C"/>
    <x v="591"/>
    <d v="2024-08-13T00:00:00"/>
    <m/>
  </r>
  <r>
    <x v="44"/>
    <x v="3"/>
    <n v="119"/>
    <n v="70"/>
    <x v="0"/>
    <x v="2"/>
    <n v="113.26"/>
    <s v="Warehouse B"/>
    <x v="559"/>
    <d v="2024-12-14T00:00:00"/>
    <s v="Discontinued"/>
  </r>
  <r>
    <x v="136"/>
    <x v="1"/>
    <n v="5"/>
    <n v="43"/>
    <x v="1"/>
    <x v="2"/>
    <n v="299.68"/>
    <s v="Warehouse C"/>
    <x v="592"/>
    <d v="2025-03-02T00:00:00"/>
    <s v="High demand"/>
  </r>
  <r>
    <x v="123"/>
    <x v="1"/>
    <n v="4"/>
    <n v="43"/>
    <x v="1"/>
    <x v="2"/>
    <n v="135.99"/>
    <s v="Warehouse C"/>
    <x v="593"/>
    <d v="2024-10-10T00:00:00"/>
    <s v="High demand"/>
  </r>
  <r>
    <x v="6"/>
    <x v="1"/>
    <n v="4"/>
    <n v="36"/>
    <x v="1"/>
    <x v="1"/>
    <n v="332.67"/>
    <s v="Warehouse C"/>
    <x v="424"/>
    <d v="2024-09-02T00:00:00"/>
    <s v="Pending Coastal Logistics Partnersonfirmation"/>
  </r>
  <r>
    <x v="100"/>
    <x v="1"/>
    <n v="53"/>
    <n v="24"/>
    <x v="0"/>
    <x v="2"/>
    <n v="408.4"/>
    <s v="Warehouse C"/>
    <x v="594"/>
    <d v="2024-09-26T00:00:00"/>
    <s v="Discontinued"/>
  </r>
  <r>
    <x v="107"/>
    <x v="0"/>
    <n v="46"/>
    <n v="39"/>
    <x v="0"/>
    <x v="1"/>
    <n v="390.12"/>
    <s v="Warehouse A"/>
    <x v="420"/>
    <d v="2024-09-12T00:00:00"/>
    <m/>
  </r>
  <r>
    <x v="63"/>
    <x v="4"/>
    <n v="176"/>
    <n v="40"/>
    <x v="0"/>
    <x v="1"/>
    <n v="381.62"/>
    <s v="Warehouse A"/>
    <x v="445"/>
    <d v="2025-01-09T00:00:00"/>
    <s v="High demand"/>
  </r>
  <r>
    <x v="113"/>
    <x v="2"/>
    <n v="8"/>
    <n v="77"/>
    <x v="1"/>
    <x v="1"/>
    <n v="97.92"/>
    <s v="Warehouse B"/>
    <x v="595"/>
    <d v="2024-03-03T00:00:00"/>
    <s v="High demand"/>
  </r>
  <r>
    <x v="108"/>
    <x v="1"/>
    <n v="98"/>
    <n v="50"/>
    <x v="0"/>
    <x v="2"/>
    <n v="48.75"/>
    <s v="Warehouse B"/>
    <x v="596"/>
    <d v="2024-11-13T00:00:00"/>
    <s v="Discontinued"/>
  </r>
  <r>
    <x v="87"/>
    <x v="3"/>
    <n v="19"/>
    <n v="30"/>
    <x v="1"/>
    <x v="0"/>
    <n v="350.98"/>
    <s v="Warehouse B"/>
    <x v="514"/>
    <d v="2024-11-24T00:00:00"/>
    <s v="Pending Coastal Logistics Partnersonfirmation"/>
  </r>
  <r>
    <x v="99"/>
    <x v="1"/>
    <n v="121"/>
    <n v="71"/>
    <x v="0"/>
    <x v="0"/>
    <n v="187.33"/>
    <s v="Warehouse C"/>
    <x v="597"/>
    <d v="2024-10-27T00:00:00"/>
    <s v="Pending Coastal Logistics Partnersonfirmation"/>
  </r>
  <r>
    <x v="53"/>
    <x v="3"/>
    <n v="60"/>
    <n v="34"/>
    <x v="0"/>
    <x v="2"/>
    <n v="219.01"/>
    <s v="Warehouse C"/>
    <x v="382"/>
    <d v="2024-07-07T00:00:00"/>
    <m/>
  </r>
  <r>
    <x v="63"/>
    <x v="0"/>
    <n v="122"/>
    <n v="26"/>
    <x v="0"/>
    <x v="0"/>
    <n v="20.420000000000002"/>
    <s v="Warehouse A"/>
    <x v="526"/>
    <d v="2024-08-11T00:00:00"/>
    <s v="Pending Coastal Logistics Partnersonfirmation"/>
  </r>
  <r>
    <x v="118"/>
    <x v="3"/>
    <n v="162"/>
    <n v="47"/>
    <x v="0"/>
    <x v="0"/>
    <n v="133.49"/>
    <s v="Warehouse A"/>
    <x v="598"/>
    <d v="2024-04-03T00:00:00"/>
    <s v="High demand"/>
  </r>
  <r>
    <x v="114"/>
    <x v="2"/>
    <n v="177"/>
    <n v="70"/>
    <x v="0"/>
    <x v="1"/>
    <n v="21.67"/>
    <s v="Warehouse B"/>
    <x v="342"/>
    <d v="2024-09-07T00:00:00"/>
    <s v="Pending Coastal Logistics Partnersonfirmation"/>
  </r>
  <r>
    <x v="131"/>
    <x v="4"/>
    <n v="81"/>
    <n v="77"/>
    <x v="0"/>
    <x v="1"/>
    <n v="440.2"/>
    <s v="Warehouse A"/>
    <x v="473"/>
    <d v="2024-04-11T00:00:00"/>
    <m/>
  </r>
  <r>
    <x v="127"/>
    <x v="3"/>
    <n v="61"/>
    <n v="24"/>
    <x v="0"/>
    <x v="2"/>
    <n v="125.48"/>
    <s v="Warehouse A"/>
    <x v="380"/>
    <d v="2024-04-13T00:00:00"/>
    <s v="High demand"/>
  </r>
  <r>
    <x v="73"/>
    <x v="3"/>
    <n v="144"/>
    <n v="24"/>
    <x v="0"/>
    <x v="2"/>
    <n v="280.88"/>
    <s v="Warehouse A"/>
    <x v="599"/>
    <d v="2024-10-21T00:00:00"/>
    <s v="Pending Coastal Logistics Partnersonfirmation"/>
  </r>
  <r>
    <x v="16"/>
    <x v="4"/>
    <n v="2"/>
    <n v="27"/>
    <x v="1"/>
    <x v="0"/>
    <n v="24.29"/>
    <s v="Warehouse A"/>
    <x v="384"/>
    <d v="2024-03-21T00:00:00"/>
    <s v="Pending Coastal Logistics Partnersonfirmation"/>
  </r>
  <r>
    <x v="112"/>
    <x v="2"/>
    <n v="159"/>
    <n v="83"/>
    <x v="0"/>
    <x v="1"/>
    <n v="335.09"/>
    <s v="Warehouse A"/>
    <x v="413"/>
    <d v="2024-04-06T00:00:00"/>
    <s v="Discontinued"/>
  </r>
  <r>
    <x v="69"/>
    <x v="1"/>
    <n v="12"/>
    <n v="29"/>
    <x v="1"/>
    <x v="2"/>
    <n v="164.9"/>
    <s v="Warehouse B"/>
    <x v="401"/>
    <d v="2024-06-22T00:00:00"/>
    <m/>
  </r>
  <r>
    <x v="77"/>
    <x v="3"/>
    <n v="119"/>
    <n v="57"/>
    <x v="0"/>
    <x v="2"/>
    <n v="449.47"/>
    <s v="Warehouse B"/>
    <x v="594"/>
    <d v="2024-09-25T00:00:00"/>
    <s v="Pending Coastal Logistics Partnersonfirmation"/>
  </r>
  <r>
    <x v="86"/>
    <x v="4"/>
    <n v="124"/>
    <n v="27"/>
    <x v="0"/>
    <x v="2"/>
    <n v="444.62"/>
    <s v="Warehouse A"/>
    <x v="493"/>
    <d v="2024-05-11T00:00:00"/>
    <s v="Discontinued"/>
  </r>
  <r>
    <x v="114"/>
    <x v="0"/>
    <n v="88"/>
    <n v="44"/>
    <x v="0"/>
    <x v="2"/>
    <n v="166.02"/>
    <s v="Warehouse B"/>
    <x v="486"/>
    <d v="2024-12-21T00:00:00"/>
    <s v="High demand"/>
  </r>
  <r>
    <x v="137"/>
    <x v="4"/>
    <n v="72"/>
    <n v="92"/>
    <x v="1"/>
    <x v="2"/>
    <n v="450.98"/>
    <s v="Warehouse C"/>
    <x v="558"/>
    <d v="2024-09-21T00:00:00"/>
    <s v="Discontinued"/>
  </r>
  <r>
    <x v="100"/>
    <x v="0"/>
    <n v="67"/>
    <n v="85"/>
    <x v="1"/>
    <x v="2"/>
    <n v="498.1"/>
    <s v="Warehouse A"/>
    <x v="591"/>
    <d v="2024-08-30T00:00:00"/>
    <s v="Discontinued"/>
  </r>
  <r>
    <x v="59"/>
    <x v="2"/>
    <n v="141"/>
    <n v="98"/>
    <x v="0"/>
    <x v="0"/>
    <n v="413.58"/>
    <s v="Warehouse C"/>
    <x v="350"/>
    <d v="2024-04-06T00:00:00"/>
    <s v="Pending Coastal Logistics Partnersonfirmation"/>
  </r>
  <r>
    <x v="53"/>
    <x v="1"/>
    <n v="100"/>
    <n v="69"/>
    <x v="0"/>
    <x v="1"/>
    <n v="423.21"/>
    <s v="Warehouse B"/>
    <x v="600"/>
    <d v="2024-08-20T00:00:00"/>
    <s v="Pending Coastal Logistics Partnersonfirmation"/>
  </r>
  <r>
    <x v="114"/>
    <x v="4"/>
    <n v="97"/>
    <n v="86"/>
    <x v="0"/>
    <x v="1"/>
    <n v="128.26"/>
    <s v="Warehouse B"/>
    <x v="361"/>
    <d v="2024-08-06T00:00:00"/>
    <s v="Pending Coastal Logistics Partnersonfirmation"/>
  </r>
  <r>
    <x v="64"/>
    <x v="3"/>
    <n v="10"/>
    <n v="68"/>
    <x v="1"/>
    <x v="2"/>
    <n v="290.47000000000003"/>
    <s v="Warehouse C"/>
    <x v="415"/>
    <d v="2024-09-21T00:00:00"/>
    <s v="Discontinued"/>
  </r>
  <r>
    <x v="84"/>
    <x v="2"/>
    <n v="104"/>
    <n v="55"/>
    <x v="0"/>
    <x v="1"/>
    <n v="38.29"/>
    <s v="Warehouse B"/>
    <x v="559"/>
    <d v="2024-11-21T00:00:00"/>
    <s v="High demand"/>
  </r>
  <r>
    <x v="127"/>
    <x v="4"/>
    <n v="183"/>
    <n v="87"/>
    <x v="0"/>
    <x v="1"/>
    <n v="51.98"/>
    <s v="Warehouse A"/>
    <x v="601"/>
    <d v="2024-05-09T00:00:00"/>
    <m/>
  </r>
  <r>
    <x v="63"/>
    <x v="3"/>
    <n v="66"/>
    <n v="97"/>
    <x v="1"/>
    <x v="1"/>
    <n v="499.45"/>
    <s v="Warehouse C"/>
    <x v="400"/>
    <d v="2025-02-06T00:00:00"/>
    <s v="Discontinued"/>
  </r>
  <r>
    <x v="73"/>
    <x v="4"/>
    <n v="122"/>
    <n v="60"/>
    <x v="0"/>
    <x v="2"/>
    <n v="166.69"/>
    <s v="Warehouse A"/>
    <x v="547"/>
    <d v="2024-08-20T00:00:00"/>
    <s v="Pending Coastal Logistics Partnersonfirmation"/>
  </r>
  <r>
    <x v="114"/>
    <x v="0"/>
    <n v="28"/>
    <n v="81"/>
    <x v="1"/>
    <x v="2"/>
    <n v="375.35"/>
    <s v="Warehouse C"/>
    <x v="593"/>
    <d v="2024-10-06T00:00:00"/>
    <m/>
  </r>
  <r>
    <x v="111"/>
    <x v="4"/>
    <n v="136"/>
    <n v="29"/>
    <x v="0"/>
    <x v="1"/>
    <n v="404.3"/>
    <s v="Warehouse B"/>
    <x v="575"/>
    <d v="2024-12-03T00:00:00"/>
    <s v="High demand"/>
  </r>
  <r>
    <x v="120"/>
    <x v="4"/>
    <n v="194"/>
    <n v="40"/>
    <x v="0"/>
    <x v="1"/>
    <n v="429.72"/>
    <s v="Warehouse C"/>
    <x v="373"/>
    <d v="2024-12-09T00:00:00"/>
    <m/>
  </r>
  <r>
    <x v="137"/>
    <x v="4"/>
    <n v="152"/>
    <n v="55"/>
    <x v="0"/>
    <x v="2"/>
    <n v="498.83"/>
    <s v="Warehouse C"/>
    <x v="602"/>
    <d v="2025-02-21T00:00:00"/>
    <s v="Pending Coastal Logistics Partnersonfirmation"/>
  </r>
  <r>
    <x v="84"/>
    <x v="2"/>
    <n v="75"/>
    <n v="31"/>
    <x v="0"/>
    <x v="0"/>
    <n v="124.54"/>
    <s v="Warehouse A"/>
    <x v="603"/>
    <d v="2025-01-16T00:00:00"/>
    <s v="Discontinued"/>
  </r>
  <r>
    <x v="125"/>
    <x v="4"/>
    <n v="169"/>
    <n v="21"/>
    <x v="0"/>
    <x v="1"/>
    <n v="24.97"/>
    <s v="Warehouse B"/>
    <x v="481"/>
    <d v="2025-03-05T00:00:00"/>
    <s v="Discontinued"/>
  </r>
  <r>
    <x v="2"/>
    <x v="3"/>
    <n v="8"/>
    <n v="32"/>
    <x v="1"/>
    <x v="0"/>
    <n v="208.54"/>
    <s v="Warehouse A"/>
    <x v="352"/>
    <d v="2024-09-24T00:00:00"/>
    <s v="Pending Coastal Logistics Partnersonfirmation"/>
  </r>
  <r>
    <x v="63"/>
    <x v="0"/>
    <n v="39"/>
    <n v="72"/>
    <x v="1"/>
    <x v="1"/>
    <n v="69.39"/>
    <s v="Warehouse B"/>
    <x v="356"/>
    <d v="2024-07-01T00:00:00"/>
    <s v="Discontinued"/>
  </r>
  <r>
    <x v="84"/>
    <x v="0"/>
    <n v="24"/>
    <n v="51"/>
    <x v="1"/>
    <x v="0"/>
    <n v="16.100000000000001"/>
    <s v="Warehouse A"/>
    <x v="497"/>
    <d v="2024-11-08T00:00:00"/>
    <s v="Pending Coastal Logistics Partnersonfirmation"/>
  </r>
  <r>
    <x v="81"/>
    <x v="4"/>
    <n v="4"/>
    <n v="35"/>
    <x v="1"/>
    <x v="0"/>
    <n v="183.41"/>
    <s v="Warehouse C"/>
    <x v="461"/>
    <d v="2024-03-06T00:00:00"/>
    <s v="Discontinued"/>
  </r>
  <r>
    <x v="127"/>
    <x v="2"/>
    <n v="138"/>
    <n v="51"/>
    <x v="0"/>
    <x v="0"/>
    <n v="392.95"/>
    <s v="Warehouse A"/>
    <x v="471"/>
    <d v="2025-02-10T00:00:00"/>
    <s v="Discontinued"/>
  </r>
  <r>
    <x v="84"/>
    <x v="2"/>
    <n v="186"/>
    <n v="51"/>
    <x v="0"/>
    <x v="2"/>
    <n v="285.26"/>
    <s v="Warehouse B"/>
    <x v="604"/>
    <d v="2024-11-03T00:00:00"/>
    <s v="Discontinued"/>
  </r>
  <r>
    <x v="128"/>
    <x v="3"/>
    <n v="123"/>
    <n v="30"/>
    <x v="0"/>
    <x v="0"/>
    <n v="159.83000000000001"/>
    <s v="Warehouse B"/>
    <x v="562"/>
    <d v="2024-10-22T00:00:00"/>
    <s v="High demand"/>
  </r>
  <r>
    <x v="54"/>
    <x v="4"/>
    <n v="37"/>
    <n v="29"/>
    <x v="0"/>
    <x v="0"/>
    <n v="328.9"/>
    <s v="Warehouse C"/>
    <x v="508"/>
    <d v="2024-05-22T00:00:00"/>
    <s v="High demand"/>
  </r>
  <r>
    <x v="56"/>
    <x v="0"/>
    <n v="71"/>
    <n v="34"/>
    <x v="0"/>
    <x v="0"/>
    <n v="119.85"/>
    <s v="Warehouse B"/>
    <x v="605"/>
    <d v="2024-07-09T00:00:00"/>
    <s v="Pending Coastal Logistics Partnersonfirmation"/>
  </r>
  <r>
    <x v="86"/>
    <x v="2"/>
    <n v="132"/>
    <n v="36"/>
    <x v="0"/>
    <x v="1"/>
    <n v="12.12"/>
    <s v="Warehouse A"/>
    <x v="464"/>
    <d v="2024-12-25T00:00:00"/>
    <s v="High demand"/>
  </r>
  <r>
    <x v="19"/>
    <x v="4"/>
    <n v="175"/>
    <n v="59"/>
    <x v="0"/>
    <x v="0"/>
    <n v="383.35"/>
    <s v="Warehouse C"/>
    <x v="404"/>
    <d v="2024-10-05T00:00:00"/>
    <s v="Pending Coastal Logistics Partnersonfirmation"/>
  </r>
  <r>
    <x v="66"/>
    <x v="2"/>
    <n v="89"/>
    <n v="37"/>
    <x v="0"/>
    <x v="1"/>
    <n v="313.75"/>
    <s v="Warehouse B"/>
    <x v="466"/>
    <d v="2024-05-04T00:00:00"/>
    <m/>
  </r>
  <r>
    <x v="33"/>
    <x v="2"/>
    <n v="145"/>
    <n v="74"/>
    <x v="0"/>
    <x v="0"/>
    <n v="382.34"/>
    <s v="Warehouse B"/>
    <x v="468"/>
    <d v="2024-05-27T00:00:00"/>
    <m/>
  </r>
  <r>
    <x v="137"/>
    <x v="0"/>
    <n v="197"/>
    <n v="92"/>
    <x v="0"/>
    <x v="0"/>
    <n v="24.27"/>
    <s v="Warehouse A"/>
    <x v="606"/>
    <d v="2025-01-06T00:00:00"/>
    <s v="High demand"/>
  </r>
  <r>
    <x v="124"/>
    <x v="1"/>
    <n v="36"/>
    <n v="44"/>
    <x v="1"/>
    <x v="2"/>
    <n v="419.37"/>
    <s v="Warehouse A"/>
    <x v="607"/>
    <d v="2024-04-08T00:00:00"/>
    <m/>
  </r>
  <r>
    <x v="67"/>
    <x v="3"/>
    <n v="59"/>
    <n v="78"/>
    <x v="1"/>
    <x v="1"/>
    <n v="311.67"/>
    <s v="Warehouse C"/>
    <x v="417"/>
    <d v="2025-02-25T00:00:00"/>
    <m/>
  </r>
  <r>
    <x v="111"/>
    <x v="3"/>
    <n v="175"/>
    <n v="97"/>
    <x v="0"/>
    <x v="0"/>
    <n v="283.88"/>
    <s v="Warehouse B"/>
    <x v="386"/>
    <d v="2024-07-24T00:00:00"/>
    <s v="Discontinued"/>
  </r>
  <r>
    <x v="82"/>
    <x v="0"/>
    <n v="27"/>
    <n v="41"/>
    <x v="1"/>
    <x v="1"/>
    <n v="314.18"/>
    <s v="Warehouse A"/>
    <x v="581"/>
    <d v="2024-10-21T00:00:00"/>
    <s v="Discontinued"/>
  </r>
  <r>
    <x v="121"/>
    <x v="2"/>
    <n v="196"/>
    <n v="49"/>
    <x v="0"/>
    <x v="1"/>
    <n v="432.89"/>
    <s v="Warehouse C"/>
    <x v="581"/>
    <d v="2024-08-26T00:00:00"/>
    <s v="Pending Coastal Logistics Partnersonfirmation"/>
  </r>
  <r>
    <x v="43"/>
    <x v="4"/>
    <n v="80"/>
    <n v="63"/>
    <x v="0"/>
    <x v="2"/>
    <n v="295.52999999999997"/>
    <s v="Warehouse B"/>
    <x v="414"/>
    <d v="2024-08-03T00:00:00"/>
    <m/>
  </r>
  <r>
    <x v="132"/>
    <x v="2"/>
    <n v="113"/>
    <n v="51"/>
    <x v="0"/>
    <x v="2"/>
    <n v="292.57"/>
    <s v="Warehouse B"/>
    <x v="608"/>
    <d v="2024-12-28T00:00:00"/>
    <s v="Pending Coastal Logistics Partnersonfirmation"/>
  </r>
  <r>
    <x v="70"/>
    <x v="0"/>
    <n v="39"/>
    <n v="70"/>
    <x v="1"/>
    <x v="2"/>
    <n v="495.39"/>
    <s v="Warehouse C"/>
    <x v="461"/>
    <d v="2024-03-23T00:00:00"/>
    <s v="Pending Coastal Logistics Partnersonfirmation"/>
  </r>
  <r>
    <x v="126"/>
    <x v="3"/>
    <n v="44"/>
    <n v="65"/>
    <x v="1"/>
    <x v="2"/>
    <n v="379.58"/>
    <s v="Warehouse C"/>
    <x v="561"/>
    <d v="2024-09-05T00:00:00"/>
    <m/>
  </r>
  <r>
    <x v="136"/>
    <x v="2"/>
    <n v="61"/>
    <n v="40"/>
    <x v="0"/>
    <x v="2"/>
    <n v="223.94"/>
    <s v="Warehouse A"/>
    <x v="609"/>
    <d v="2024-11-15T00:00:00"/>
    <s v="High demand"/>
  </r>
  <r>
    <x v="103"/>
    <x v="3"/>
    <n v="92"/>
    <n v="51"/>
    <x v="0"/>
    <x v="2"/>
    <n v="355.16"/>
    <s v="Warehouse B"/>
    <x v="447"/>
    <d v="2024-05-20T00:00:00"/>
    <m/>
  </r>
  <r>
    <x v="16"/>
    <x v="4"/>
    <n v="114"/>
    <n v="58"/>
    <x v="0"/>
    <x v="2"/>
    <n v="197.67"/>
    <s v="Warehouse B"/>
    <x v="610"/>
    <d v="2024-05-23T00:00:00"/>
    <s v="Discontinued"/>
  </r>
  <r>
    <x v="62"/>
    <x v="3"/>
    <n v="185"/>
    <n v="31"/>
    <x v="0"/>
    <x v="2"/>
    <n v="118.29"/>
    <s v="Warehouse B"/>
    <x v="401"/>
    <d v="2024-04-19T00:00:00"/>
    <m/>
  </r>
  <r>
    <x v="98"/>
    <x v="3"/>
    <n v="66"/>
    <n v="66"/>
    <x v="0"/>
    <x v="0"/>
    <n v="300.44"/>
    <s v="Warehouse C"/>
    <x v="611"/>
    <d v="2024-11-06T00:00:00"/>
    <s v="High demand"/>
  </r>
  <r>
    <x v="113"/>
    <x v="1"/>
    <n v="55"/>
    <n v="37"/>
    <x v="0"/>
    <x v="1"/>
    <n v="464.45"/>
    <s v="Warehouse A"/>
    <x v="612"/>
    <d v="2024-09-08T00:00:00"/>
    <s v="Pending Coastal Logistics Partnersonfirmation"/>
  </r>
  <r>
    <x v="65"/>
    <x v="1"/>
    <n v="39"/>
    <n v="40"/>
    <x v="1"/>
    <x v="2"/>
    <n v="464.92"/>
    <s v="Warehouse B"/>
    <x v="427"/>
    <d v="2024-08-09T00:00:00"/>
    <s v="Pending Coastal Logistics Partnersonfirmation"/>
  </r>
  <r>
    <x v="121"/>
    <x v="1"/>
    <n v="97"/>
    <n v="32"/>
    <x v="0"/>
    <x v="2"/>
    <n v="174.24"/>
    <s v="Warehouse C"/>
    <x v="544"/>
    <d v="2024-04-03T00:00:00"/>
    <s v="Discontinued"/>
  </r>
  <r>
    <x v="95"/>
    <x v="3"/>
    <n v="39"/>
    <n v="40"/>
    <x v="1"/>
    <x v="1"/>
    <n v="266.2"/>
    <s v="Warehouse B"/>
    <x v="609"/>
    <d v="2024-10-23T00:00:00"/>
    <s v="Discontinued"/>
  </r>
  <r>
    <x v="121"/>
    <x v="0"/>
    <n v="90"/>
    <n v="27"/>
    <x v="0"/>
    <x v="0"/>
    <n v="109.76"/>
    <s v="Warehouse A"/>
    <x v="509"/>
    <d v="2024-01-19T00:00:00"/>
    <s v="Discontinued"/>
  </r>
  <r>
    <x v="114"/>
    <x v="3"/>
    <n v="32"/>
    <n v="65"/>
    <x v="1"/>
    <x v="1"/>
    <n v="497.84"/>
    <s v="Warehouse B"/>
    <x v="613"/>
    <d v="2025-02-05T00:00:00"/>
    <s v="Pending Coastal Logistics Partnersonfirmation"/>
  </r>
  <r>
    <x v="16"/>
    <x v="0"/>
    <n v="5"/>
    <n v="26"/>
    <x v="1"/>
    <x v="1"/>
    <n v="490.65"/>
    <s v="Warehouse A"/>
    <x v="578"/>
    <d v="2024-12-22T00:00:00"/>
    <s v="Discontinued"/>
  </r>
  <r>
    <x v="120"/>
    <x v="0"/>
    <n v="146"/>
    <n v="42"/>
    <x v="0"/>
    <x v="2"/>
    <n v="326.51"/>
    <s v="Warehouse A"/>
    <x v="581"/>
    <d v="2024-08-17T00:00:00"/>
    <m/>
  </r>
  <r>
    <x v="50"/>
    <x v="1"/>
    <n v="79"/>
    <n v="94"/>
    <x v="1"/>
    <x v="1"/>
    <n v="403.18"/>
    <s v="Warehouse B"/>
    <x v="614"/>
    <d v="2024-02-14T00:00:00"/>
    <s v="Pending Coastal Logistics Partnersonfirmation"/>
  </r>
  <r>
    <x v="61"/>
    <x v="2"/>
    <n v="167"/>
    <n v="41"/>
    <x v="0"/>
    <x v="1"/>
    <n v="358.97"/>
    <s v="Warehouse B"/>
    <x v="435"/>
    <d v="2024-08-03T00:00:00"/>
    <s v="High demand"/>
  </r>
  <r>
    <x v="113"/>
    <x v="4"/>
    <n v="91"/>
    <n v="41"/>
    <x v="0"/>
    <x v="2"/>
    <n v="298.61"/>
    <s v="Warehouse A"/>
    <x v="340"/>
    <d v="2024-04-13T00:00:00"/>
    <s v="Pending Coastal Logistics Partnersonfirmation"/>
  </r>
  <r>
    <x v="63"/>
    <x v="1"/>
    <n v="96"/>
    <n v="48"/>
    <x v="0"/>
    <x v="2"/>
    <n v="31.41"/>
    <s v="Warehouse C"/>
    <x v="615"/>
    <d v="2024-02-21T00:00:00"/>
    <m/>
  </r>
  <r>
    <x v="118"/>
    <x v="1"/>
    <n v="58"/>
    <n v="32"/>
    <x v="0"/>
    <x v="2"/>
    <n v="230.11"/>
    <s v="Warehouse A"/>
    <x v="616"/>
    <d v="2024-09-19T00:00:00"/>
    <m/>
  </r>
  <r>
    <x v="49"/>
    <x v="2"/>
    <n v="58"/>
    <n v="21"/>
    <x v="0"/>
    <x v="2"/>
    <n v="339.02"/>
    <s v="Warehouse B"/>
    <x v="535"/>
    <d v="2024-06-25T00:00:00"/>
    <s v="Discontinued"/>
  </r>
  <r>
    <x v="102"/>
    <x v="4"/>
    <n v="47"/>
    <n v="48"/>
    <x v="1"/>
    <x v="1"/>
    <n v="340.38"/>
    <s v="Warehouse B"/>
    <x v="617"/>
    <d v="2025-01-24T00:00:00"/>
    <s v="Pending Coastal Logistics Partnersonfirmation"/>
  </r>
  <r>
    <x v="128"/>
    <x v="3"/>
    <n v="168"/>
    <n v="98"/>
    <x v="0"/>
    <x v="1"/>
    <n v="189.7"/>
    <s v="Warehouse C"/>
    <x v="563"/>
    <d v="2024-04-22T00:00:00"/>
    <s v="Pending Coastal Logistics Partnersonfirmation"/>
  </r>
  <r>
    <x v="120"/>
    <x v="3"/>
    <n v="12"/>
    <n v="71"/>
    <x v="1"/>
    <x v="0"/>
    <n v="471.14"/>
    <s v="Warehouse A"/>
    <x v="615"/>
    <d v="2024-02-23T00:00:00"/>
    <s v="Pending Coastal Logistics Partnersonfirmation"/>
  </r>
  <r>
    <x v="86"/>
    <x v="1"/>
    <n v="106"/>
    <n v="46"/>
    <x v="0"/>
    <x v="0"/>
    <n v="87.84"/>
    <s v="Warehouse A"/>
    <x v="421"/>
    <d v="2024-09-01T00:00:00"/>
    <s v="High demand"/>
  </r>
  <r>
    <x v="115"/>
    <x v="4"/>
    <n v="44"/>
    <n v="69"/>
    <x v="1"/>
    <x v="1"/>
    <n v="252.68"/>
    <s v="Warehouse A"/>
    <x v="483"/>
    <d v="2024-04-15T00:00:00"/>
    <s v="Discontinued"/>
  </r>
  <r>
    <x v="131"/>
    <x v="1"/>
    <n v="88"/>
    <n v="98"/>
    <x v="1"/>
    <x v="0"/>
    <n v="346.99"/>
    <s v="Warehouse B"/>
    <x v="380"/>
    <d v="2024-04-26T00:00:00"/>
    <m/>
  </r>
  <r>
    <x v="133"/>
    <x v="0"/>
    <n v="180"/>
    <n v="42"/>
    <x v="0"/>
    <x v="1"/>
    <n v="350.08"/>
    <s v="Warehouse A"/>
    <x v="571"/>
    <d v="2024-11-04T00:00:00"/>
    <m/>
  </r>
  <r>
    <x v="107"/>
    <x v="1"/>
    <n v="169"/>
    <n v="63"/>
    <x v="0"/>
    <x v="0"/>
    <n v="326.08"/>
    <s v="Warehouse C"/>
    <x v="613"/>
    <d v="2025-01-30T00:00:00"/>
    <s v="Discontinued"/>
  </r>
  <r>
    <x v="104"/>
    <x v="1"/>
    <n v="99"/>
    <n v="96"/>
    <x v="0"/>
    <x v="2"/>
    <n v="141.27000000000001"/>
    <s v="Warehouse B"/>
    <x v="592"/>
    <d v="2025-02-27T00:00:00"/>
    <m/>
  </r>
  <r>
    <x v="129"/>
    <x v="3"/>
    <n v="190"/>
    <n v="41"/>
    <x v="0"/>
    <x v="0"/>
    <n v="82.32"/>
    <s v="Warehouse B"/>
    <x v="618"/>
    <d v="2024-06-13T00:00:00"/>
    <m/>
  </r>
  <r>
    <x v="50"/>
    <x v="3"/>
    <n v="154"/>
    <n v="62"/>
    <x v="0"/>
    <x v="2"/>
    <n v="319.79000000000002"/>
    <s v="Warehouse A"/>
    <x v="616"/>
    <d v="2024-10-10T00:00:00"/>
    <s v="Discontinued"/>
  </r>
  <r>
    <x v="87"/>
    <x v="3"/>
    <n v="165"/>
    <n v="56"/>
    <x v="0"/>
    <x v="2"/>
    <n v="301.64999999999998"/>
    <s v="Warehouse C"/>
    <x v="381"/>
    <d v="2024-10-15T00:00:00"/>
    <m/>
  </r>
  <r>
    <x v="109"/>
    <x v="0"/>
    <n v="187"/>
    <n v="80"/>
    <x v="0"/>
    <x v="2"/>
    <n v="93.78"/>
    <s v="Warehouse B"/>
    <x v="435"/>
    <d v="2024-08-03T00:00:00"/>
    <s v="Pending Coastal Logistics Partnersonfirmation"/>
  </r>
  <r>
    <x v="116"/>
    <x v="3"/>
    <n v="6"/>
    <n v="75"/>
    <x v="1"/>
    <x v="2"/>
    <n v="354.04"/>
    <s v="Warehouse B"/>
    <x v="352"/>
    <d v="2024-10-17T00:00:00"/>
    <s v="High demand"/>
  </r>
  <r>
    <x v="95"/>
    <x v="4"/>
    <n v="132"/>
    <n v="22"/>
    <x v="0"/>
    <x v="0"/>
    <n v="230.31"/>
    <s v="Warehouse A"/>
    <x v="619"/>
    <d v="2024-03-08T00:00:00"/>
    <s v="Discontinued"/>
  </r>
  <r>
    <x v="134"/>
    <x v="2"/>
    <n v="44"/>
    <n v="82"/>
    <x v="1"/>
    <x v="1"/>
    <n v="335.54"/>
    <s v="Warehouse A"/>
    <x v="410"/>
    <d v="2024-10-24T00:00:00"/>
    <s v="High demand"/>
  </r>
  <r>
    <x v="79"/>
    <x v="4"/>
    <n v="57"/>
    <n v="38"/>
    <x v="0"/>
    <x v="2"/>
    <n v="419.5"/>
    <s v="Warehouse C"/>
    <x v="501"/>
    <d v="2024-10-11T00:00:00"/>
    <m/>
  </r>
  <r>
    <x v="66"/>
    <x v="4"/>
    <n v="30"/>
    <n v="42"/>
    <x v="1"/>
    <x v="0"/>
    <n v="89.02"/>
    <s v="Warehouse A"/>
    <x v="496"/>
    <d v="2024-04-03T00:00:00"/>
    <m/>
  </r>
  <r>
    <x v="135"/>
    <x v="3"/>
    <n v="22"/>
    <n v="48"/>
    <x v="1"/>
    <x v="2"/>
    <n v="14.48"/>
    <s v="Warehouse C"/>
    <x v="533"/>
    <d v="2024-12-15T00:00:00"/>
    <s v="Pending Coastal Logistics Partnersonfirmation"/>
  </r>
  <r>
    <x v="68"/>
    <x v="2"/>
    <n v="169"/>
    <n v="49"/>
    <x v="0"/>
    <x v="0"/>
    <n v="390.66"/>
    <s v="Warehouse B"/>
    <x v="620"/>
    <d v="2024-06-13T00:00:00"/>
    <s v="Discontinued"/>
  </r>
  <r>
    <x v="91"/>
    <x v="2"/>
    <n v="137"/>
    <n v="58"/>
    <x v="0"/>
    <x v="0"/>
    <n v="306.8"/>
    <s v="Warehouse C"/>
    <x v="477"/>
    <d v="2024-03-08T00:00:00"/>
    <m/>
  </r>
  <r>
    <x v="75"/>
    <x v="2"/>
    <n v="159"/>
    <n v="44"/>
    <x v="0"/>
    <x v="0"/>
    <n v="351.32"/>
    <s v="Warehouse C"/>
    <x v="621"/>
    <d v="2024-05-26T00:00:00"/>
    <s v="Discontinued"/>
  </r>
  <r>
    <x v="129"/>
    <x v="0"/>
    <n v="106"/>
    <n v="27"/>
    <x v="0"/>
    <x v="1"/>
    <n v="419.89"/>
    <s v="Warehouse C"/>
    <x v="581"/>
    <d v="2024-09-03T00:00:00"/>
    <s v="Discontinued"/>
  </r>
  <r>
    <x v="119"/>
    <x v="3"/>
    <n v="180"/>
    <n v="77"/>
    <x v="0"/>
    <x v="0"/>
    <n v="402.39"/>
    <s v="Warehouse B"/>
    <x v="423"/>
    <d v="2024-11-29T00:00:00"/>
    <s v="Discontinued"/>
  </r>
  <r>
    <x v="138"/>
    <x v="2"/>
    <n v="157"/>
    <n v="35"/>
    <x v="0"/>
    <x v="0"/>
    <n v="480.66"/>
    <s v="Warehouse A"/>
    <x v="477"/>
    <d v="2024-04-02T00:00:00"/>
    <s v="Discontinued"/>
  </r>
  <r>
    <x v="67"/>
    <x v="0"/>
    <n v="38"/>
    <n v="91"/>
    <x v="1"/>
    <x v="1"/>
    <n v="270.29000000000002"/>
    <s v="Warehouse B"/>
    <x v="341"/>
    <d v="2024-08-07T00:00:00"/>
    <s v="Discontinued"/>
  </r>
  <r>
    <x v="100"/>
    <x v="1"/>
    <n v="158"/>
    <n v="20"/>
    <x v="0"/>
    <x v="1"/>
    <n v="246.81"/>
    <s v="Warehouse A"/>
    <x v="520"/>
    <d v="2024-09-04T00:00:00"/>
    <s v="High demand"/>
  </r>
  <r>
    <x v="105"/>
    <x v="1"/>
    <n v="81"/>
    <n v="24"/>
    <x v="0"/>
    <x v="0"/>
    <n v="203.93"/>
    <s v="Warehouse C"/>
    <x v="417"/>
    <d v="2025-02-11T00:00:00"/>
    <s v="Pending Coastal Logistics Partnersonfirmation"/>
  </r>
  <r>
    <x v="6"/>
    <x v="0"/>
    <n v="99"/>
    <n v="22"/>
    <x v="0"/>
    <x v="1"/>
    <n v="81.08"/>
    <s v="Warehouse C"/>
    <x v="622"/>
    <d v="2024-10-02T00:00:00"/>
    <s v="Discontinued"/>
  </r>
  <r>
    <x v="103"/>
    <x v="0"/>
    <n v="1"/>
    <n v="84"/>
    <x v="1"/>
    <x v="2"/>
    <n v="288.44"/>
    <s v="Warehouse C"/>
    <x v="623"/>
    <d v="2024-05-18T00:00:00"/>
    <s v="High demand"/>
  </r>
  <r>
    <x v="20"/>
    <x v="3"/>
    <n v="76"/>
    <n v="23"/>
    <x v="0"/>
    <x v="2"/>
    <n v="142.12"/>
    <s v="Warehouse C"/>
    <x v="547"/>
    <d v="2024-07-17T00:00:00"/>
    <m/>
  </r>
  <r>
    <x v="130"/>
    <x v="3"/>
    <n v="11"/>
    <n v="83"/>
    <x v="1"/>
    <x v="1"/>
    <n v="461.05"/>
    <s v="Warehouse C"/>
    <x v="449"/>
    <d v="2025-01-24T00:00:00"/>
    <s v="Discontinued"/>
  </r>
  <r>
    <x v="86"/>
    <x v="1"/>
    <n v="38"/>
    <n v="29"/>
    <x v="0"/>
    <x v="1"/>
    <n v="293.68"/>
    <s v="Warehouse A"/>
    <x v="537"/>
    <d v="2024-12-26T00:00:00"/>
    <m/>
  </r>
  <r>
    <x v="104"/>
    <x v="2"/>
    <n v="193"/>
    <n v="40"/>
    <x v="0"/>
    <x v="0"/>
    <n v="298.45999999999998"/>
    <s v="Warehouse A"/>
    <x v="457"/>
    <d v="2024-05-08T00:00:00"/>
    <s v="Discontinued"/>
  </r>
  <r>
    <x v="53"/>
    <x v="1"/>
    <n v="12"/>
    <n v="65"/>
    <x v="1"/>
    <x v="1"/>
    <n v="180.69"/>
    <s v="Warehouse C"/>
    <x v="566"/>
    <d v="2025-03-01T00:00:00"/>
    <s v="High demand"/>
  </r>
  <r>
    <x v="85"/>
    <x v="2"/>
    <n v="45"/>
    <n v="46"/>
    <x v="1"/>
    <x v="0"/>
    <n v="30.73"/>
    <s v="Warehouse B"/>
    <x v="562"/>
    <d v="2024-10-12T00:00:00"/>
    <s v="High demand"/>
  </r>
  <r>
    <x v="31"/>
    <x v="2"/>
    <n v="154"/>
    <n v="85"/>
    <x v="0"/>
    <x v="2"/>
    <n v="20.71"/>
    <s v="Warehouse B"/>
    <x v="529"/>
    <d v="2024-06-01T00:00:00"/>
    <s v="High demand"/>
  </r>
  <r>
    <x v="59"/>
    <x v="3"/>
    <n v="112"/>
    <n v="60"/>
    <x v="0"/>
    <x v="1"/>
    <n v="214.55"/>
    <s v="Warehouse C"/>
    <x v="613"/>
    <d v="2025-01-23T00:00:00"/>
    <s v="Pending Coastal Logistics Partnersonfirmation"/>
  </r>
  <r>
    <x v="129"/>
    <x v="4"/>
    <n v="16"/>
    <n v="32"/>
    <x v="1"/>
    <x v="0"/>
    <n v="46.86"/>
    <s v="Warehouse A"/>
    <x v="567"/>
    <d v="2024-10-24T00:00:00"/>
    <m/>
  </r>
  <r>
    <x v="139"/>
    <x v="4"/>
    <n v="103"/>
    <n v="28"/>
    <x v="0"/>
    <x v="0"/>
    <n v="305.39"/>
    <s v="Warehouse B"/>
    <x v="624"/>
    <d v="2024-07-31T00:00:00"/>
    <s v="Pending Coastal Logistics Partnersonfirmation"/>
  </r>
  <r>
    <x v="81"/>
    <x v="0"/>
    <n v="97"/>
    <n v="55"/>
    <x v="0"/>
    <x v="2"/>
    <n v="441.08"/>
    <s v="Warehouse B"/>
    <x v="576"/>
    <d v="2024-12-03T00:00:00"/>
    <s v="Discontinued"/>
  </r>
  <r>
    <x v="96"/>
    <x v="3"/>
    <n v="187"/>
    <n v="77"/>
    <x v="0"/>
    <x v="1"/>
    <n v="442.04"/>
    <s v="Warehouse B"/>
    <x v="476"/>
    <d v="2024-05-31T00:00:00"/>
    <m/>
  </r>
  <r>
    <x v="124"/>
    <x v="2"/>
    <n v="191"/>
    <n v="73"/>
    <x v="0"/>
    <x v="2"/>
    <n v="331.23"/>
    <s v="Warehouse C"/>
    <x v="422"/>
    <d v="2024-11-13T00:00:00"/>
    <s v="High demand"/>
  </r>
  <r>
    <x v="130"/>
    <x v="4"/>
    <n v="87"/>
    <n v="31"/>
    <x v="0"/>
    <x v="0"/>
    <n v="109.56"/>
    <s v="Warehouse B"/>
    <x v="382"/>
    <d v="2024-06-16T00:00:00"/>
    <m/>
  </r>
  <r>
    <x v="67"/>
    <x v="2"/>
    <n v="108"/>
    <n v="97"/>
    <x v="0"/>
    <x v="0"/>
    <n v="432.18"/>
    <s v="Warehouse B"/>
    <x v="479"/>
    <d v="2024-10-20T00:00:00"/>
    <s v="High demand"/>
  </r>
  <r>
    <x v="103"/>
    <x v="4"/>
    <n v="162"/>
    <n v="33"/>
    <x v="0"/>
    <x v="1"/>
    <n v="443.62"/>
    <s v="Warehouse B"/>
    <x v="360"/>
    <d v="2024-06-21T00:00:00"/>
    <s v="Pending Coastal Logistics Partnersonfirmation"/>
  </r>
  <r>
    <x v="59"/>
    <x v="4"/>
    <n v="69"/>
    <n v="53"/>
    <x v="0"/>
    <x v="0"/>
    <n v="102.34"/>
    <s v="Warehouse B"/>
    <x v="577"/>
    <d v="2024-04-14T00:00:00"/>
    <s v="Pending Coastal Logistics Partnersonfirmation"/>
  </r>
  <r>
    <x v="94"/>
    <x v="4"/>
    <n v="157"/>
    <n v="72"/>
    <x v="0"/>
    <x v="1"/>
    <n v="370.03"/>
    <s v="Warehouse A"/>
    <x v="600"/>
    <d v="2024-09-01T00:00:00"/>
    <s v="High demand"/>
  </r>
  <r>
    <x v="109"/>
    <x v="3"/>
    <n v="198"/>
    <n v="39"/>
    <x v="0"/>
    <x v="2"/>
    <n v="146.83000000000001"/>
    <s v="Warehouse C"/>
    <x v="625"/>
    <d v="2024-03-28T00:00:00"/>
    <s v="High demand"/>
  </r>
  <r>
    <x v="43"/>
    <x v="1"/>
    <n v="73"/>
    <n v="94"/>
    <x v="1"/>
    <x v="1"/>
    <n v="402.31"/>
    <s v="Warehouse C"/>
    <x v="626"/>
    <d v="2024-11-14T00:00:00"/>
    <s v="Discontinued"/>
  </r>
  <r>
    <x v="49"/>
    <x v="2"/>
    <n v="62"/>
    <n v="35"/>
    <x v="0"/>
    <x v="1"/>
    <n v="498.63"/>
    <s v="Warehouse A"/>
    <x v="627"/>
    <d v="2024-06-26T00:00:00"/>
    <s v="Pending Coastal Logistics Partnersonfirmation"/>
  </r>
  <r>
    <x v="63"/>
    <x v="3"/>
    <n v="155"/>
    <n v="89"/>
    <x v="0"/>
    <x v="0"/>
    <n v="19.86"/>
    <s v="Warehouse A"/>
    <x v="444"/>
    <d v="2025-01-01T00:00:00"/>
    <s v="Pending Coastal Logistics Partnersonfirmation"/>
  </r>
  <r>
    <x v="139"/>
    <x v="3"/>
    <n v="59"/>
    <n v="75"/>
    <x v="1"/>
    <x v="0"/>
    <n v="449.2"/>
    <s v="Warehouse C"/>
    <x v="464"/>
    <d v="2024-12-09T00:00:00"/>
    <s v="Discontinued"/>
  </r>
  <r>
    <x v="50"/>
    <x v="3"/>
    <n v="78"/>
    <n v="77"/>
    <x v="0"/>
    <x v="1"/>
    <n v="313.2"/>
    <s v="Warehouse B"/>
    <x v="605"/>
    <d v="2024-08-31T00:00:00"/>
    <s v="Pending Coastal Logistics Partnersonfirmation"/>
  </r>
  <r>
    <x v="124"/>
    <x v="3"/>
    <n v="36"/>
    <n v="23"/>
    <x v="0"/>
    <x v="0"/>
    <n v="486.82"/>
    <s v="Warehouse B"/>
    <x v="346"/>
    <d v="2024-05-25T00:00:00"/>
    <s v="High demand"/>
  </r>
  <r>
    <x v="117"/>
    <x v="3"/>
    <n v="21"/>
    <n v="23"/>
    <x v="1"/>
    <x v="0"/>
    <n v="235.18"/>
    <s v="Warehouse C"/>
    <x v="413"/>
    <d v="2024-02-21T00:00:00"/>
    <m/>
  </r>
  <r>
    <x v="63"/>
    <x v="0"/>
    <n v="195"/>
    <n v="39"/>
    <x v="0"/>
    <x v="0"/>
    <n v="424.46"/>
    <s v="Warehouse B"/>
    <x v="628"/>
    <d v="2024-06-23T00:00:00"/>
    <m/>
  </r>
  <r>
    <x v="19"/>
    <x v="2"/>
    <n v="147"/>
    <n v="29"/>
    <x v="0"/>
    <x v="1"/>
    <n v="35.89"/>
    <s v="Warehouse A"/>
    <x v="625"/>
    <d v="2024-04-18T00:00:00"/>
    <s v="Pending Coastal Logistics Partnersonfirmation"/>
  </r>
  <r>
    <x v="120"/>
    <x v="3"/>
    <n v="95"/>
    <n v="43"/>
    <x v="0"/>
    <x v="0"/>
    <n v="170.96"/>
    <s v="Warehouse B"/>
    <x v="342"/>
    <d v="2024-09-24T00:00:00"/>
    <s v="Discontinued"/>
  </r>
  <r>
    <x v="133"/>
    <x v="2"/>
    <n v="67"/>
    <n v="45"/>
    <x v="0"/>
    <x v="1"/>
    <n v="38.17"/>
    <s v="Warehouse B"/>
    <x v="629"/>
    <d v="2024-10-31T00:00:00"/>
    <s v="High demand"/>
  </r>
  <r>
    <x v="62"/>
    <x v="0"/>
    <n v="191"/>
    <n v="56"/>
    <x v="0"/>
    <x v="0"/>
    <n v="487.79"/>
    <s v="Warehouse B"/>
    <x v="359"/>
    <d v="2024-06-14T00:00:00"/>
    <m/>
  </r>
  <r>
    <x v="64"/>
    <x v="0"/>
    <n v="16"/>
    <n v="73"/>
    <x v="1"/>
    <x v="2"/>
    <n v="409.4"/>
    <s v="Warehouse C"/>
    <x v="451"/>
    <d v="2024-09-06T00:00:00"/>
    <s v="High demand"/>
  </r>
  <r>
    <x v="130"/>
    <x v="2"/>
    <n v="11"/>
    <n v="40"/>
    <x v="1"/>
    <x v="0"/>
    <n v="427.01"/>
    <s v="Warehouse A"/>
    <x v="617"/>
    <d v="2024-12-28T00:00:00"/>
    <s v="Pending Coastal Logistics Partnersonfirmation"/>
  </r>
  <r>
    <x v="109"/>
    <x v="4"/>
    <n v="149"/>
    <n v="93"/>
    <x v="0"/>
    <x v="0"/>
    <n v="469.29"/>
    <s v="Warehouse B"/>
    <x v="361"/>
    <d v="2024-08-09T00:00:00"/>
    <s v="Pending Coastal Logistics Partnersonfirmation"/>
  </r>
  <r>
    <x v="83"/>
    <x v="1"/>
    <n v="144"/>
    <n v="57"/>
    <x v="0"/>
    <x v="1"/>
    <n v="47.13"/>
    <s v="Warehouse C"/>
    <x v="630"/>
    <d v="2024-05-06T00:00:00"/>
    <m/>
  </r>
  <r>
    <x v="111"/>
    <x v="4"/>
    <n v="137"/>
    <n v="65"/>
    <x v="0"/>
    <x v="1"/>
    <n v="195.87"/>
    <s v="Warehouse B"/>
    <x v="348"/>
    <d v="2024-03-30T00:00:00"/>
    <s v="Pending Coastal Logistics Partnersonfirmation"/>
  </r>
  <r>
    <x v="71"/>
    <x v="4"/>
    <n v="117"/>
    <n v="23"/>
    <x v="0"/>
    <x v="0"/>
    <n v="40.159999999999997"/>
    <s v="Warehouse A"/>
    <x v="507"/>
    <d v="2024-04-09T00:00:00"/>
    <s v="Discontinued"/>
  </r>
  <r>
    <x v="19"/>
    <x v="4"/>
    <n v="192"/>
    <n v="79"/>
    <x v="0"/>
    <x v="2"/>
    <n v="109.34"/>
    <s v="Warehouse B"/>
    <x v="390"/>
    <d v="2024-11-04T00:00:00"/>
    <s v="Pending Coastal Logistics Partnersonfirmation"/>
  </r>
  <r>
    <x v="61"/>
    <x v="3"/>
    <n v="21"/>
    <n v="76"/>
    <x v="1"/>
    <x v="0"/>
    <n v="118.54"/>
    <s v="Warehouse A"/>
    <x v="422"/>
    <d v="2024-11-01T00:00:00"/>
    <s v="Pending Coastal Logistics Partnersonfirmation"/>
  </r>
  <r>
    <x v="96"/>
    <x v="0"/>
    <n v="119"/>
    <n v="64"/>
    <x v="0"/>
    <x v="0"/>
    <n v="237.21"/>
    <s v="Warehouse B"/>
    <x v="492"/>
    <d v="2024-06-13T00:00:00"/>
    <s v="Pending Coastal Logistics Partnersonfirmation"/>
  </r>
  <r>
    <x v="95"/>
    <x v="4"/>
    <n v="49"/>
    <n v="39"/>
    <x v="0"/>
    <x v="2"/>
    <n v="137.94"/>
    <s v="Warehouse A"/>
    <x v="631"/>
    <d v="2024-03-30T00:00:00"/>
    <s v="High demand"/>
  </r>
  <r>
    <x v="78"/>
    <x v="0"/>
    <n v="13"/>
    <n v="36"/>
    <x v="1"/>
    <x v="1"/>
    <n v="54.98"/>
    <s v="Warehouse B"/>
    <x v="512"/>
    <d v="2024-09-18T00:00:00"/>
    <s v="High demand"/>
  </r>
  <r>
    <x v="91"/>
    <x v="2"/>
    <n v="191"/>
    <n v="90"/>
    <x v="0"/>
    <x v="0"/>
    <n v="87.91"/>
    <s v="Warehouse A"/>
    <x v="576"/>
    <d v="2025-02-14T00:00:00"/>
    <m/>
  </r>
  <r>
    <x v="61"/>
    <x v="1"/>
    <n v="174"/>
    <n v="23"/>
    <x v="0"/>
    <x v="1"/>
    <n v="77.900000000000006"/>
    <s v="Warehouse B"/>
    <x v="632"/>
    <d v="2024-06-04T00:00:00"/>
    <m/>
  </r>
  <r>
    <x v="85"/>
    <x v="2"/>
    <n v="28"/>
    <n v="33"/>
    <x v="1"/>
    <x v="1"/>
    <n v="486.67"/>
    <s v="Warehouse B"/>
    <x v="410"/>
    <d v="2024-09-05T00:00:00"/>
    <m/>
  </r>
  <r>
    <x v="86"/>
    <x v="2"/>
    <n v="163"/>
    <n v="22"/>
    <x v="0"/>
    <x v="2"/>
    <n v="380.85"/>
    <s v="Warehouse C"/>
    <x v="376"/>
    <d v="2024-09-06T00:00:00"/>
    <s v="Pending Coastal Logistics Partnersonfirmation"/>
  </r>
  <r>
    <x v="86"/>
    <x v="3"/>
    <n v="179"/>
    <n v="99"/>
    <x v="0"/>
    <x v="2"/>
    <n v="484.04"/>
    <s v="Warehouse C"/>
    <x v="615"/>
    <d v="2024-03-28T00:00:00"/>
    <s v="High demand"/>
  </r>
  <r>
    <x v="16"/>
    <x v="1"/>
    <n v="124"/>
    <n v="77"/>
    <x v="0"/>
    <x v="1"/>
    <n v="222.67"/>
    <s v="Warehouse A"/>
    <x v="511"/>
    <d v="2024-05-26T00:00:00"/>
    <s v="Discontinued"/>
  </r>
  <r>
    <x v="131"/>
    <x v="2"/>
    <n v="6"/>
    <n v="74"/>
    <x v="1"/>
    <x v="0"/>
    <n v="142.79"/>
    <s v="Warehouse B"/>
    <x v="515"/>
    <d v="2025-02-23T00:00:00"/>
    <s v="Pending Coastal Logistics Partnersonfirmation"/>
  </r>
  <r>
    <x v="118"/>
    <x v="2"/>
    <n v="28"/>
    <n v="23"/>
    <x v="0"/>
    <x v="1"/>
    <n v="400.16"/>
    <s v="Warehouse A"/>
    <x v="633"/>
    <d v="2025-01-22T00:00:00"/>
    <s v="Pending Coastal Logistics Partnersonfirmation"/>
  </r>
  <r>
    <x v="81"/>
    <x v="1"/>
    <n v="138"/>
    <n v="43"/>
    <x v="0"/>
    <x v="0"/>
    <n v="166.5"/>
    <s v="Warehouse C"/>
    <x v="586"/>
    <d v="2024-09-14T00:00:00"/>
    <s v="Pending Coastal Logistics Partnersonfirmation"/>
  </r>
  <r>
    <x v="133"/>
    <x v="1"/>
    <n v="32"/>
    <n v="53"/>
    <x v="1"/>
    <x v="0"/>
    <n v="153.19"/>
    <s v="Warehouse A"/>
    <x v="446"/>
    <d v="2024-11-09T00:00:00"/>
    <s v="Discontinued"/>
  </r>
  <r>
    <x v="49"/>
    <x v="2"/>
    <n v="133"/>
    <n v="49"/>
    <x v="0"/>
    <x v="2"/>
    <n v="120.09"/>
    <s v="Warehouse A"/>
    <x v="343"/>
    <d v="2024-07-20T00:00:00"/>
    <m/>
  </r>
  <r>
    <x v="116"/>
    <x v="1"/>
    <n v="110"/>
    <n v="38"/>
    <x v="0"/>
    <x v="0"/>
    <n v="69.19"/>
    <s v="Warehouse C"/>
    <x v="428"/>
    <d v="2024-07-28T00:00:00"/>
    <s v="Discontinued"/>
  </r>
  <r>
    <x v="82"/>
    <x v="2"/>
    <n v="78"/>
    <n v="50"/>
    <x v="0"/>
    <x v="0"/>
    <n v="131.94999999999999"/>
    <s v="Warehouse B"/>
    <x v="634"/>
    <d v="2024-12-31T00:00:00"/>
    <m/>
  </r>
  <r>
    <x v="51"/>
    <x v="2"/>
    <n v="159"/>
    <n v="79"/>
    <x v="0"/>
    <x v="1"/>
    <n v="180.88"/>
    <s v="Warehouse A"/>
    <x v="533"/>
    <d v="2024-11-12T00:00:00"/>
    <s v="Discontinued"/>
  </r>
  <r>
    <x v="61"/>
    <x v="3"/>
    <n v="178"/>
    <n v="79"/>
    <x v="0"/>
    <x v="2"/>
    <n v="338.63"/>
    <s v="Warehouse C"/>
    <x v="453"/>
    <d v="2025-01-10T00:00:00"/>
    <s v="High demand"/>
  </r>
  <r>
    <x v="85"/>
    <x v="4"/>
    <n v="57"/>
    <n v="38"/>
    <x v="0"/>
    <x v="0"/>
    <n v="35.97"/>
    <s v="Warehouse B"/>
    <x v="606"/>
    <d v="2024-12-31T00:00:00"/>
    <s v="Pending Coastal Logistics Partnersonfirmation"/>
  </r>
  <r>
    <x v="94"/>
    <x v="2"/>
    <n v="25"/>
    <n v="68"/>
    <x v="1"/>
    <x v="0"/>
    <n v="109.2"/>
    <s v="Warehouse C"/>
    <x v="635"/>
    <d v="2024-07-05T00:00:00"/>
    <s v="Pending Coastal Logistics Partnersonfirmation"/>
  </r>
  <r>
    <x v="55"/>
    <x v="0"/>
    <n v="173"/>
    <n v="82"/>
    <x v="0"/>
    <x v="2"/>
    <n v="405.47"/>
    <s v="Warehouse A"/>
    <x v="629"/>
    <d v="2024-11-22T00:00:00"/>
    <s v="Pending Coastal Logistics Partnersonfirmation"/>
  </r>
  <r>
    <x v="50"/>
    <x v="4"/>
    <n v="28"/>
    <n v="41"/>
    <x v="1"/>
    <x v="1"/>
    <n v="77.73"/>
    <s v="Warehouse B"/>
    <x v="404"/>
    <d v="2024-09-26T00:00:00"/>
    <m/>
  </r>
  <r>
    <x v="122"/>
    <x v="4"/>
    <n v="3"/>
    <n v="43"/>
    <x v="1"/>
    <x v="2"/>
    <n v="174.61"/>
    <s v="Warehouse B"/>
    <x v="636"/>
    <d v="2024-12-01T00:00:00"/>
    <s v="Discontinued"/>
  </r>
  <r>
    <x v="115"/>
    <x v="4"/>
    <n v="98"/>
    <n v="95"/>
    <x v="0"/>
    <x v="2"/>
    <n v="433.01"/>
    <s v="Warehouse C"/>
    <x v="604"/>
    <d v="2024-10-31T00:00:00"/>
    <s v="High demand"/>
  </r>
  <r>
    <x v="105"/>
    <x v="3"/>
    <n v="140"/>
    <n v="49"/>
    <x v="0"/>
    <x v="0"/>
    <n v="81.69"/>
    <s v="Warehouse C"/>
    <x v="484"/>
    <d v="2024-02-25T00:00:00"/>
    <s v="Discontinued"/>
  </r>
  <r>
    <x v="2"/>
    <x v="2"/>
    <n v="38"/>
    <n v="77"/>
    <x v="1"/>
    <x v="0"/>
    <n v="45.95"/>
    <s v="Warehouse C"/>
    <x v="625"/>
    <d v="2024-05-22T00:00:00"/>
    <s v="Pending Coastal Logistics Partnersonfirmation"/>
  </r>
  <r>
    <x v="94"/>
    <x v="3"/>
    <n v="14"/>
    <n v="50"/>
    <x v="1"/>
    <x v="1"/>
    <n v="244.85"/>
    <s v="Warehouse B"/>
    <x v="637"/>
    <d v="2024-10-01T00:00:00"/>
    <s v="High demand"/>
  </r>
  <r>
    <x v="104"/>
    <x v="2"/>
    <n v="118"/>
    <n v="83"/>
    <x v="0"/>
    <x v="0"/>
    <n v="154.69999999999999"/>
    <s v="Warehouse B"/>
    <x v="500"/>
    <d v="2024-12-05T00:00:00"/>
    <s v="High demand"/>
  </r>
  <r>
    <x v="96"/>
    <x v="3"/>
    <n v="28"/>
    <n v="38"/>
    <x v="1"/>
    <x v="0"/>
    <n v="283.89"/>
    <s v="Warehouse A"/>
    <x v="638"/>
    <d v="2025-01-06T00:00:00"/>
    <s v="Pending Coastal Logistics Partnersonfirmation"/>
  </r>
  <r>
    <x v="77"/>
    <x v="3"/>
    <n v="156"/>
    <n v="67"/>
    <x v="0"/>
    <x v="2"/>
    <n v="402.88"/>
    <s v="Warehouse B"/>
    <x v="639"/>
    <d v="2024-10-20T00:00:00"/>
    <s v="Discontinued"/>
  </r>
  <r>
    <x v="70"/>
    <x v="0"/>
    <n v="74"/>
    <n v="64"/>
    <x v="0"/>
    <x v="0"/>
    <n v="72.89"/>
    <s v="Warehouse A"/>
    <x v="376"/>
    <d v="2024-08-05T00:00:00"/>
    <s v="Pending Coastal Logistics Partnersonfirmation"/>
  </r>
  <r>
    <x v="87"/>
    <x v="3"/>
    <n v="115"/>
    <n v="74"/>
    <x v="0"/>
    <x v="1"/>
    <n v="292.45"/>
    <s v="Warehouse C"/>
    <x v="500"/>
    <d v="2024-11-15T00:00:00"/>
    <s v="Discontinued"/>
  </r>
  <r>
    <x v="130"/>
    <x v="1"/>
    <n v="31"/>
    <n v="74"/>
    <x v="1"/>
    <x v="2"/>
    <n v="255.23"/>
    <s v="Warehouse C"/>
    <x v="560"/>
    <d v="2025-01-17T00:00:00"/>
    <s v="High demand"/>
  </r>
  <r>
    <x v="137"/>
    <x v="0"/>
    <n v="129"/>
    <n v="37"/>
    <x v="0"/>
    <x v="1"/>
    <n v="76.319999999999993"/>
    <s v="Warehouse B"/>
    <x v="561"/>
    <d v="2024-07-19T00:00:00"/>
    <s v="High demand"/>
  </r>
  <r>
    <x v="106"/>
    <x v="3"/>
    <n v="174"/>
    <n v="82"/>
    <x v="0"/>
    <x v="2"/>
    <n v="313.88"/>
    <s v="Warehouse C"/>
    <x v="640"/>
    <d v="2024-05-28T00:00:00"/>
    <s v="Pending Coastal Logistics Partnersonfirmation"/>
  </r>
  <r>
    <x v="69"/>
    <x v="4"/>
    <n v="83"/>
    <n v="66"/>
    <x v="0"/>
    <x v="0"/>
    <n v="140.44999999999999"/>
    <s v="Warehouse C"/>
    <x v="539"/>
    <d v="2025-01-08T00:00:00"/>
    <s v="High demand"/>
  </r>
  <r>
    <x v="68"/>
    <x v="1"/>
    <n v="21"/>
    <n v="94"/>
    <x v="1"/>
    <x v="2"/>
    <n v="246.48"/>
    <s v="Warehouse B"/>
    <x v="466"/>
    <d v="2024-06-03T00:00:00"/>
    <m/>
  </r>
  <r>
    <x v="96"/>
    <x v="1"/>
    <n v="26"/>
    <n v="76"/>
    <x v="1"/>
    <x v="2"/>
    <n v="45.72"/>
    <s v="Warehouse A"/>
    <x v="487"/>
    <d v="2024-12-20T00:00:00"/>
    <s v="High demand"/>
  </r>
  <r>
    <x v="69"/>
    <x v="1"/>
    <n v="194"/>
    <n v="64"/>
    <x v="0"/>
    <x v="0"/>
    <n v="232.49"/>
    <s v="Warehouse B"/>
    <x v="602"/>
    <d v="2025-01-22T00:00:00"/>
    <m/>
  </r>
  <r>
    <x v="134"/>
    <x v="0"/>
    <n v="80"/>
    <n v="52"/>
    <x v="0"/>
    <x v="0"/>
    <n v="156.69999999999999"/>
    <s v="Warehouse A"/>
    <x v="581"/>
    <d v="2024-10-03T00:00:00"/>
    <s v="High demand"/>
  </r>
  <r>
    <x v="114"/>
    <x v="3"/>
    <n v="125"/>
    <n v="36"/>
    <x v="0"/>
    <x v="1"/>
    <n v="412.08"/>
    <s v="Warehouse B"/>
    <x v="429"/>
    <d v="2024-03-05T00:00:00"/>
    <s v="Pending Coastal Logistics Partnersonfirmation"/>
  </r>
  <r>
    <x v="55"/>
    <x v="3"/>
    <n v="183"/>
    <n v="89"/>
    <x v="0"/>
    <x v="1"/>
    <n v="33.200000000000003"/>
    <s v="Warehouse B"/>
    <x v="600"/>
    <d v="2024-10-01T00:00:00"/>
    <s v="Pending Coastal Logistics Partnersonfirmation"/>
  </r>
  <r>
    <x v="95"/>
    <x v="4"/>
    <n v="91"/>
    <n v="23"/>
    <x v="0"/>
    <x v="0"/>
    <n v="212.21"/>
    <s v="Warehouse C"/>
    <x v="641"/>
    <d v="2024-05-27T00:00:00"/>
    <m/>
  </r>
  <r>
    <x v="102"/>
    <x v="4"/>
    <n v="20"/>
    <n v="39"/>
    <x v="1"/>
    <x v="0"/>
    <n v="231.92"/>
    <s v="Warehouse B"/>
    <x v="429"/>
    <d v="2024-04-16T00:00:00"/>
    <s v="Pending Coastal Logistics Partnersonfirmation"/>
  </r>
  <r>
    <x v="78"/>
    <x v="1"/>
    <n v="46"/>
    <n v="66"/>
    <x v="1"/>
    <x v="0"/>
    <n v="363.88"/>
    <s v="Warehouse B"/>
    <x v="368"/>
    <d v="2024-10-09T00:00:00"/>
    <s v="High demand"/>
  </r>
  <r>
    <x v="134"/>
    <x v="4"/>
    <n v="100"/>
    <n v="34"/>
    <x v="0"/>
    <x v="2"/>
    <n v="289.27"/>
    <s v="Warehouse A"/>
    <x v="387"/>
    <d v="2024-12-12T00:00:00"/>
    <s v="High demand"/>
  </r>
  <r>
    <x v="83"/>
    <x v="0"/>
    <n v="186"/>
    <n v="89"/>
    <x v="0"/>
    <x v="2"/>
    <n v="335.27"/>
    <s v="Warehouse C"/>
    <x v="579"/>
    <d v="2024-11-17T00:00:00"/>
    <s v="Pending Coastal Logistics Partnersonfirmation"/>
  </r>
  <r>
    <x v="113"/>
    <x v="3"/>
    <n v="83"/>
    <n v="66"/>
    <x v="0"/>
    <x v="2"/>
    <n v="389.64"/>
    <s v="Warehouse A"/>
    <x v="481"/>
    <d v="2025-02-10T00:00:00"/>
    <s v="High demand"/>
  </r>
  <r>
    <x v="132"/>
    <x v="1"/>
    <n v="5"/>
    <n v="97"/>
    <x v="1"/>
    <x v="0"/>
    <n v="431.79"/>
    <s v="Warehouse A"/>
    <x v="481"/>
    <d v="2025-02-13T00:00:00"/>
    <s v="Discontinued"/>
  </r>
  <r>
    <x v="106"/>
    <x v="4"/>
    <n v="146"/>
    <n v="94"/>
    <x v="0"/>
    <x v="1"/>
    <n v="160.37"/>
    <s v="Warehouse C"/>
    <x v="618"/>
    <d v="2024-06-26T00:00:00"/>
    <s v="Discontinued"/>
  </r>
  <r>
    <x v="115"/>
    <x v="0"/>
    <n v="184"/>
    <n v="28"/>
    <x v="0"/>
    <x v="0"/>
    <n v="271.32"/>
    <s v="Warehouse C"/>
    <x v="567"/>
    <d v="2024-09-27T00:00:00"/>
    <s v="High demand"/>
  </r>
  <r>
    <x v="92"/>
    <x v="0"/>
    <n v="196"/>
    <n v="35"/>
    <x v="0"/>
    <x v="2"/>
    <n v="420.85"/>
    <s v="Warehouse C"/>
    <x v="550"/>
    <d v="2024-05-12T00:00:00"/>
    <s v="Pending Coastal Logistics Partnersonfirmation"/>
  </r>
  <r>
    <x v="94"/>
    <x v="4"/>
    <n v="130"/>
    <n v="88"/>
    <x v="0"/>
    <x v="2"/>
    <n v="494.78"/>
    <s v="Warehouse B"/>
    <x v="642"/>
    <d v="2024-01-18T00:00:00"/>
    <m/>
  </r>
  <r>
    <x v="105"/>
    <x v="3"/>
    <n v="0"/>
    <n v="80"/>
    <x v="1"/>
    <x v="0"/>
    <n v="445.31"/>
    <s v="Warehouse C"/>
    <x v="579"/>
    <d v="2024-11-25T00:00:00"/>
    <s v="Pending Coastal Logistics Partnersonfirmation"/>
  </r>
  <r>
    <x v="108"/>
    <x v="4"/>
    <n v="57"/>
    <n v="29"/>
    <x v="0"/>
    <x v="0"/>
    <n v="188.88"/>
    <s v="Warehouse C"/>
    <x v="632"/>
    <d v="2024-07-18T00:00:00"/>
    <m/>
  </r>
  <r>
    <x v="81"/>
    <x v="1"/>
    <n v="123"/>
    <n v="69"/>
    <x v="0"/>
    <x v="2"/>
    <n v="101.61"/>
    <s v="Warehouse C"/>
    <x v="406"/>
    <d v="2025-01-24T00:00:00"/>
    <s v="Pending Coastal Logistics Partnersonfirmation"/>
  </r>
  <r>
    <x v="78"/>
    <x v="4"/>
    <n v="165"/>
    <n v="22"/>
    <x v="0"/>
    <x v="2"/>
    <n v="247.25"/>
    <s v="Warehouse A"/>
    <x v="584"/>
    <d v="2024-10-11T00:00:00"/>
    <s v="High demand"/>
  </r>
  <r>
    <x v="75"/>
    <x v="0"/>
    <n v="14"/>
    <n v="96"/>
    <x v="1"/>
    <x v="2"/>
    <n v="372.11"/>
    <s v="Warehouse A"/>
    <x v="405"/>
    <d v="2025-03-01T00:00:00"/>
    <s v="Discontinued"/>
  </r>
  <r>
    <x v="54"/>
    <x v="4"/>
    <n v="161"/>
    <n v="89"/>
    <x v="0"/>
    <x v="0"/>
    <n v="248.82"/>
    <s v="Warehouse B"/>
    <x v="365"/>
    <d v="2024-10-27T00:00:00"/>
    <s v="Pending Coastal Logistics Partnersonfirmation"/>
  </r>
  <r>
    <x v="50"/>
    <x v="3"/>
    <n v="188"/>
    <n v="70"/>
    <x v="0"/>
    <x v="2"/>
    <n v="244.17"/>
    <s v="Warehouse A"/>
    <x v="597"/>
    <d v="2024-09-25T00:00:00"/>
    <m/>
  </r>
  <r>
    <x v="114"/>
    <x v="2"/>
    <n v="162"/>
    <n v="38"/>
    <x v="0"/>
    <x v="2"/>
    <n v="419.92"/>
    <s v="Warehouse B"/>
    <x v="356"/>
    <d v="2024-07-05T00:00:00"/>
    <s v="Discontinued"/>
  </r>
  <r>
    <x v="131"/>
    <x v="4"/>
    <n v="63"/>
    <n v="61"/>
    <x v="0"/>
    <x v="1"/>
    <n v="183.89"/>
    <s v="Warehouse A"/>
    <x v="643"/>
    <d v="2024-07-12T00:00:00"/>
    <m/>
  </r>
  <r>
    <x v="43"/>
    <x v="3"/>
    <n v="24"/>
    <n v="54"/>
    <x v="1"/>
    <x v="0"/>
    <n v="430.6"/>
    <s v="Warehouse C"/>
    <x v="630"/>
    <d v="2024-06-30T00:00:00"/>
    <s v="High demand"/>
  </r>
  <r>
    <x v="127"/>
    <x v="3"/>
    <n v="23"/>
    <n v="65"/>
    <x v="1"/>
    <x v="1"/>
    <n v="206.37"/>
    <s v="Warehouse A"/>
    <x v="366"/>
    <d v="2024-03-16T00:00:00"/>
    <s v="Discontinued"/>
  </r>
  <r>
    <x v="131"/>
    <x v="0"/>
    <n v="11"/>
    <n v="45"/>
    <x v="1"/>
    <x v="1"/>
    <n v="167.48"/>
    <s v="Warehouse B"/>
    <x v="644"/>
    <d v="2025-03-18T00:00:00"/>
    <m/>
  </r>
  <r>
    <x v="138"/>
    <x v="3"/>
    <n v="17"/>
    <n v="88"/>
    <x v="1"/>
    <x v="2"/>
    <n v="229.73"/>
    <s v="Warehouse A"/>
    <x v="472"/>
    <d v="2024-02-08T00:00:00"/>
    <s v="Pending Coastal Logistics Partnersonfirmation"/>
  </r>
  <r>
    <x v="121"/>
    <x v="3"/>
    <n v="14"/>
    <n v="83"/>
    <x v="1"/>
    <x v="0"/>
    <n v="382.41"/>
    <s v="Warehouse C"/>
    <x v="368"/>
    <d v="2024-10-03T00:00:00"/>
    <s v="High demand"/>
  </r>
  <r>
    <x v="83"/>
    <x v="3"/>
    <n v="26"/>
    <n v="56"/>
    <x v="1"/>
    <x v="2"/>
    <n v="67.37"/>
    <s v="Warehouse B"/>
    <x v="488"/>
    <d v="2024-11-16T00:00:00"/>
    <s v="High demand"/>
  </r>
  <r>
    <x v="118"/>
    <x v="3"/>
    <n v="71"/>
    <n v="68"/>
    <x v="0"/>
    <x v="0"/>
    <n v="102.23"/>
    <s v="Warehouse C"/>
    <x v="378"/>
    <d v="2024-08-10T00:00:00"/>
    <s v="High demand"/>
  </r>
  <r>
    <x v="33"/>
    <x v="1"/>
    <n v="59"/>
    <n v="40"/>
    <x v="0"/>
    <x v="1"/>
    <n v="475.97"/>
    <s v="Warehouse C"/>
    <x v="622"/>
    <d v="2024-10-09T00:00:00"/>
    <s v="Pending Coastal Logistics Partnersonfirmation"/>
  </r>
  <r>
    <x v="71"/>
    <x v="1"/>
    <n v="173"/>
    <n v="93"/>
    <x v="0"/>
    <x v="0"/>
    <n v="91.87"/>
    <s v="Warehouse B"/>
    <x v="497"/>
    <d v="2024-10-27T00:00:00"/>
    <s v="Pending Coastal Logistics Partnersonfirmation"/>
  </r>
  <r>
    <x v="105"/>
    <x v="0"/>
    <n v="144"/>
    <n v="83"/>
    <x v="0"/>
    <x v="2"/>
    <n v="286.02999999999997"/>
    <s v="Warehouse C"/>
    <x v="461"/>
    <d v="2024-04-21T00:00:00"/>
    <s v="Discontinued"/>
  </r>
  <r>
    <x v="111"/>
    <x v="4"/>
    <n v="92"/>
    <n v="24"/>
    <x v="0"/>
    <x v="2"/>
    <n v="291.76"/>
    <s v="Warehouse C"/>
    <x v="355"/>
    <d v="2024-08-13T00:00:00"/>
    <s v="Pending Coastal Logistics Partnersonfirmation"/>
  </r>
  <r>
    <x v="113"/>
    <x v="3"/>
    <n v="52"/>
    <n v="89"/>
    <x v="1"/>
    <x v="2"/>
    <n v="247.36"/>
    <s v="Warehouse A"/>
    <x v="606"/>
    <d v="2025-02-24T00:00:00"/>
    <s v="Discontinued"/>
  </r>
  <r>
    <x v="50"/>
    <x v="4"/>
    <n v="7"/>
    <n v="23"/>
    <x v="1"/>
    <x v="0"/>
    <n v="324.14999999999998"/>
    <s v="Warehouse C"/>
    <x v="342"/>
    <d v="2024-11-03T00:00:00"/>
    <s v="High demand"/>
  </r>
  <r>
    <x v="129"/>
    <x v="4"/>
    <n v="78"/>
    <n v="58"/>
    <x v="0"/>
    <x v="1"/>
    <n v="118.76"/>
    <s v="Warehouse C"/>
    <x v="633"/>
    <d v="2025-02-20T00:00:00"/>
    <s v="Discontinued"/>
  </r>
  <r>
    <x v="75"/>
    <x v="0"/>
    <n v="26"/>
    <n v="54"/>
    <x v="1"/>
    <x v="1"/>
    <n v="278.57"/>
    <s v="Warehouse C"/>
    <x v="499"/>
    <d v="2024-12-06T00:00:00"/>
    <m/>
  </r>
  <r>
    <x v="70"/>
    <x v="3"/>
    <n v="173"/>
    <n v="20"/>
    <x v="0"/>
    <x v="0"/>
    <n v="189.23"/>
    <s v="Warehouse C"/>
    <x v="645"/>
    <d v="2024-04-25T00:00:00"/>
    <s v="High demand"/>
  </r>
  <r>
    <x v="16"/>
    <x v="3"/>
    <n v="49"/>
    <n v="43"/>
    <x v="0"/>
    <x v="2"/>
    <n v="332.53"/>
    <s v="Warehouse B"/>
    <x v="472"/>
    <d v="2024-02-06T00:00:00"/>
    <s v="High demand"/>
  </r>
  <r>
    <x v="127"/>
    <x v="2"/>
    <n v="198"/>
    <n v="76"/>
    <x v="0"/>
    <x v="1"/>
    <n v="74.91"/>
    <s v="Warehouse A"/>
    <x v="635"/>
    <d v="2024-05-15T00:00:00"/>
    <s v="Discontinued"/>
  </r>
  <r>
    <x v="58"/>
    <x v="4"/>
    <n v="130"/>
    <n v="89"/>
    <x v="0"/>
    <x v="2"/>
    <n v="287.58"/>
    <s v="Warehouse C"/>
    <x v="517"/>
    <d v="2024-11-02T00:00:00"/>
    <s v="High demand"/>
  </r>
  <r>
    <x v="80"/>
    <x v="4"/>
    <n v="92"/>
    <n v="60"/>
    <x v="0"/>
    <x v="0"/>
    <n v="96.71"/>
    <s v="Warehouse C"/>
    <x v="503"/>
    <d v="2024-04-28T00:00:00"/>
    <s v="Pending Coastal Logistics Partnersonfirmation"/>
  </r>
  <r>
    <x v="81"/>
    <x v="1"/>
    <n v="191"/>
    <n v="73"/>
    <x v="0"/>
    <x v="2"/>
    <n v="142.93"/>
    <s v="Warehouse B"/>
    <x v="641"/>
    <d v="2024-06-05T00:00:00"/>
    <m/>
  </r>
  <r>
    <x v="80"/>
    <x v="2"/>
    <n v="171"/>
    <n v="65"/>
    <x v="0"/>
    <x v="1"/>
    <n v="113.26"/>
    <s v="Warehouse C"/>
    <x v="567"/>
    <d v="2024-09-18T00:00:00"/>
    <s v="Discontinued"/>
  </r>
  <r>
    <x v="74"/>
    <x v="1"/>
    <n v="180"/>
    <n v="79"/>
    <x v="0"/>
    <x v="1"/>
    <n v="95.5"/>
    <s v="Warehouse B"/>
    <x v="646"/>
    <d v="2024-04-13T00:00:00"/>
    <s v="Discontinued"/>
  </r>
  <r>
    <x v="49"/>
    <x v="1"/>
    <n v="23"/>
    <n v="79"/>
    <x v="1"/>
    <x v="2"/>
    <n v="413.73"/>
    <s v="Warehouse A"/>
    <x v="566"/>
    <d v="2025-03-12T00:00:00"/>
    <s v="High demand"/>
  </r>
  <r>
    <x v="2"/>
    <x v="1"/>
    <n v="59"/>
    <n v="76"/>
    <x v="1"/>
    <x v="0"/>
    <n v="146.43"/>
    <s v="Warehouse A"/>
    <x v="647"/>
    <d v="2025-02-05T00:00:00"/>
    <s v="Pending Coastal Logistics Partnersonfirmation"/>
  </r>
  <r>
    <x v="112"/>
    <x v="0"/>
    <n v="121"/>
    <n v="50"/>
    <x v="0"/>
    <x v="2"/>
    <n v="463.93"/>
    <s v="Warehouse C"/>
    <x v="530"/>
    <d v="2024-05-17T00:00:00"/>
    <s v="High demand"/>
  </r>
  <r>
    <x v="104"/>
    <x v="0"/>
    <n v="130"/>
    <n v="43"/>
    <x v="0"/>
    <x v="0"/>
    <n v="485.11"/>
    <s v="Warehouse C"/>
    <x v="648"/>
    <d v="2024-10-24T00:00:00"/>
    <s v="High demand"/>
  </r>
  <r>
    <x v="107"/>
    <x v="1"/>
    <n v="147"/>
    <n v="55"/>
    <x v="0"/>
    <x v="2"/>
    <n v="287.77"/>
    <s v="Warehouse C"/>
    <x v="649"/>
    <d v="2024-11-24T00:00:00"/>
    <s v="Discontinued"/>
  </r>
  <r>
    <x v="114"/>
    <x v="2"/>
    <n v="45"/>
    <n v="49"/>
    <x v="1"/>
    <x v="1"/>
    <n v="75.790000000000006"/>
    <s v="Warehouse B"/>
    <x v="650"/>
    <d v="2024-03-31T00:00:00"/>
    <s v="High demand"/>
  </r>
  <r>
    <x v="20"/>
    <x v="4"/>
    <n v="14"/>
    <n v="43"/>
    <x v="1"/>
    <x v="0"/>
    <n v="190.4"/>
    <s v="Warehouse C"/>
    <x v="521"/>
    <d v="2024-06-25T00:00:00"/>
    <m/>
  </r>
  <r>
    <x v="55"/>
    <x v="2"/>
    <n v="152"/>
    <n v="49"/>
    <x v="0"/>
    <x v="0"/>
    <n v="399.88"/>
    <s v="Warehouse C"/>
    <x v="405"/>
    <d v="2025-01-23T00:00:00"/>
    <s v="High demand"/>
  </r>
  <r>
    <x v="62"/>
    <x v="3"/>
    <n v="198"/>
    <n v="26"/>
    <x v="0"/>
    <x v="0"/>
    <n v="186.86"/>
    <s v="Warehouse A"/>
    <x v="547"/>
    <d v="2024-06-21T00:00:00"/>
    <s v="High demand"/>
  </r>
  <r>
    <x v="74"/>
    <x v="0"/>
    <n v="16"/>
    <n v="54"/>
    <x v="1"/>
    <x v="1"/>
    <n v="48.07"/>
    <s v="Warehouse C"/>
    <x v="430"/>
    <d v="2024-12-08T00:00:00"/>
    <s v="Discontinued"/>
  </r>
  <r>
    <x v="99"/>
    <x v="4"/>
    <n v="125"/>
    <n v="74"/>
    <x v="0"/>
    <x v="2"/>
    <n v="280.61"/>
    <s v="Warehouse A"/>
    <x v="647"/>
    <d v="2025-03-19T00:00:00"/>
    <s v="High demand"/>
  </r>
  <r>
    <x v="136"/>
    <x v="4"/>
    <n v="83"/>
    <n v="33"/>
    <x v="0"/>
    <x v="1"/>
    <n v="423.33"/>
    <s v="Warehouse C"/>
    <x v="467"/>
    <d v="2024-04-24T00:00:00"/>
    <s v="Pending Coastal Logistics Partnersonfirmation"/>
  </r>
  <r>
    <x v="20"/>
    <x v="3"/>
    <n v="8"/>
    <n v="29"/>
    <x v="1"/>
    <x v="0"/>
    <n v="398.98"/>
    <s v="Warehouse A"/>
    <x v="524"/>
    <d v="2024-02-27T00:00:00"/>
    <s v="Discontinued"/>
  </r>
  <r>
    <x v="115"/>
    <x v="3"/>
    <n v="165"/>
    <n v="99"/>
    <x v="0"/>
    <x v="2"/>
    <n v="91.69"/>
    <s v="Warehouse C"/>
    <x v="457"/>
    <d v="2024-06-01T00:00:00"/>
    <s v="High demand"/>
  </r>
  <r>
    <x v="119"/>
    <x v="1"/>
    <n v="175"/>
    <n v="35"/>
    <x v="0"/>
    <x v="1"/>
    <n v="338.02"/>
    <s v="Warehouse A"/>
    <x v="481"/>
    <d v="2025-01-27T00:00:00"/>
    <m/>
  </r>
  <r>
    <x v="131"/>
    <x v="0"/>
    <n v="187"/>
    <n v="73"/>
    <x v="0"/>
    <x v="0"/>
    <n v="114.15"/>
    <s v="Warehouse B"/>
    <x v="651"/>
    <d v="2024-07-20T00:00:00"/>
    <m/>
  </r>
  <r>
    <x v="72"/>
    <x v="0"/>
    <n v="62"/>
    <n v="96"/>
    <x v="1"/>
    <x v="0"/>
    <n v="113.01"/>
    <s v="Warehouse A"/>
    <x v="652"/>
    <d v="2024-07-06T00:00:00"/>
    <s v="Discontinued"/>
  </r>
  <r>
    <x v="72"/>
    <x v="2"/>
    <n v="116"/>
    <n v="89"/>
    <x v="0"/>
    <x v="1"/>
    <n v="437.67"/>
    <s v="Warehouse A"/>
    <x v="510"/>
    <d v="2024-03-20T00:00:00"/>
    <s v="Discontinued"/>
  </r>
  <r>
    <x v="102"/>
    <x v="1"/>
    <n v="129"/>
    <n v="63"/>
    <x v="0"/>
    <x v="1"/>
    <n v="128.59"/>
    <s v="Warehouse A"/>
    <x v="600"/>
    <d v="2024-09-16T00:00:00"/>
    <s v="High demand"/>
  </r>
  <r>
    <x v="66"/>
    <x v="1"/>
    <n v="87"/>
    <n v="92"/>
    <x v="1"/>
    <x v="1"/>
    <n v="135.31"/>
    <s v="Warehouse C"/>
    <x v="360"/>
    <d v="2024-07-01T00:00:00"/>
    <s v="Pending Coastal Logistics Partnersonfirmation"/>
  </r>
  <r>
    <x v="52"/>
    <x v="1"/>
    <n v="71"/>
    <n v="64"/>
    <x v="0"/>
    <x v="0"/>
    <n v="5.32"/>
    <s v="Warehouse C"/>
    <x v="493"/>
    <d v="2024-05-13T00:00:00"/>
    <s v="High demand"/>
  </r>
  <r>
    <x v="123"/>
    <x v="1"/>
    <n v="138"/>
    <n v="75"/>
    <x v="0"/>
    <x v="1"/>
    <n v="435.98"/>
    <s v="Warehouse C"/>
    <x v="653"/>
    <d v="2024-09-10T00:00:00"/>
    <m/>
  </r>
  <r>
    <x v="94"/>
    <x v="0"/>
    <n v="63"/>
    <n v="76"/>
    <x v="1"/>
    <x v="0"/>
    <n v="397.33"/>
    <s v="Warehouse B"/>
    <x v="542"/>
    <d v="2025-01-27T00:00:00"/>
    <s v="Pending Coastal Logistics Partnersonfirmation"/>
  </r>
  <r>
    <x v="100"/>
    <x v="0"/>
    <n v="71"/>
    <n v="40"/>
    <x v="0"/>
    <x v="1"/>
    <n v="315.52999999999997"/>
    <s v="Warehouse B"/>
    <x v="382"/>
    <d v="2024-06-28T00:00:00"/>
    <s v="Pending Coastal Logistics Partnersonfirmation"/>
  </r>
  <r>
    <x v="61"/>
    <x v="1"/>
    <n v="20"/>
    <n v="87"/>
    <x v="1"/>
    <x v="0"/>
    <n v="376.38"/>
    <s v="Warehouse A"/>
    <x v="583"/>
    <d v="2024-02-29T00:00:00"/>
    <s v="Pending Coastal Logistics Partnersonfirmation"/>
  </r>
  <r>
    <x v="90"/>
    <x v="2"/>
    <n v="17"/>
    <n v="69"/>
    <x v="1"/>
    <x v="0"/>
    <n v="80.260000000000005"/>
    <s v="Warehouse B"/>
    <x v="637"/>
    <d v="2024-09-08T00:00:00"/>
    <s v="High demand"/>
  </r>
  <r>
    <x v="125"/>
    <x v="4"/>
    <n v="63"/>
    <n v="52"/>
    <x v="0"/>
    <x v="2"/>
    <n v="231.87"/>
    <s v="Warehouse A"/>
    <x v="571"/>
    <d v="2024-10-03T00:00:00"/>
    <m/>
  </r>
  <r>
    <x v="56"/>
    <x v="4"/>
    <n v="81"/>
    <n v="26"/>
    <x v="0"/>
    <x v="1"/>
    <n v="178.85"/>
    <s v="Warehouse A"/>
    <x v="550"/>
    <d v="2024-04-07T00:00:00"/>
    <s v="Discontinued"/>
  </r>
  <r>
    <x v="51"/>
    <x v="2"/>
    <n v="109"/>
    <n v="89"/>
    <x v="0"/>
    <x v="1"/>
    <n v="51.42"/>
    <s v="Warehouse A"/>
    <x v="343"/>
    <d v="2024-07-24T00:00:00"/>
    <s v="High demand"/>
  </r>
  <r>
    <x v="82"/>
    <x v="1"/>
    <n v="94"/>
    <n v="34"/>
    <x v="0"/>
    <x v="0"/>
    <n v="245.63"/>
    <s v="Warehouse B"/>
    <x v="421"/>
    <d v="2024-07-14T00:00:00"/>
    <s v="Discontinued"/>
  </r>
  <r>
    <x v="107"/>
    <x v="0"/>
    <n v="165"/>
    <n v="51"/>
    <x v="0"/>
    <x v="0"/>
    <n v="460.77"/>
    <s v="Warehouse C"/>
    <x v="576"/>
    <d v="2025-02-08T00:00:00"/>
    <s v="Pending Coastal Logistics Partnersonfirmation"/>
  </r>
  <r>
    <x v="31"/>
    <x v="4"/>
    <n v="31"/>
    <n v="94"/>
    <x v="1"/>
    <x v="0"/>
    <n v="24.83"/>
    <s v="Warehouse B"/>
    <x v="654"/>
    <d v="2024-12-08T00:00:00"/>
    <s v="Pending Coastal Logistics Partnersonfirmation"/>
  </r>
  <r>
    <x v="80"/>
    <x v="3"/>
    <n v="10"/>
    <n v="39"/>
    <x v="1"/>
    <x v="2"/>
    <n v="149.27000000000001"/>
    <s v="Warehouse A"/>
    <x v="576"/>
    <d v="2024-12-27T00:00:00"/>
    <s v="High demand"/>
  </r>
  <r>
    <x v="59"/>
    <x v="3"/>
    <n v="44"/>
    <n v="34"/>
    <x v="0"/>
    <x v="2"/>
    <n v="107.73"/>
    <s v="Warehouse A"/>
    <x v="645"/>
    <d v="2024-02-24T00:00:00"/>
    <m/>
  </r>
  <r>
    <x v="136"/>
    <x v="2"/>
    <n v="32"/>
    <n v="67"/>
    <x v="1"/>
    <x v="0"/>
    <n v="122.88"/>
    <s v="Warehouse B"/>
    <x v="597"/>
    <d v="2024-09-13T00:00:00"/>
    <s v="Pending Coastal Logistics Partnersonfirmation"/>
  </r>
  <r>
    <x v="43"/>
    <x v="1"/>
    <n v="101"/>
    <n v="90"/>
    <x v="0"/>
    <x v="1"/>
    <n v="454.68"/>
    <s v="Warehouse A"/>
    <x v="634"/>
    <d v="2024-12-07T00:00:00"/>
    <s v="Discontinued"/>
  </r>
  <r>
    <x v="93"/>
    <x v="4"/>
    <n v="168"/>
    <n v="40"/>
    <x v="0"/>
    <x v="1"/>
    <n v="236.69"/>
    <s v="Warehouse A"/>
    <x v="652"/>
    <d v="2024-06-14T00:00:00"/>
    <s v="Discontinued"/>
  </r>
  <r>
    <x v="129"/>
    <x v="1"/>
    <n v="135"/>
    <n v="61"/>
    <x v="0"/>
    <x v="2"/>
    <n v="235.82"/>
    <s v="Warehouse B"/>
    <x v="550"/>
    <d v="2024-04-28T00:00:00"/>
    <s v="High demand"/>
  </r>
  <r>
    <x v="6"/>
    <x v="4"/>
    <n v="10"/>
    <n v="45"/>
    <x v="1"/>
    <x v="2"/>
    <n v="381.48"/>
    <s v="Warehouse B"/>
    <x v="634"/>
    <d v="2024-12-17T00:00:00"/>
    <s v="Discontinued"/>
  </r>
  <r>
    <x v="90"/>
    <x v="2"/>
    <n v="178"/>
    <n v="33"/>
    <x v="0"/>
    <x v="0"/>
    <n v="81.47"/>
    <s v="Warehouse B"/>
    <x v="618"/>
    <d v="2024-05-11T00:00:00"/>
    <m/>
  </r>
  <r>
    <x v="75"/>
    <x v="2"/>
    <n v="87"/>
    <n v="76"/>
    <x v="0"/>
    <x v="1"/>
    <n v="246.2"/>
    <s v="Warehouse A"/>
    <x v="596"/>
    <d v="2024-10-16T00:00:00"/>
    <s v="Pending Coastal Logistics Partnersonfirmation"/>
  </r>
  <r>
    <x v="122"/>
    <x v="3"/>
    <n v="40"/>
    <n v="56"/>
    <x v="1"/>
    <x v="0"/>
    <n v="217.84"/>
    <s v="Warehouse A"/>
    <x v="435"/>
    <d v="2024-07-24T00:00:00"/>
    <s v="Discontinued"/>
  </r>
  <r>
    <x v="106"/>
    <x v="1"/>
    <n v="144"/>
    <n v="77"/>
    <x v="0"/>
    <x v="2"/>
    <n v="300.47000000000003"/>
    <s v="Warehouse C"/>
    <x v="534"/>
    <d v="2024-05-27T00:00:00"/>
    <s v="Discontinued"/>
  </r>
  <r>
    <x v="16"/>
    <x v="3"/>
    <n v="75"/>
    <n v="40"/>
    <x v="0"/>
    <x v="1"/>
    <n v="499.78"/>
    <s v="Warehouse C"/>
    <x v="369"/>
    <d v="2024-12-14T00:00:00"/>
    <s v="Pending Coastal Logistics Partnersonfirmation"/>
  </r>
  <r>
    <x v="92"/>
    <x v="1"/>
    <n v="120"/>
    <n v="88"/>
    <x v="0"/>
    <x v="1"/>
    <n v="385.88"/>
    <s v="Warehouse B"/>
    <x v="350"/>
    <d v="2024-03-12T00:00:00"/>
    <s v="High demand"/>
  </r>
  <r>
    <x v="2"/>
    <x v="3"/>
    <n v="45"/>
    <n v="22"/>
    <x v="0"/>
    <x v="2"/>
    <n v="201.94"/>
    <s v="Warehouse C"/>
    <x v="553"/>
    <d v="2024-12-14T00:00:00"/>
    <s v="Discontinued"/>
  </r>
  <r>
    <x v="67"/>
    <x v="0"/>
    <n v="159"/>
    <n v="56"/>
    <x v="0"/>
    <x v="0"/>
    <n v="414.64"/>
    <s v="Warehouse A"/>
    <x v="655"/>
    <d v="2025-01-23T00:00:00"/>
    <s v="High demand"/>
  </r>
  <r>
    <x v="44"/>
    <x v="0"/>
    <n v="79"/>
    <n v="68"/>
    <x v="0"/>
    <x v="0"/>
    <n v="89.5"/>
    <s v="Warehouse C"/>
    <x v="656"/>
    <d v="2024-06-04T00:00:00"/>
    <s v="High demand"/>
  </r>
  <r>
    <x v="105"/>
    <x v="0"/>
    <n v="53"/>
    <n v="38"/>
    <x v="0"/>
    <x v="1"/>
    <n v="20.079999999999998"/>
    <s v="Warehouse A"/>
    <x v="515"/>
    <d v="2025-02-03T00:00:00"/>
    <s v="Discontinued"/>
  </r>
  <r>
    <x v="64"/>
    <x v="0"/>
    <n v="85"/>
    <n v="31"/>
    <x v="0"/>
    <x v="2"/>
    <n v="106.2"/>
    <s v="Warehouse B"/>
    <x v="367"/>
    <d v="2024-06-10T00:00:00"/>
    <m/>
  </r>
  <r>
    <x v="73"/>
    <x v="4"/>
    <n v="91"/>
    <n v="80"/>
    <x v="0"/>
    <x v="1"/>
    <n v="173.5"/>
    <s v="Warehouse B"/>
    <x v="598"/>
    <d v="2024-03-13T00:00:00"/>
    <s v="High demand"/>
  </r>
  <r>
    <x v="120"/>
    <x v="0"/>
    <n v="147"/>
    <n v="60"/>
    <x v="0"/>
    <x v="2"/>
    <n v="257.74"/>
    <s v="Warehouse A"/>
    <x v="657"/>
    <d v="2024-06-30T00:00:00"/>
    <s v="Discontinued"/>
  </r>
  <r>
    <x v="115"/>
    <x v="2"/>
    <n v="160"/>
    <n v="52"/>
    <x v="0"/>
    <x v="0"/>
    <n v="309.49"/>
    <s v="Warehouse C"/>
    <x v="473"/>
    <d v="2024-03-18T00:00:00"/>
    <s v="High demand"/>
  </r>
  <r>
    <x v="103"/>
    <x v="2"/>
    <n v="167"/>
    <n v="69"/>
    <x v="0"/>
    <x v="2"/>
    <n v="455.75"/>
    <s v="Warehouse B"/>
    <x v="625"/>
    <d v="2024-04-23T00:00:00"/>
    <s v="Pending Coastal Logistics Partnersonfirmation"/>
  </r>
  <r>
    <x v="126"/>
    <x v="4"/>
    <n v="159"/>
    <n v="87"/>
    <x v="0"/>
    <x v="0"/>
    <n v="257.38"/>
    <s v="Warehouse B"/>
    <x v="447"/>
    <d v="2024-04-09T00:00:00"/>
    <m/>
  </r>
  <r>
    <x v="130"/>
    <x v="0"/>
    <n v="96"/>
    <n v="90"/>
    <x v="0"/>
    <x v="2"/>
    <n v="253.13"/>
    <s v="Warehouse C"/>
    <x v="439"/>
    <d v="2024-05-03T00:00:00"/>
    <m/>
  </r>
  <r>
    <x v="118"/>
    <x v="0"/>
    <n v="1"/>
    <n v="52"/>
    <x v="1"/>
    <x v="1"/>
    <n v="29.87"/>
    <s v="Warehouse C"/>
    <x v="559"/>
    <d v="2024-12-12T00:00:00"/>
    <s v="Pending Coastal Logistics Partnersonfirmation"/>
  </r>
  <r>
    <x v="120"/>
    <x v="0"/>
    <n v="32"/>
    <n v="43"/>
    <x v="1"/>
    <x v="0"/>
    <n v="22.28"/>
    <s v="Warehouse A"/>
    <x v="552"/>
    <d v="2024-12-07T00:00:00"/>
    <s v="Pending Coastal Logistics Partnersonfirmation"/>
  </r>
  <r>
    <x v="49"/>
    <x v="3"/>
    <n v="157"/>
    <n v="80"/>
    <x v="0"/>
    <x v="1"/>
    <n v="277.82"/>
    <s v="Warehouse C"/>
    <x v="586"/>
    <d v="2024-09-30T00:00:00"/>
    <s v="High demand"/>
  </r>
  <r>
    <x v="95"/>
    <x v="1"/>
    <n v="160"/>
    <n v="80"/>
    <x v="0"/>
    <x v="1"/>
    <n v="221.9"/>
    <s v="Warehouse C"/>
    <x v="519"/>
    <d v="2024-12-30T00:00:00"/>
    <s v="Pending Coastal Logistics Partnersonfirmation"/>
  </r>
  <r>
    <x v="115"/>
    <x v="3"/>
    <n v="76"/>
    <n v="47"/>
    <x v="0"/>
    <x v="0"/>
    <n v="420.39"/>
    <s v="Warehouse C"/>
    <x v="627"/>
    <d v="2024-07-26T00:00:00"/>
    <m/>
  </r>
  <r>
    <x v="86"/>
    <x v="1"/>
    <n v="115"/>
    <n v="77"/>
    <x v="0"/>
    <x v="0"/>
    <n v="84.54"/>
    <s v="Warehouse A"/>
    <x v="577"/>
    <d v="2024-05-06T00:00:00"/>
    <s v="Pending Coastal Logistics Partnersonfirmation"/>
  </r>
  <r>
    <x v="138"/>
    <x v="0"/>
    <n v="153"/>
    <n v="62"/>
    <x v="0"/>
    <x v="1"/>
    <n v="17.36"/>
    <s v="Warehouse A"/>
    <x v="592"/>
    <d v="2025-02-16T00:00:00"/>
    <s v="Discontinued"/>
  </r>
  <r>
    <x v="82"/>
    <x v="0"/>
    <n v="149"/>
    <n v="60"/>
    <x v="0"/>
    <x v="1"/>
    <n v="227.27"/>
    <s v="Warehouse B"/>
    <x v="416"/>
    <d v="2024-04-28T00:00:00"/>
    <s v="Discontinued"/>
  </r>
  <r>
    <x v="106"/>
    <x v="3"/>
    <n v="102"/>
    <n v="58"/>
    <x v="0"/>
    <x v="1"/>
    <n v="122.55"/>
    <s v="Warehouse A"/>
    <x v="346"/>
    <d v="2024-05-02T00:00:00"/>
    <s v="High demand"/>
  </r>
  <r>
    <x v="76"/>
    <x v="3"/>
    <n v="193"/>
    <n v="68"/>
    <x v="0"/>
    <x v="1"/>
    <n v="29.56"/>
    <s v="Warehouse B"/>
    <x v="587"/>
    <d v="2024-06-08T00:00:00"/>
    <m/>
  </r>
  <r>
    <x v="137"/>
    <x v="1"/>
    <n v="165"/>
    <n v="36"/>
    <x v="0"/>
    <x v="0"/>
    <n v="363.68"/>
    <s v="Warehouse C"/>
    <x v="553"/>
    <d v="2024-12-14T00:00:00"/>
    <s v="Discontinued"/>
  </r>
  <r>
    <x v="31"/>
    <x v="2"/>
    <n v="102"/>
    <n v="89"/>
    <x v="0"/>
    <x v="0"/>
    <n v="60.24"/>
    <s v="Warehouse B"/>
    <x v="586"/>
    <d v="2024-08-26T00:00:00"/>
    <s v="Pending Coastal Logistics Partnersonfirmation"/>
  </r>
  <r>
    <x v="52"/>
    <x v="1"/>
    <n v="89"/>
    <n v="89"/>
    <x v="0"/>
    <x v="1"/>
    <n v="306.12"/>
    <s v="Warehouse B"/>
    <x v="395"/>
    <d v="2024-06-08T00:00:00"/>
    <s v="Discontinued"/>
  </r>
  <r>
    <x v="102"/>
    <x v="3"/>
    <n v="173"/>
    <n v="84"/>
    <x v="0"/>
    <x v="2"/>
    <n v="144.12"/>
    <s v="Warehouse C"/>
    <x v="583"/>
    <d v="2024-02-20T00:00:00"/>
    <s v="Discontinued"/>
  </r>
  <r>
    <x v="117"/>
    <x v="3"/>
    <n v="121"/>
    <n v="93"/>
    <x v="0"/>
    <x v="2"/>
    <n v="90.88"/>
    <s v="Warehouse B"/>
    <x v="358"/>
    <d v="2024-04-24T00:00:00"/>
    <s v="High demand"/>
  </r>
  <r>
    <x v="99"/>
    <x v="4"/>
    <n v="142"/>
    <n v="24"/>
    <x v="0"/>
    <x v="0"/>
    <n v="192.98"/>
    <s v="Warehouse A"/>
    <x v="658"/>
    <d v="2025-01-01T00:00:00"/>
    <s v="Pending Coastal Logistics Partnersonfirmation"/>
  </r>
  <r>
    <x v="128"/>
    <x v="3"/>
    <n v="105"/>
    <n v="21"/>
    <x v="0"/>
    <x v="1"/>
    <n v="401.72"/>
    <s v="Warehouse A"/>
    <x v="395"/>
    <d v="2024-06-19T00:00:00"/>
    <s v="Pending Coastal Logistics Partnersonfirmation"/>
  </r>
  <r>
    <x v="134"/>
    <x v="4"/>
    <n v="118"/>
    <n v="41"/>
    <x v="0"/>
    <x v="1"/>
    <n v="199.09"/>
    <s v="Warehouse A"/>
    <x v="656"/>
    <d v="2024-05-18T00:00:00"/>
    <s v="Pending Coastal Logistics Partnersonfirmation"/>
  </r>
  <r>
    <x v="95"/>
    <x v="2"/>
    <n v="171"/>
    <n v="76"/>
    <x v="0"/>
    <x v="0"/>
    <n v="376.63"/>
    <s v="Warehouse A"/>
    <x v="659"/>
    <d v="2024-08-25T00:00:00"/>
    <s v="High demand"/>
  </r>
  <r>
    <x v="6"/>
    <x v="1"/>
    <n v="48"/>
    <n v="85"/>
    <x v="1"/>
    <x v="2"/>
    <n v="67.12"/>
    <s v="Warehouse B"/>
    <x v="660"/>
    <d v="2024-06-20T00:00:00"/>
    <s v="Pending Coastal Logistics Partnersonfirmation"/>
  </r>
  <r>
    <x v="49"/>
    <x v="1"/>
    <n v="103"/>
    <n v="93"/>
    <x v="0"/>
    <x v="2"/>
    <n v="387.52"/>
    <s v="Warehouse B"/>
    <x v="515"/>
    <d v="2025-01-09T00:00:00"/>
    <s v="Pending Coastal Logistics Partnersonfirmation"/>
  </r>
  <r>
    <x v="131"/>
    <x v="4"/>
    <n v="60"/>
    <n v="35"/>
    <x v="0"/>
    <x v="2"/>
    <n v="122.28"/>
    <s v="Warehouse C"/>
    <x v="455"/>
    <d v="2024-08-02T00:00:00"/>
    <s v="Discontinued"/>
  </r>
  <r>
    <x v="60"/>
    <x v="1"/>
    <n v="194"/>
    <n v="70"/>
    <x v="0"/>
    <x v="0"/>
    <n v="340.31"/>
    <s v="Warehouse B"/>
    <x v="526"/>
    <d v="2024-07-24T00:00:00"/>
    <s v="Discontinued"/>
  </r>
  <r>
    <x v="70"/>
    <x v="3"/>
    <n v="122"/>
    <n v="58"/>
    <x v="0"/>
    <x v="2"/>
    <n v="285.06"/>
    <s v="Warehouse B"/>
    <x v="587"/>
    <d v="2024-06-11T00:00:00"/>
    <s v="Pending Coastal Logistics Partnersonfirmation"/>
  </r>
  <r>
    <x v="103"/>
    <x v="0"/>
    <n v="133"/>
    <n v="95"/>
    <x v="0"/>
    <x v="0"/>
    <n v="464.93"/>
    <s v="Warehouse B"/>
    <x v="629"/>
    <d v="2024-12-13T00:00:00"/>
    <m/>
  </r>
  <r>
    <x v="51"/>
    <x v="4"/>
    <n v="8"/>
    <n v="59"/>
    <x v="1"/>
    <x v="0"/>
    <n v="196.72"/>
    <s v="Warehouse C"/>
    <x v="491"/>
    <d v="2024-03-31T00:00:00"/>
    <m/>
  </r>
  <r>
    <x v="131"/>
    <x v="1"/>
    <n v="5"/>
    <n v="57"/>
    <x v="1"/>
    <x v="1"/>
    <n v="37.75"/>
    <s v="Warehouse A"/>
    <x v="343"/>
    <d v="2024-06-07T00:00:00"/>
    <s v="Pending Coastal Logistics Partnersonfirmation"/>
  </r>
  <r>
    <x v="108"/>
    <x v="4"/>
    <n v="72"/>
    <n v="79"/>
    <x v="1"/>
    <x v="2"/>
    <n v="14.48"/>
    <s v="Warehouse B"/>
    <x v="552"/>
    <d v="2024-10-09T00:00:00"/>
    <m/>
  </r>
  <r>
    <x v="97"/>
    <x v="4"/>
    <n v="102"/>
    <n v="78"/>
    <x v="0"/>
    <x v="0"/>
    <n v="414.29"/>
    <s v="Warehouse C"/>
    <x v="628"/>
    <d v="2024-06-25T00:00:00"/>
    <s v="High demand"/>
  </r>
  <r>
    <x v="62"/>
    <x v="0"/>
    <n v="159"/>
    <n v="29"/>
    <x v="0"/>
    <x v="2"/>
    <n v="264.74"/>
    <s v="Warehouse C"/>
    <x v="661"/>
    <d v="2024-12-15T00:00:00"/>
    <s v="Discontinued"/>
  </r>
  <r>
    <x v="57"/>
    <x v="3"/>
    <n v="40"/>
    <n v="83"/>
    <x v="1"/>
    <x v="2"/>
    <n v="388.75"/>
    <s v="Warehouse C"/>
    <x v="396"/>
    <d v="2024-12-07T00:00:00"/>
    <s v="High demand"/>
  </r>
  <r>
    <x v="63"/>
    <x v="4"/>
    <n v="113"/>
    <n v="82"/>
    <x v="0"/>
    <x v="1"/>
    <n v="121.04"/>
    <s v="Warehouse A"/>
    <x v="392"/>
    <d v="2025-01-19T00:00:00"/>
    <s v="Discontinued"/>
  </r>
  <r>
    <x v="94"/>
    <x v="1"/>
    <n v="7"/>
    <n v="68"/>
    <x v="1"/>
    <x v="2"/>
    <n v="175.82"/>
    <s v="Warehouse B"/>
    <x v="443"/>
    <d v="2024-07-29T00:00:00"/>
    <m/>
  </r>
  <r>
    <x v="74"/>
    <x v="2"/>
    <n v="71"/>
    <n v="83"/>
    <x v="1"/>
    <x v="1"/>
    <n v="19.899999999999999"/>
    <s v="Warehouse C"/>
    <x v="650"/>
    <d v="2024-05-09T00:00:00"/>
    <m/>
  </r>
  <r>
    <x v="125"/>
    <x v="4"/>
    <n v="177"/>
    <n v="51"/>
    <x v="0"/>
    <x v="0"/>
    <n v="480.94"/>
    <s v="Warehouse A"/>
    <x v="583"/>
    <d v="2024-04-16T00:00:00"/>
    <s v="Pending Coastal Logistics Partnersonfirmation"/>
  </r>
  <r>
    <x v="51"/>
    <x v="4"/>
    <n v="91"/>
    <n v="26"/>
    <x v="0"/>
    <x v="2"/>
    <n v="335.59"/>
    <s v="Warehouse C"/>
    <x v="612"/>
    <d v="2024-09-07T00:00:00"/>
    <m/>
  </r>
  <r>
    <x v="104"/>
    <x v="0"/>
    <n v="61"/>
    <n v="40"/>
    <x v="0"/>
    <x v="0"/>
    <n v="466.94"/>
    <s v="Warehouse C"/>
    <x v="648"/>
    <d v="2024-10-31T00:00:00"/>
    <m/>
  </r>
  <r>
    <x v="73"/>
    <x v="3"/>
    <n v="83"/>
    <n v="39"/>
    <x v="0"/>
    <x v="2"/>
    <n v="136.41999999999999"/>
    <s v="Warehouse C"/>
    <x v="662"/>
    <d v="2024-07-23T00:00:00"/>
    <s v="Pending Coastal Logistics Partnersonfirmation"/>
  </r>
  <r>
    <x v="131"/>
    <x v="2"/>
    <n v="61"/>
    <n v="45"/>
    <x v="0"/>
    <x v="0"/>
    <n v="307.67"/>
    <s v="Warehouse C"/>
    <x v="371"/>
    <d v="2024-09-17T00:00:00"/>
    <s v="Pending Coastal Logistics Partnersonfirmation"/>
  </r>
  <r>
    <x v="82"/>
    <x v="1"/>
    <n v="110"/>
    <n v="87"/>
    <x v="0"/>
    <x v="2"/>
    <n v="340.86"/>
    <s v="Warehouse C"/>
    <x v="624"/>
    <d v="2024-08-22T00:00:00"/>
    <s v="Discontinued"/>
  </r>
  <r>
    <x v="125"/>
    <x v="2"/>
    <n v="126"/>
    <n v="34"/>
    <x v="0"/>
    <x v="2"/>
    <n v="162.19"/>
    <s v="Warehouse A"/>
    <x v="663"/>
    <d v="2024-08-08T00:00:00"/>
    <m/>
  </r>
  <r>
    <x v="55"/>
    <x v="1"/>
    <n v="6"/>
    <n v="98"/>
    <x v="1"/>
    <x v="2"/>
    <n v="424.81"/>
    <s v="Warehouse B"/>
    <x v="520"/>
    <d v="2024-10-12T00:00:00"/>
    <s v="Discontinued"/>
  </r>
  <r>
    <x v="123"/>
    <x v="3"/>
    <n v="83"/>
    <n v="33"/>
    <x v="0"/>
    <x v="2"/>
    <n v="473.84"/>
    <s v="Warehouse B"/>
    <x v="364"/>
    <d v="2025-01-12T00:00:00"/>
    <s v="Discontinued"/>
  </r>
  <r>
    <x v="64"/>
    <x v="1"/>
    <n v="131"/>
    <n v="46"/>
    <x v="0"/>
    <x v="2"/>
    <n v="443"/>
    <s v="Warehouse B"/>
    <x v="348"/>
    <d v="2024-05-31T00:00:00"/>
    <s v="High demand"/>
  </r>
  <r>
    <x v="54"/>
    <x v="0"/>
    <n v="133"/>
    <n v="59"/>
    <x v="0"/>
    <x v="2"/>
    <n v="370.84"/>
    <s v="Warehouse B"/>
    <x v="357"/>
    <d v="2024-12-25T00:00:00"/>
    <m/>
  </r>
  <r>
    <x v="87"/>
    <x v="0"/>
    <n v="57"/>
    <n v="77"/>
    <x v="1"/>
    <x v="2"/>
    <n v="142.35"/>
    <s v="Warehouse A"/>
    <x v="384"/>
    <d v="2024-02-26T00:00:00"/>
    <m/>
  </r>
  <r>
    <x v="16"/>
    <x v="0"/>
    <n v="21"/>
    <n v="47"/>
    <x v="1"/>
    <x v="2"/>
    <n v="144.4"/>
    <s v="Warehouse A"/>
    <x v="400"/>
    <d v="2025-02-04T00:00:00"/>
    <s v="High demand"/>
  </r>
  <r>
    <x v="49"/>
    <x v="0"/>
    <n v="153"/>
    <n v="45"/>
    <x v="0"/>
    <x v="2"/>
    <n v="481.86"/>
    <s v="Warehouse A"/>
    <x v="397"/>
    <d v="2024-07-17T00:00:00"/>
    <s v="Discontinued"/>
  </r>
  <r>
    <x v="92"/>
    <x v="2"/>
    <n v="126"/>
    <n v="82"/>
    <x v="0"/>
    <x v="0"/>
    <n v="10.09"/>
    <s v="Warehouse C"/>
    <x v="526"/>
    <d v="2024-06-11T00:00:00"/>
    <m/>
  </r>
  <r>
    <x v="51"/>
    <x v="3"/>
    <n v="2"/>
    <n v="85"/>
    <x v="1"/>
    <x v="1"/>
    <n v="359.44"/>
    <s v="Warehouse C"/>
    <x v="498"/>
    <d v="2024-03-11T00:00:00"/>
    <s v="Discontinued"/>
  </r>
  <r>
    <x v="44"/>
    <x v="1"/>
    <n v="126"/>
    <n v="44"/>
    <x v="0"/>
    <x v="2"/>
    <n v="354.59"/>
    <s v="Warehouse C"/>
    <x v="610"/>
    <d v="2024-04-16T00:00:00"/>
    <s v="High demand"/>
  </r>
  <r>
    <x v="65"/>
    <x v="1"/>
    <n v="40"/>
    <n v="22"/>
    <x v="0"/>
    <x v="1"/>
    <n v="313.23"/>
    <s v="Warehouse B"/>
    <x v="346"/>
    <d v="2024-05-17T00:00:00"/>
    <s v="Pending Coastal Logistics Partnersonfirmation"/>
  </r>
  <r>
    <x v="80"/>
    <x v="0"/>
    <n v="187"/>
    <n v="91"/>
    <x v="0"/>
    <x v="2"/>
    <n v="495.1"/>
    <s v="Warehouse C"/>
    <x v="513"/>
    <d v="2024-06-22T00:00:00"/>
    <s v="Discontinued"/>
  </r>
  <r>
    <x v="58"/>
    <x v="0"/>
    <n v="105"/>
    <n v="63"/>
    <x v="0"/>
    <x v="2"/>
    <n v="159.38"/>
    <s v="Warehouse B"/>
    <x v="483"/>
    <d v="2024-04-27T00:00:00"/>
    <m/>
  </r>
  <r>
    <x v="127"/>
    <x v="4"/>
    <n v="13"/>
    <n v="61"/>
    <x v="1"/>
    <x v="0"/>
    <n v="173.29"/>
    <s v="Warehouse C"/>
    <x v="580"/>
    <d v="2024-07-14T00:00:00"/>
    <s v="Pending Coastal Logistics Partnersonfirmation"/>
  </r>
  <r>
    <x v="66"/>
    <x v="3"/>
    <n v="11"/>
    <n v="25"/>
    <x v="1"/>
    <x v="0"/>
    <n v="44.08"/>
    <s v="Warehouse B"/>
    <x v="555"/>
    <d v="2024-03-21T00:00:00"/>
    <s v="Discontinued"/>
  </r>
  <r>
    <x v="33"/>
    <x v="2"/>
    <n v="86"/>
    <n v="58"/>
    <x v="0"/>
    <x v="1"/>
    <n v="224.19"/>
    <s v="Warehouse C"/>
    <x v="567"/>
    <d v="2024-09-07T00:00:00"/>
    <s v="Discontinued"/>
  </r>
  <r>
    <x v="106"/>
    <x v="1"/>
    <n v="11"/>
    <n v="71"/>
    <x v="1"/>
    <x v="0"/>
    <n v="134.22"/>
    <s v="Warehouse C"/>
    <x v="664"/>
    <d v="2024-06-06T00:00:00"/>
    <s v="Pending Coastal Logistics Partnersonfirmation"/>
  </r>
  <r>
    <x v="128"/>
    <x v="4"/>
    <n v="140"/>
    <n v="42"/>
    <x v="0"/>
    <x v="0"/>
    <n v="174.98"/>
    <s v="Warehouse A"/>
    <x v="406"/>
    <d v="2025-01-26T00:00:00"/>
    <s v="Pending Coastal Logistics Partnersonfirmation"/>
  </r>
  <r>
    <x v="62"/>
    <x v="4"/>
    <n v="24"/>
    <n v="69"/>
    <x v="1"/>
    <x v="1"/>
    <n v="418.11"/>
    <s v="Warehouse C"/>
    <x v="650"/>
    <d v="2024-04-09T00:00:00"/>
    <s v="Pending Coastal Logistics Partnersonfirmation"/>
  </r>
  <r>
    <x v="106"/>
    <x v="1"/>
    <n v="44"/>
    <n v="62"/>
    <x v="1"/>
    <x v="0"/>
    <n v="468.06"/>
    <s v="Warehouse C"/>
    <x v="515"/>
    <d v="2025-01-31T00:00:00"/>
    <m/>
  </r>
  <r>
    <x v="112"/>
    <x v="2"/>
    <n v="121"/>
    <n v="38"/>
    <x v="0"/>
    <x v="2"/>
    <n v="96.94"/>
    <s v="Warehouse A"/>
    <x v="553"/>
    <d v="2024-12-03T00:00:00"/>
    <m/>
  </r>
  <r>
    <x v="2"/>
    <x v="4"/>
    <n v="146"/>
    <n v="88"/>
    <x v="0"/>
    <x v="1"/>
    <n v="189.39"/>
    <s v="Warehouse B"/>
    <x v="430"/>
    <d v="2024-11-23T00:00:00"/>
    <s v="Discontinued"/>
  </r>
  <r>
    <x v="120"/>
    <x v="4"/>
    <n v="54"/>
    <n v="70"/>
    <x v="1"/>
    <x v="1"/>
    <n v="464.67"/>
    <s v="Warehouse A"/>
    <x v="665"/>
    <d v="2025-02-20T00:00:00"/>
    <s v="Discontinued"/>
  </r>
  <r>
    <x v="95"/>
    <x v="3"/>
    <n v="99"/>
    <n v="30"/>
    <x v="0"/>
    <x v="2"/>
    <n v="35.6"/>
    <s v="Warehouse A"/>
    <x v="525"/>
    <d v="2024-08-28T00:00:00"/>
    <s v="High demand"/>
  </r>
  <r>
    <x v="97"/>
    <x v="2"/>
    <n v="172"/>
    <n v="31"/>
    <x v="0"/>
    <x v="0"/>
    <n v="50.72"/>
    <s v="Warehouse B"/>
    <x v="364"/>
    <d v="2025-03-16T00:00:00"/>
    <m/>
  </r>
  <r>
    <x v="117"/>
    <x v="4"/>
    <n v="135"/>
    <n v="93"/>
    <x v="0"/>
    <x v="1"/>
    <n v="85.58"/>
    <s v="Warehouse C"/>
    <x v="631"/>
    <d v="2024-03-30T00:00:00"/>
    <s v="Discontinued"/>
  </r>
  <r>
    <x v="114"/>
    <x v="2"/>
    <n v="118"/>
    <n v="27"/>
    <x v="0"/>
    <x v="1"/>
    <n v="299.63"/>
    <s v="Warehouse B"/>
    <x v="411"/>
    <d v="2024-06-07T00:00:00"/>
    <s v="Pending Coastal Logistics Partnersonfirmation"/>
  </r>
  <r>
    <x v="55"/>
    <x v="1"/>
    <n v="52"/>
    <n v="43"/>
    <x v="0"/>
    <x v="2"/>
    <n v="79.48"/>
    <s v="Warehouse C"/>
    <x v="666"/>
    <d v="2024-06-01T00:00:00"/>
    <s v="Pending Coastal Logistics Partnersonfirmation"/>
  </r>
  <r>
    <x v="98"/>
    <x v="0"/>
    <n v="182"/>
    <n v="60"/>
    <x v="0"/>
    <x v="2"/>
    <n v="484.2"/>
    <s v="Warehouse C"/>
    <x v="423"/>
    <d v="2024-12-19T00:00:00"/>
    <m/>
  </r>
  <r>
    <x v="113"/>
    <x v="4"/>
    <n v="31"/>
    <n v="55"/>
    <x v="1"/>
    <x v="0"/>
    <n v="226.12"/>
    <s v="Warehouse B"/>
    <x v="438"/>
    <d v="2024-10-04T00:00:00"/>
    <s v="Pending Coastal Logistics Partnersonfirmation"/>
  </r>
  <r>
    <x v="2"/>
    <x v="3"/>
    <n v="50"/>
    <n v="91"/>
    <x v="1"/>
    <x v="1"/>
    <n v="253.25"/>
    <s v="Warehouse A"/>
    <x v="371"/>
    <d v="2024-08-05T00:00:00"/>
    <s v="High demand"/>
  </r>
  <r>
    <x v="116"/>
    <x v="1"/>
    <n v="43"/>
    <n v="74"/>
    <x v="1"/>
    <x v="0"/>
    <n v="127.1"/>
    <s v="Warehouse B"/>
    <x v="530"/>
    <d v="2024-07-14T00:00:00"/>
    <s v="Discontinued"/>
  </r>
  <r>
    <x v="83"/>
    <x v="2"/>
    <n v="81"/>
    <n v="28"/>
    <x v="0"/>
    <x v="0"/>
    <n v="238.13"/>
    <s v="Warehouse C"/>
    <x v="667"/>
    <d v="2024-06-11T00:00:00"/>
    <s v="Discontinued"/>
  </r>
  <r>
    <x v="109"/>
    <x v="1"/>
    <n v="197"/>
    <n v="66"/>
    <x v="0"/>
    <x v="2"/>
    <n v="332.65"/>
    <s v="Warehouse B"/>
    <x v="611"/>
    <d v="2024-11-30T00:00:00"/>
    <s v="Discontinued"/>
  </r>
  <r>
    <x v="129"/>
    <x v="4"/>
    <n v="145"/>
    <n v="34"/>
    <x v="0"/>
    <x v="1"/>
    <n v="376.83"/>
    <s v="Warehouse B"/>
    <x v="562"/>
    <d v="2024-10-24T00:00:00"/>
    <m/>
  </r>
  <r>
    <x v="112"/>
    <x v="2"/>
    <n v="149"/>
    <n v="67"/>
    <x v="0"/>
    <x v="1"/>
    <n v="378.16"/>
    <s v="Warehouse C"/>
    <x v="668"/>
    <d v="2024-09-09T00:00:00"/>
    <s v="Pending Coastal Logistics Partnersonfirmation"/>
  </r>
  <r>
    <x v="114"/>
    <x v="0"/>
    <n v="36"/>
    <n v="61"/>
    <x v="1"/>
    <x v="1"/>
    <n v="291.06"/>
    <s v="Warehouse A"/>
    <x v="373"/>
    <d v="2024-12-30T00:00:00"/>
    <s v="High demand"/>
  </r>
  <r>
    <x v="16"/>
    <x v="1"/>
    <n v="95"/>
    <n v="79"/>
    <x v="0"/>
    <x v="2"/>
    <n v="452.66"/>
    <s v="Warehouse B"/>
    <x v="669"/>
    <d v="2024-11-23T00:00:00"/>
    <m/>
  </r>
  <r>
    <x v="56"/>
    <x v="4"/>
    <n v="55"/>
    <n v="89"/>
    <x v="1"/>
    <x v="2"/>
    <n v="409.62"/>
    <s v="Warehouse C"/>
    <x v="660"/>
    <d v="2024-06-18T00:00:00"/>
    <s v="Discontinued"/>
  </r>
  <r>
    <x v="76"/>
    <x v="3"/>
    <n v="104"/>
    <n v="31"/>
    <x v="0"/>
    <x v="2"/>
    <n v="379.74"/>
    <s v="Warehouse C"/>
    <x v="590"/>
    <d v="2024-11-13T00:00:00"/>
    <s v="High demand"/>
  </r>
  <r>
    <x v="96"/>
    <x v="2"/>
    <n v="58"/>
    <n v="21"/>
    <x v="0"/>
    <x v="2"/>
    <n v="32.520000000000003"/>
    <s v="Warehouse B"/>
    <x v="577"/>
    <d v="2024-05-30T00:00:00"/>
    <s v="Discontinued"/>
  </r>
  <r>
    <x v="91"/>
    <x v="1"/>
    <n v="130"/>
    <n v="26"/>
    <x v="0"/>
    <x v="2"/>
    <n v="8.4"/>
    <s v="Warehouse A"/>
    <x v="661"/>
    <d v="2024-12-24T00:00:00"/>
    <s v="Discontinued"/>
  </r>
  <r>
    <x v="87"/>
    <x v="1"/>
    <n v="155"/>
    <n v="99"/>
    <x v="0"/>
    <x v="1"/>
    <n v="110.16"/>
    <s v="Warehouse B"/>
    <x v="589"/>
    <d v="2024-07-12T00:00:00"/>
    <m/>
  </r>
  <r>
    <x v="97"/>
    <x v="0"/>
    <n v="34"/>
    <n v="22"/>
    <x v="0"/>
    <x v="0"/>
    <n v="333.44"/>
    <s v="Warehouse A"/>
    <x v="502"/>
    <d v="2025-01-07T00:00:00"/>
    <s v="Discontinued"/>
  </r>
  <r>
    <x v="49"/>
    <x v="0"/>
    <n v="188"/>
    <n v="22"/>
    <x v="0"/>
    <x v="1"/>
    <n v="208.54"/>
    <s v="Warehouse A"/>
    <x v="351"/>
    <d v="2024-09-23T00:00:00"/>
    <s v="High demand"/>
  </r>
  <r>
    <x v="127"/>
    <x v="3"/>
    <n v="92"/>
    <n v="46"/>
    <x v="0"/>
    <x v="0"/>
    <n v="204.19"/>
    <s v="Warehouse A"/>
    <x v="628"/>
    <d v="2024-05-26T00:00:00"/>
    <s v="Discontinued"/>
  </r>
  <r>
    <x v="57"/>
    <x v="3"/>
    <n v="181"/>
    <n v="59"/>
    <x v="0"/>
    <x v="2"/>
    <n v="442.87"/>
    <s v="Warehouse A"/>
    <x v="522"/>
    <d v="2024-09-13T00:00:00"/>
    <s v="Pending Coastal Logistics Partnersonfirmation"/>
  </r>
  <r>
    <x v="112"/>
    <x v="4"/>
    <n v="190"/>
    <n v="52"/>
    <x v="0"/>
    <x v="0"/>
    <n v="448.3"/>
    <s v="Warehouse B"/>
    <x v="646"/>
    <d v="2024-03-12T00:00:00"/>
    <s v="Discontinued"/>
  </r>
  <r>
    <x v="16"/>
    <x v="4"/>
    <n v="96"/>
    <n v="20"/>
    <x v="0"/>
    <x v="1"/>
    <n v="455.04"/>
    <s v="Warehouse C"/>
    <x v="519"/>
    <d v="2025-01-09T00:00:00"/>
    <m/>
  </r>
  <r>
    <x v="69"/>
    <x v="3"/>
    <n v="134"/>
    <n v="27"/>
    <x v="0"/>
    <x v="1"/>
    <n v="160.37"/>
    <s v="Warehouse C"/>
    <x v="466"/>
    <d v="2024-06-27T00:00:00"/>
    <s v="High demand"/>
  </r>
  <r>
    <x v="97"/>
    <x v="3"/>
    <n v="75"/>
    <n v="51"/>
    <x v="0"/>
    <x v="0"/>
    <n v="347.07"/>
    <s v="Warehouse C"/>
    <x v="665"/>
    <d v="2025-02-22T00:00:00"/>
    <m/>
  </r>
  <r>
    <x v="139"/>
    <x v="2"/>
    <n v="48"/>
    <n v="67"/>
    <x v="1"/>
    <x v="2"/>
    <n v="139.46"/>
    <s v="Warehouse C"/>
    <x v="645"/>
    <d v="2024-03-18T00:00:00"/>
    <s v="Pending Coastal Logistics Partnersonfirmation"/>
  </r>
  <r>
    <x v="135"/>
    <x v="0"/>
    <n v="93"/>
    <n v="23"/>
    <x v="0"/>
    <x v="2"/>
    <n v="99.35"/>
    <s v="Warehouse C"/>
    <x v="340"/>
    <d v="2024-04-26T00:00:00"/>
    <s v="Discontinued"/>
  </r>
  <r>
    <x v="88"/>
    <x v="4"/>
    <n v="158"/>
    <n v="89"/>
    <x v="0"/>
    <x v="1"/>
    <n v="96.39"/>
    <s v="Warehouse C"/>
    <x v="670"/>
    <d v="2024-03-04T00:00:00"/>
    <m/>
  </r>
  <r>
    <x v="57"/>
    <x v="0"/>
    <n v="185"/>
    <n v="38"/>
    <x v="0"/>
    <x v="0"/>
    <n v="174.34"/>
    <s v="Warehouse B"/>
    <x v="584"/>
    <d v="2024-09-07T00:00:00"/>
    <m/>
  </r>
  <r>
    <x v="6"/>
    <x v="0"/>
    <n v="188"/>
    <n v="51"/>
    <x v="0"/>
    <x v="2"/>
    <n v="217.83"/>
    <s v="Warehouse A"/>
    <x v="561"/>
    <d v="2024-07-20T00:00:00"/>
    <m/>
  </r>
  <r>
    <x v="137"/>
    <x v="3"/>
    <n v="23"/>
    <n v="28"/>
    <x v="1"/>
    <x v="2"/>
    <n v="416.32"/>
    <s v="Warehouse C"/>
    <x v="448"/>
    <d v="2024-09-24T00:00:00"/>
    <m/>
  </r>
  <r>
    <x v="137"/>
    <x v="2"/>
    <n v="147"/>
    <n v="31"/>
    <x v="0"/>
    <x v="1"/>
    <n v="64.349999999999994"/>
    <s v="Warehouse B"/>
    <x v="639"/>
    <d v="2024-10-09T00:00:00"/>
    <s v="Pending Coastal Logistics Partnersonfirmation"/>
  </r>
  <r>
    <x v="97"/>
    <x v="1"/>
    <n v="36"/>
    <n v="30"/>
    <x v="0"/>
    <x v="2"/>
    <n v="368.79"/>
    <s v="Warehouse C"/>
    <x v="524"/>
    <d v="2024-02-17T00:00:00"/>
    <s v="Pending Coastal Logistics Partnersonfirmation"/>
  </r>
  <r>
    <x v="95"/>
    <x v="2"/>
    <n v="3"/>
    <n v="65"/>
    <x v="1"/>
    <x v="0"/>
    <n v="268.07"/>
    <s v="Warehouse C"/>
    <x v="534"/>
    <d v="2024-07-19T00:00:00"/>
    <s v="Discontinued"/>
  </r>
  <r>
    <x v="58"/>
    <x v="2"/>
    <n v="107"/>
    <n v="35"/>
    <x v="0"/>
    <x v="1"/>
    <n v="147.53"/>
    <s v="Warehouse A"/>
    <x v="590"/>
    <d v="2024-09-18T00:00:00"/>
    <s v="Discontinued"/>
  </r>
  <r>
    <x v="103"/>
    <x v="0"/>
    <n v="125"/>
    <n v="20"/>
    <x v="0"/>
    <x v="1"/>
    <n v="248.95"/>
    <s v="Warehouse A"/>
    <x v="535"/>
    <d v="2024-05-07T00:00:00"/>
    <s v="High demand"/>
  </r>
  <r>
    <x v="99"/>
    <x v="2"/>
    <n v="19"/>
    <n v="82"/>
    <x v="1"/>
    <x v="0"/>
    <n v="153.47"/>
    <s v="Warehouse A"/>
    <x v="671"/>
    <d v="2025-02-12T00:00:00"/>
    <s v="Pending Coastal Logistics Partnersonfirmation"/>
  </r>
  <r>
    <x v="20"/>
    <x v="4"/>
    <n v="187"/>
    <n v="40"/>
    <x v="0"/>
    <x v="1"/>
    <n v="300.06"/>
    <s v="Warehouse C"/>
    <x v="614"/>
    <d v="2024-03-31T00:00:00"/>
    <m/>
  </r>
  <r>
    <x v="67"/>
    <x v="0"/>
    <n v="151"/>
    <n v="49"/>
    <x v="0"/>
    <x v="2"/>
    <n v="219.75"/>
    <s v="Warehouse C"/>
    <x v="667"/>
    <d v="2024-06-04T00:00:00"/>
    <m/>
  </r>
  <r>
    <x v="16"/>
    <x v="4"/>
    <n v="49"/>
    <n v="32"/>
    <x v="0"/>
    <x v="2"/>
    <n v="86.38"/>
    <s v="Warehouse C"/>
    <x v="639"/>
    <d v="2024-09-26T00:00:00"/>
    <s v="High demand"/>
  </r>
  <r>
    <x v="62"/>
    <x v="1"/>
    <n v="176"/>
    <n v="53"/>
    <x v="0"/>
    <x v="0"/>
    <n v="62.71"/>
    <s v="Warehouse A"/>
    <x v="651"/>
    <d v="2024-06-27T00:00:00"/>
    <m/>
  </r>
  <r>
    <x v="99"/>
    <x v="0"/>
    <n v="178"/>
    <n v="23"/>
    <x v="0"/>
    <x v="2"/>
    <n v="275.61"/>
    <s v="Warehouse B"/>
    <x v="521"/>
    <d v="2024-07-16T00:00:00"/>
    <s v="High demand"/>
  </r>
  <r>
    <x v="77"/>
    <x v="1"/>
    <n v="95"/>
    <n v="47"/>
    <x v="0"/>
    <x v="0"/>
    <n v="451.69"/>
    <s v="Warehouse C"/>
    <x v="350"/>
    <d v="2024-03-16T00:00:00"/>
    <s v="Discontinued"/>
  </r>
  <r>
    <x v="53"/>
    <x v="0"/>
    <n v="104"/>
    <n v="78"/>
    <x v="0"/>
    <x v="0"/>
    <n v="175.26"/>
    <s v="Warehouse C"/>
    <x v="541"/>
    <d v="2024-08-29T00:00:00"/>
    <s v="Pending Coastal Logistics Partnersonfirmation"/>
  </r>
  <r>
    <x v="130"/>
    <x v="3"/>
    <n v="163"/>
    <n v="46"/>
    <x v="0"/>
    <x v="2"/>
    <n v="367.84"/>
    <s v="Warehouse C"/>
    <x v="543"/>
    <d v="2024-12-11T00:00:00"/>
    <s v="High demand"/>
  </r>
  <r>
    <x v="44"/>
    <x v="2"/>
    <n v="116"/>
    <n v="88"/>
    <x v="0"/>
    <x v="0"/>
    <n v="331.04"/>
    <s v="Warehouse B"/>
    <x v="638"/>
    <d v="2025-01-14T00:00:00"/>
    <m/>
  </r>
  <r>
    <x v="73"/>
    <x v="3"/>
    <n v="97"/>
    <n v="44"/>
    <x v="0"/>
    <x v="2"/>
    <n v="466.12"/>
    <s v="Warehouse C"/>
    <x v="562"/>
    <d v="2024-09-30T00:00:00"/>
    <s v="High demand"/>
  </r>
  <r>
    <x v="125"/>
    <x v="1"/>
    <n v="65"/>
    <n v="22"/>
    <x v="0"/>
    <x v="1"/>
    <n v="411.39"/>
    <s v="Warehouse B"/>
    <x v="417"/>
    <d v="2025-01-15T00:00:00"/>
    <s v="Discontinued"/>
  </r>
  <r>
    <x v="53"/>
    <x v="2"/>
    <n v="78"/>
    <n v="87"/>
    <x v="1"/>
    <x v="1"/>
    <n v="285.47000000000003"/>
    <s v="Warehouse C"/>
    <x v="351"/>
    <d v="2024-08-18T00:00:00"/>
    <m/>
  </r>
  <r>
    <x v="66"/>
    <x v="0"/>
    <n v="161"/>
    <n v="44"/>
    <x v="0"/>
    <x v="0"/>
    <n v="330.23"/>
    <s v="Warehouse B"/>
    <x v="672"/>
    <d v="2024-06-28T00:00:00"/>
    <s v="Discontinued"/>
  </r>
  <r>
    <x v="63"/>
    <x v="2"/>
    <n v="163"/>
    <n v="39"/>
    <x v="0"/>
    <x v="2"/>
    <n v="449.7"/>
    <s v="Warehouse C"/>
    <x v="350"/>
    <d v="2024-04-06T00:00:00"/>
    <s v="Discontinued"/>
  </r>
  <r>
    <x v="51"/>
    <x v="4"/>
    <n v="5"/>
    <n v="53"/>
    <x v="1"/>
    <x v="2"/>
    <n v="202.76"/>
    <s v="Warehouse A"/>
    <x v="437"/>
    <d v="2024-05-27T00:00:00"/>
    <s v="High demand"/>
  </r>
  <r>
    <x v="75"/>
    <x v="2"/>
    <n v="38"/>
    <n v="45"/>
    <x v="1"/>
    <x v="1"/>
    <n v="166.76"/>
    <s v="Warehouse A"/>
    <x v="437"/>
    <d v="2024-07-13T00:00:00"/>
    <s v="Discontinued"/>
  </r>
  <r>
    <x v="102"/>
    <x v="4"/>
    <n v="169"/>
    <n v="24"/>
    <x v="0"/>
    <x v="1"/>
    <n v="10.35"/>
    <s v="Warehouse A"/>
    <x v="441"/>
    <d v="2024-07-24T00:00:00"/>
    <m/>
  </r>
  <r>
    <x v="78"/>
    <x v="2"/>
    <n v="114"/>
    <n v="80"/>
    <x v="0"/>
    <x v="2"/>
    <n v="414.14"/>
    <s v="Warehouse A"/>
    <x v="351"/>
    <d v="2024-09-05T00:00:00"/>
    <s v="Discontinued"/>
  </r>
  <r>
    <x v="123"/>
    <x v="4"/>
    <n v="185"/>
    <n v="28"/>
    <x v="0"/>
    <x v="0"/>
    <n v="401.49"/>
    <s v="Warehouse C"/>
    <x v="446"/>
    <d v="2024-11-13T00:00:00"/>
    <s v="Discontinued"/>
  </r>
  <r>
    <x v="113"/>
    <x v="1"/>
    <n v="124"/>
    <n v="69"/>
    <x v="0"/>
    <x v="1"/>
    <n v="56.7"/>
    <s v="Warehouse A"/>
    <x v="381"/>
    <d v="2024-09-30T00:00:00"/>
    <s v="High demand"/>
  </r>
  <r>
    <x v="16"/>
    <x v="3"/>
    <n v="11"/>
    <n v="25"/>
    <x v="1"/>
    <x v="0"/>
    <n v="290.54000000000002"/>
    <s v="Warehouse B"/>
    <x v="421"/>
    <d v="2024-07-29T00:00:00"/>
    <s v="Discontinued"/>
  </r>
  <r>
    <x v="133"/>
    <x v="0"/>
    <n v="130"/>
    <n v="79"/>
    <x v="0"/>
    <x v="0"/>
    <n v="234.67"/>
    <s v="Warehouse A"/>
    <x v="667"/>
    <d v="2024-05-29T00:00:00"/>
    <s v="Pending Coastal Logistics Partnersonfirmation"/>
  </r>
  <r>
    <x v="90"/>
    <x v="2"/>
    <n v="17"/>
    <n v="63"/>
    <x v="1"/>
    <x v="1"/>
    <n v="63.76"/>
    <s v="Warehouse A"/>
    <x v="537"/>
    <d v="2024-11-09T00:00:00"/>
    <s v="High demand"/>
  </r>
  <r>
    <x v="68"/>
    <x v="3"/>
    <n v="39"/>
    <n v="30"/>
    <x v="0"/>
    <x v="0"/>
    <n v="490.38"/>
    <s v="Warehouse A"/>
    <x v="438"/>
    <d v="2024-11-03T00:00:00"/>
    <s v="High demand"/>
  </r>
  <r>
    <x v="136"/>
    <x v="0"/>
    <n v="20"/>
    <n v="85"/>
    <x v="1"/>
    <x v="0"/>
    <n v="111.27"/>
    <s v="Warehouse C"/>
    <x v="496"/>
    <d v="2024-03-10T00:00:00"/>
    <m/>
  </r>
  <r>
    <x v="97"/>
    <x v="0"/>
    <n v="142"/>
    <n v="66"/>
    <x v="0"/>
    <x v="2"/>
    <n v="38.28"/>
    <s v="Warehouse A"/>
    <x v="673"/>
    <d v="2024-10-17T00:00:00"/>
    <m/>
  </r>
  <r>
    <x v="44"/>
    <x v="4"/>
    <n v="98"/>
    <n v="92"/>
    <x v="0"/>
    <x v="0"/>
    <n v="299.45"/>
    <s v="Warehouse B"/>
    <x v="650"/>
    <d v="2024-04-21T00:00:00"/>
    <m/>
  </r>
  <r>
    <x v="118"/>
    <x v="1"/>
    <n v="25"/>
    <n v="22"/>
    <x v="0"/>
    <x v="2"/>
    <n v="370.74"/>
    <s v="Warehouse A"/>
    <x v="524"/>
    <d v="2024-03-25T00:00:00"/>
    <m/>
  </r>
  <r>
    <x v="127"/>
    <x v="1"/>
    <n v="7"/>
    <n v="95"/>
    <x v="1"/>
    <x v="1"/>
    <n v="21.06"/>
    <s v="Warehouse A"/>
    <x v="674"/>
    <d v="2024-03-21T00:00:00"/>
    <s v="Pending Coastal Logistics Partnersonfirmation"/>
  </r>
  <r>
    <x v="116"/>
    <x v="3"/>
    <n v="99"/>
    <n v="49"/>
    <x v="0"/>
    <x v="1"/>
    <n v="331.07"/>
    <s v="Warehouse A"/>
    <x v="423"/>
    <d v="2024-12-06T00:00:00"/>
    <s v="High demand"/>
  </r>
  <r>
    <x v="139"/>
    <x v="1"/>
    <n v="86"/>
    <n v="40"/>
    <x v="0"/>
    <x v="2"/>
    <n v="268.48"/>
    <s v="Warehouse B"/>
    <x v="484"/>
    <d v="2024-01-28T00:00:00"/>
    <s v="Discontinued"/>
  </r>
  <r>
    <x v="80"/>
    <x v="2"/>
    <n v="41"/>
    <n v="47"/>
    <x v="1"/>
    <x v="1"/>
    <n v="56.12"/>
    <s v="Warehouse A"/>
    <x v="474"/>
    <d v="2024-05-16T00:00:00"/>
    <m/>
  </r>
  <r>
    <x v="130"/>
    <x v="1"/>
    <n v="171"/>
    <n v="81"/>
    <x v="0"/>
    <x v="0"/>
    <n v="90.4"/>
    <s v="Warehouse B"/>
    <x v="675"/>
    <d v="2024-02-15T00:00:00"/>
    <m/>
  </r>
  <r>
    <x v="118"/>
    <x v="3"/>
    <n v="13"/>
    <n v="52"/>
    <x v="1"/>
    <x v="0"/>
    <n v="286.14999999999998"/>
    <s v="Warehouse B"/>
    <x v="367"/>
    <d v="2024-06-20T00:00:00"/>
    <m/>
  </r>
  <r>
    <x v="58"/>
    <x v="1"/>
    <n v="77"/>
    <n v="54"/>
    <x v="0"/>
    <x v="0"/>
    <n v="151.69999999999999"/>
    <s v="Warehouse A"/>
    <x v="539"/>
    <d v="2025-02-22T00:00:00"/>
    <s v="Discontinued"/>
  </r>
  <r>
    <x v="49"/>
    <x v="2"/>
    <n v="1"/>
    <n v="71"/>
    <x v="1"/>
    <x v="1"/>
    <n v="469.47"/>
    <s v="Warehouse B"/>
    <x v="633"/>
    <d v="2025-01-27T00:00:00"/>
    <m/>
  </r>
  <r>
    <x v="112"/>
    <x v="4"/>
    <n v="118"/>
    <n v="53"/>
    <x v="0"/>
    <x v="0"/>
    <n v="410.28"/>
    <s v="Warehouse C"/>
    <x v="377"/>
    <d v="2024-04-21T00:00:00"/>
    <s v="Discontinued"/>
  </r>
  <r>
    <x v="97"/>
    <x v="3"/>
    <n v="36"/>
    <n v="60"/>
    <x v="1"/>
    <x v="1"/>
    <n v="491.87"/>
    <s v="Warehouse A"/>
    <x v="657"/>
    <d v="2024-06-19T00:00:00"/>
    <s v="High demand"/>
  </r>
  <r>
    <x v="91"/>
    <x v="4"/>
    <n v="68"/>
    <n v="70"/>
    <x v="1"/>
    <x v="0"/>
    <n v="133.54"/>
    <s v="Warehouse A"/>
    <x v="525"/>
    <d v="2024-07-21T00:00:00"/>
    <s v="High demand"/>
  </r>
  <r>
    <x v="74"/>
    <x v="4"/>
    <n v="165"/>
    <n v="66"/>
    <x v="0"/>
    <x v="2"/>
    <n v="485.01"/>
    <s v="Warehouse B"/>
    <x v="419"/>
    <d v="2024-04-27T00:00:00"/>
    <s v="High demand"/>
  </r>
  <r>
    <x v="93"/>
    <x v="4"/>
    <n v="40"/>
    <n v="77"/>
    <x v="1"/>
    <x v="1"/>
    <n v="218.46"/>
    <s v="Warehouse B"/>
    <x v="344"/>
    <d v="2024-05-04T00:00:00"/>
    <s v="Pending Coastal Logistics Partnersonfirmation"/>
  </r>
  <r>
    <x v="50"/>
    <x v="0"/>
    <n v="61"/>
    <n v="94"/>
    <x v="1"/>
    <x v="1"/>
    <n v="177.02"/>
    <s v="Warehouse A"/>
    <x v="372"/>
    <d v="2024-11-23T00:00:00"/>
    <s v="Discontinued"/>
  </r>
  <r>
    <x v="2"/>
    <x v="0"/>
    <n v="59"/>
    <n v="76"/>
    <x v="1"/>
    <x v="0"/>
    <n v="29.92"/>
    <s v="Warehouse C"/>
    <x v="355"/>
    <d v="2024-08-24T00:00:00"/>
    <m/>
  </r>
  <r>
    <x v="112"/>
    <x v="4"/>
    <n v="124"/>
    <n v="42"/>
    <x v="0"/>
    <x v="1"/>
    <n v="31.12"/>
    <s v="Warehouse B"/>
    <x v="587"/>
    <d v="2024-06-05T00:00:00"/>
    <m/>
  </r>
  <r>
    <x v="105"/>
    <x v="3"/>
    <n v="110"/>
    <n v="67"/>
    <x v="0"/>
    <x v="1"/>
    <n v="347.55"/>
    <s v="Warehouse B"/>
    <x v="670"/>
    <d v="2024-04-09T00:00:00"/>
    <m/>
  </r>
  <r>
    <x v="96"/>
    <x v="2"/>
    <n v="13"/>
    <n v="41"/>
    <x v="1"/>
    <x v="2"/>
    <n v="231.67"/>
    <s v="Warehouse C"/>
    <x v="347"/>
    <d v="2024-11-03T00:00:00"/>
    <m/>
  </r>
  <r>
    <x v="128"/>
    <x v="2"/>
    <n v="83"/>
    <n v="36"/>
    <x v="0"/>
    <x v="2"/>
    <n v="117.13"/>
    <s v="Warehouse C"/>
    <x v="368"/>
    <d v="2024-12-08T00:00:00"/>
    <s v="Pending Coastal Logistics Partnersonfirmation"/>
  </r>
  <r>
    <x v="101"/>
    <x v="1"/>
    <n v="129"/>
    <n v="88"/>
    <x v="0"/>
    <x v="0"/>
    <n v="308.92"/>
    <s v="Warehouse A"/>
    <x v="573"/>
    <d v="2024-12-20T00:00:00"/>
    <m/>
  </r>
  <r>
    <x v="88"/>
    <x v="3"/>
    <n v="69"/>
    <n v="30"/>
    <x v="0"/>
    <x v="2"/>
    <n v="130.16"/>
    <s v="Warehouse C"/>
    <x v="422"/>
    <d v="2025-01-08T00:00:00"/>
    <s v="Pending Coastal Logistics Partnersonfirmation"/>
  </r>
  <r>
    <x v="94"/>
    <x v="0"/>
    <n v="144"/>
    <n v="34"/>
    <x v="0"/>
    <x v="0"/>
    <n v="290.93"/>
    <s v="Warehouse A"/>
    <x v="374"/>
    <d v="2024-12-20T00:00:00"/>
    <s v="Discontinued"/>
  </r>
  <r>
    <x v="106"/>
    <x v="4"/>
    <n v="122"/>
    <n v="54"/>
    <x v="0"/>
    <x v="0"/>
    <n v="182.81"/>
    <s v="Warehouse C"/>
    <x v="400"/>
    <d v="2024-12-19T00:00:00"/>
    <s v="High demand"/>
  </r>
  <r>
    <x v="109"/>
    <x v="1"/>
    <n v="88"/>
    <n v="52"/>
    <x v="0"/>
    <x v="0"/>
    <n v="412.66"/>
    <s v="Warehouse B"/>
    <x v="384"/>
    <d v="2024-04-04T00:00:00"/>
    <m/>
  </r>
  <r>
    <x v="88"/>
    <x v="2"/>
    <n v="27"/>
    <n v="35"/>
    <x v="1"/>
    <x v="1"/>
    <n v="411.24"/>
    <s v="Warehouse A"/>
    <x v="561"/>
    <d v="2024-09-01T00:00:00"/>
    <s v="High demand"/>
  </r>
  <r>
    <x v="110"/>
    <x v="0"/>
    <n v="65"/>
    <n v="53"/>
    <x v="0"/>
    <x v="2"/>
    <n v="241.29"/>
    <s v="Warehouse A"/>
    <x v="676"/>
    <d v="2025-01-28T00:00:00"/>
    <s v="Discontinued"/>
  </r>
  <r>
    <x v="53"/>
    <x v="0"/>
    <n v="162"/>
    <n v="85"/>
    <x v="0"/>
    <x v="0"/>
    <n v="178.66"/>
    <s v="Warehouse A"/>
    <x v="533"/>
    <d v="2024-12-18T00:00:00"/>
    <s v="Discontinued"/>
  </r>
  <r>
    <x v="120"/>
    <x v="4"/>
    <n v="4"/>
    <n v="59"/>
    <x v="1"/>
    <x v="2"/>
    <n v="184.47"/>
    <s v="Warehouse C"/>
    <x v="485"/>
    <d v="2024-11-28T00:00:00"/>
    <m/>
  </r>
  <r>
    <x v="113"/>
    <x v="2"/>
    <n v="192"/>
    <n v="47"/>
    <x v="0"/>
    <x v="0"/>
    <n v="403.83"/>
    <s v="Warehouse B"/>
    <x v="504"/>
    <d v="2024-11-20T00:00:00"/>
    <s v="Discontinued"/>
  </r>
  <r>
    <x v="97"/>
    <x v="3"/>
    <n v="167"/>
    <n v="66"/>
    <x v="0"/>
    <x v="2"/>
    <n v="167.45"/>
    <s v="Warehouse A"/>
    <x v="435"/>
    <d v="2024-08-27T00:00:00"/>
    <s v="High demand"/>
  </r>
  <r>
    <x v="77"/>
    <x v="0"/>
    <n v="183"/>
    <n v="58"/>
    <x v="0"/>
    <x v="2"/>
    <n v="108.48"/>
    <s v="Warehouse A"/>
    <x v="593"/>
    <d v="2024-10-20T00:00:00"/>
    <m/>
  </r>
  <r>
    <x v="100"/>
    <x v="4"/>
    <n v="163"/>
    <n v="89"/>
    <x v="0"/>
    <x v="0"/>
    <n v="46.92"/>
    <s v="Warehouse A"/>
    <x v="474"/>
    <d v="2024-06-08T00:00:00"/>
    <s v="Pending Coastal Logistics Partnersonfirmation"/>
  </r>
  <r>
    <x v="69"/>
    <x v="3"/>
    <n v="44"/>
    <n v="92"/>
    <x v="1"/>
    <x v="1"/>
    <n v="236.01"/>
    <s v="Warehouse A"/>
    <x v="503"/>
    <d v="2024-05-15T00:00:00"/>
    <m/>
  </r>
  <r>
    <x v="94"/>
    <x v="2"/>
    <n v="150"/>
    <n v="39"/>
    <x v="0"/>
    <x v="2"/>
    <n v="243.66"/>
    <s v="Warehouse B"/>
    <x v="559"/>
    <d v="2025-01-09T00:00:00"/>
    <s v="High demand"/>
  </r>
  <r>
    <x v="74"/>
    <x v="0"/>
    <n v="46"/>
    <n v="20"/>
    <x v="0"/>
    <x v="1"/>
    <n v="421.25"/>
    <s v="Warehouse C"/>
    <x v="518"/>
    <d v="2024-09-06T00:00:00"/>
    <m/>
  </r>
  <r>
    <x v="54"/>
    <x v="3"/>
    <n v="30"/>
    <n v="91"/>
    <x v="1"/>
    <x v="1"/>
    <n v="114.51"/>
    <s v="Warehouse B"/>
    <x v="639"/>
    <d v="2024-11-06T00:00:00"/>
    <m/>
  </r>
  <r>
    <x v="51"/>
    <x v="3"/>
    <n v="138"/>
    <n v="82"/>
    <x v="0"/>
    <x v="0"/>
    <n v="193.59"/>
    <s v="Warehouse A"/>
    <x v="420"/>
    <d v="2024-08-25T00:00:00"/>
    <s v="High demand"/>
  </r>
  <r>
    <x v="95"/>
    <x v="3"/>
    <n v="9"/>
    <n v="86"/>
    <x v="1"/>
    <x v="0"/>
    <n v="405.16"/>
    <s v="Warehouse B"/>
    <x v="677"/>
    <d v="2024-06-16T00:00:00"/>
    <m/>
  </r>
  <r>
    <x v="125"/>
    <x v="0"/>
    <n v="194"/>
    <n v="23"/>
    <x v="0"/>
    <x v="0"/>
    <n v="412.69"/>
    <s v="Warehouse A"/>
    <x v="672"/>
    <d v="2024-06-25T00:00:00"/>
    <m/>
  </r>
  <r>
    <x v="123"/>
    <x v="0"/>
    <n v="117"/>
    <n v="77"/>
    <x v="0"/>
    <x v="2"/>
    <n v="195.38"/>
    <s v="Warehouse C"/>
    <x v="399"/>
    <d v="2024-10-30T00:00:00"/>
    <s v="High demand"/>
  </r>
  <r>
    <x v="2"/>
    <x v="1"/>
    <n v="13"/>
    <n v="44"/>
    <x v="1"/>
    <x v="0"/>
    <n v="232.27"/>
    <s v="Warehouse C"/>
    <x v="525"/>
    <d v="2024-07-20T00:00:00"/>
    <s v="Discontinued"/>
  </r>
  <r>
    <x v="80"/>
    <x v="2"/>
    <n v="79"/>
    <n v="66"/>
    <x v="0"/>
    <x v="0"/>
    <n v="155.13"/>
    <s v="Warehouse C"/>
    <x v="503"/>
    <d v="2024-05-21T00:00:00"/>
    <s v="High demand"/>
  </r>
  <r>
    <x v="111"/>
    <x v="4"/>
    <n v="92"/>
    <n v="57"/>
    <x v="0"/>
    <x v="2"/>
    <n v="466.61"/>
    <s v="Warehouse A"/>
    <x v="405"/>
    <d v="2025-03-05T00:00:00"/>
    <m/>
  </r>
  <r>
    <x v="64"/>
    <x v="3"/>
    <n v="9"/>
    <n v="34"/>
    <x v="1"/>
    <x v="2"/>
    <n v="63.73"/>
    <s v="Warehouse B"/>
    <x v="644"/>
    <d v="2025-03-06T00:00:00"/>
    <s v="Pending Coastal Logistics Partnersonfirmation"/>
  </r>
  <r>
    <x v="117"/>
    <x v="1"/>
    <n v="75"/>
    <n v="82"/>
    <x v="1"/>
    <x v="0"/>
    <n v="467.21"/>
    <s v="Warehouse C"/>
    <x v="678"/>
    <d v="2024-02-14T00:00:00"/>
    <s v="Pending Coastal Logistics Partnersonfirmation"/>
  </r>
  <r>
    <x v="63"/>
    <x v="4"/>
    <n v="93"/>
    <n v="40"/>
    <x v="0"/>
    <x v="0"/>
    <n v="343.51"/>
    <s v="Warehouse A"/>
    <x v="496"/>
    <d v="2024-03-13T00:00:00"/>
    <s v="High demand"/>
  </r>
  <r>
    <x v="44"/>
    <x v="1"/>
    <n v="104"/>
    <n v="76"/>
    <x v="0"/>
    <x v="0"/>
    <n v="268.13"/>
    <s v="Warehouse A"/>
    <x v="467"/>
    <d v="2024-04-20T00:00:00"/>
    <s v="Pending Coastal Logistics Partnersonfirmation"/>
  </r>
  <r>
    <x v="66"/>
    <x v="0"/>
    <n v="0"/>
    <n v="72"/>
    <x v="1"/>
    <x v="0"/>
    <n v="21.17"/>
    <s v="Warehouse B"/>
    <x v="679"/>
    <d v="2024-04-22T00:00:00"/>
    <m/>
  </r>
  <r>
    <x v="67"/>
    <x v="3"/>
    <n v="132"/>
    <n v="65"/>
    <x v="0"/>
    <x v="1"/>
    <n v="240.42"/>
    <s v="Warehouse C"/>
    <x v="409"/>
    <d v="2024-08-01T00:00:00"/>
    <m/>
  </r>
  <r>
    <x v="118"/>
    <x v="4"/>
    <n v="19"/>
    <n v="33"/>
    <x v="1"/>
    <x v="1"/>
    <n v="206.84"/>
    <s v="Warehouse A"/>
    <x v="479"/>
    <d v="2024-11-10T00:00:00"/>
    <s v="High demand"/>
  </r>
  <r>
    <x v="75"/>
    <x v="4"/>
    <n v="7"/>
    <n v="95"/>
    <x v="1"/>
    <x v="0"/>
    <n v="84.8"/>
    <s v="Warehouse B"/>
    <x v="593"/>
    <d v="2024-10-30T00:00:00"/>
    <m/>
  </r>
  <r>
    <x v="57"/>
    <x v="4"/>
    <n v="170"/>
    <n v="36"/>
    <x v="0"/>
    <x v="1"/>
    <n v="329.92"/>
    <s v="Warehouse C"/>
    <x v="539"/>
    <d v="2025-01-26T00:00:00"/>
    <s v="Discontinued"/>
  </r>
  <r>
    <x v="31"/>
    <x v="4"/>
    <n v="0"/>
    <n v="58"/>
    <x v="1"/>
    <x v="2"/>
    <n v="485.72"/>
    <s v="Warehouse B"/>
    <x v="557"/>
    <d v="2024-12-01T00:00:00"/>
    <m/>
  </r>
  <r>
    <x v="111"/>
    <x v="4"/>
    <n v="56"/>
    <n v="28"/>
    <x v="0"/>
    <x v="1"/>
    <n v="283.27999999999997"/>
    <s v="Warehouse B"/>
    <x v="650"/>
    <d v="2024-04-03T00:00:00"/>
    <s v="High demand"/>
  </r>
  <r>
    <x v="79"/>
    <x v="1"/>
    <n v="63"/>
    <n v="96"/>
    <x v="1"/>
    <x v="1"/>
    <n v="358.8"/>
    <s v="Warehouse A"/>
    <x v="528"/>
    <d v="2024-10-17T00:00:00"/>
    <s v="Discontinued"/>
  </r>
  <r>
    <x v="108"/>
    <x v="3"/>
    <n v="117"/>
    <n v="98"/>
    <x v="0"/>
    <x v="0"/>
    <n v="38.880000000000003"/>
    <s v="Warehouse A"/>
    <x v="449"/>
    <d v="2025-01-09T00:00:00"/>
    <s v="Discontinued"/>
  </r>
  <r>
    <x v="76"/>
    <x v="0"/>
    <n v="27"/>
    <n v="25"/>
    <x v="0"/>
    <x v="1"/>
    <n v="211.75"/>
    <s v="Warehouse A"/>
    <x v="622"/>
    <d v="2024-09-29T00:00:00"/>
    <s v="Pending Coastal Logistics Partnersonfirmation"/>
  </r>
  <r>
    <x v="66"/>
    <x v="0"/>
    <n v="120"/>
    <n v="42"/>
    <x v="0"/>
    <x v="1"/>
    <n v="62.6"/>
    <s v="Warehouse B"/>
    <x v="587"/>
    <d v="2024-06-22T00:00:00"/>
    <m/>
  </r>
  <r>
    <x v="55"/>
    <x v="0"/>
    <n v="106"/>
    <n v="78"/>
    <x v="0"/>
    <x v="1"/>
    <n v="308.33"/>
    <s v="Warehouse A"/>
    <x v="504"/>
    <d v="2024-10-31T00:00:00"/>
    <s v="High demand"/>
  </r>
  <r>
    <x v="49"/>
    <x v="0"/>
    <n v="164"/>
    <n v="65"/>
    <x v="0"/>
    <x v="1"/>
    <n v="469.55"/>
    <s v="Warehouse B"/>
    <x v="516"/>
    <d v="2024-05-18T00:00:00"/>
    <s v="Pending Coastal Logistics Partnersonfirmation"/>
  </r>
  <r>
    <x v="73"/>
    <x v="1"/>
    <n v="174"/>
    <n v="57"/>
    <x v="0"/>
    <x v="2"/>
    <n v="332.58"/>
    <s v="Warehouse B"/>
    <x v="478"/>
    <d v="2024-03-24T00:00:00"/>
    <s v="Pending Coastal Logistics Partnersonfirmation"/>
  </r>
  <r>
    <x v="16"/>
    <x v="2"/>
    <n v="164"/>
    <n v="33"/>
    <x v="0"/>
    <x v="0"/>
    <n v="43.02"/>
    <s v="Warehouse A"/>
    <x v="667"/>
    <d v="2024-06-29T00:00:00"/>
    <m/>
  </r>
  <r>
    <x v="53"/>
    <x v="3"/>
    <n v="48"/>
    <n v="91"/>
    <x v="1"/>
    <x v="0"/>
    <n v="180.56"/>
    <s v="Warehouse C"/>
    <x v="551"/>
    <d v="2024-07-14T00:00:00"/>
    <m/>
  </r>
  <r>
    <x v="85"/>
    <x v="4"/>
    <n v="119"/>
    <n v="81"/>
    <x v="0"/>
    <x v="2"/>
    <n v="277.58"/>
    <s v="Warehouse C"/>
    <x v="680"/>
    <d v="2025-02-17T00:00:00"/>
    <s v="High demand"/>
  </r>
  <r>
    <x v="129"/>
    <x v="2"/>
    <n v="43"/>
    <n v="54"/>
    <x v="1"/>
    <x v="1"/>
    <n v="204.59"/>
    <s v="Warehouse C"/>
    <x v="588"/>
    <d v="2024-08-30T00:00:00"/>
    <s v="Pending Coastal Logistics Partnersonfirmation"/>
  </r>
  <r>
    <x v="123"/>
    <x v="0"/>
    <n v="55"/>
    <n v="38"/>
    <x v="0"/>
    <x v="2"/>
    <n v="417.65"/>
    <s v="Warehouse B"/>
    <x v="496"/>
    <d v="2024-03-02T00:00:00"/>
    <s v="High demand"/>
  </r>
  <r>
    <x v="103"/>
    <x v="2"/>
    <n v="155"/>
    <n v="49"/>
    <x v="0"/>
    <x v="1"/>
    <n v="408.26"/>
    <s v="Warehouse B"/>
    <x v="611"/>
    <d v="2025-01-11T00:00:00"/>
    <s v="Pending Coastal Logistics Partnersonfirmation"/>
  </r>
  <r>
    <x v="123"/>
    <x v="3"/>
    <n v="110"/>
    <n v="97"/>
    <x v="0"/>
    <x v="2"/>
    <n v="307.86"/>
    <s v="Warehouse B"/>
    <x v="456"/>
    <d v="2024-10-23T00:00:00"/>
    <s v="Pending Coastal Logistics Partnersonfirmation"/>
  </r>
  <r>
    <x v="49"/>
    <x v="4"/>
    <n v="133"/>
    <n v="44"/>
    <x v="0"/>
    <x v="0"/>
    <n v="189.86"/>
    <s v="Warehouse A"/>
    <x v="500"/>
    <d v="2024-12-08T00:00:00"/>
    <s v="Pending Coastal Logistics Partnersonfirmation"/>
  </r>
  <r>
    <x v="53"/>
    <x v="4"/>
    <n v="107"/>
    <n v="59"/>
    <x v="0"/>
    <x v="0"/>
    <n v="131.38999999999999"/>
    <s v="Warehouse B"/>
    <x v="472"/>
    <d v="2024-03-27T00:00:00"/>
    <m/>
  </r>
  <r>
    <x v="99"/>
    <x v="3"/>
    <n v="188"/>
    <n v="33"/>
    <x v="0"/>
    <x v="0"/>
    <n v="57.41"/>
    <s v="Warehouse A"/>
    <x v="627"/>
    <d v="2024-07-18T00:00:00"/>
    <s v="Pending Coastal Logistics Partnersonfirmation"/>
  </r>
  <r>
    <x v="84"/>
    <x v="3"/>
    <n v="147"/>
    <n v="45"/>
    <x v="0"/>
    <x v="1"/>
    <n v="180.67"/>
    <s v="Warehouse A"/>
    <x v="440"/>
    <d v="2025-01-30T00:00:00"/>
    <s v="Pending Coastal Logistics Partnersonfirmation"/>
  </r>
  <r>
    <x v="99"/>
    <x v="0"/>
    <n v="113"/>
    <n v="41"/>
    <x v="0"/>
    <x v="1"/>
    <n v="209.52"/>
    <s v="Warehouse C"/>
    <x v="653"/>
    <d v="2024-08-19T00:00:00"/>
    <s v="Pending Coastal Logistics Partnersonfirmation"/>
  </r>
  <r>
    <x v="52"/>
    <x v="4"/>
    <n v="77"/>
    <n v="67"/>
    <x v="0"/>
    <x v="2"/>
    <n v="339.53"/>
    <s v="Warehouse C"/>
    <x v="473"/>
    <d v="2024-04-07T00:00:00"/>
    <s v="Discontinued"/>
  </r>
  <r>
    <x v="68"/>
    <x v="2"/>
    <n v="129"/>
    <n v="70"/>
    <x v="0"/>
    <x v="2"/>
    <n v="330.79"/>
    <s v="Warehouse C"/>
    <x v="624"/>
    <d v="2024-07-14T00:00:00"/>
    <m/>
  </r>
  <r>
    <x v="54"/>
    <x v="1"/>
    <n v="36"/>
    <n v="22"/>
    <x v="0"/>
    <x v="0"/>
    <n v="39.700000000000003"/>
    <s v="Warehouse A"/>
    <x v="401"/>
    <d v="2024-05-11T00:00:00"/>
    <s v="Discontinued"/>
  </r>
  <r>
    <x v="6"/>
    <x v="1"/>
    <n v="19"/>
    <n v="61"/>
    <x v="1"/>
    <x v="1"/>
    <n v="200.65"/>
    <s v="Warehouse A"/>
    <x v="513"/>
    <d v="2024-07-15T00:00:00"/>
    <m/>
  </r>
  <r>
    <x v="59"/>
    <x v="3"/>
    <n v="25"/>
    <n v="38"/>
    <x v="1"/>
    <x v="2"/>
    <n v="94.98"/>
    <s v="Warehouse A"/>
    <x v="482"/>
    <d v="2024-04-16T00:00:00"/>
    <s v="High demand"/>
  </r>
  <r>
    <x v="136"/>
    <x v="0"/>
    <n v="28"/>
    <n v="92"/>
    <x v="1"/>
    <x v="1"/>
    <n v="82.62"/>
    <s v="Warehouse B"/>
    <x v="595"/>
    <d v="2024-04-19T00:00:00"/>
    <s v="Discontinued"/>
  </r>
  <r>
    <x v="101"/>
    <x v="1"/>
    <n v="0"/>
    <n v="47"/>
    <x v="1"/>
    <x v="1"/>
    <n v="414.51"/>
    <s v="Warehouse A"/>
    <x v="414"/>
    <d v="2024-08-04T00:00:00"/>
    <s v="High demand"/>
  </r>
  <r>
    <x v="105"/>
    <x v="4"/>
    <n v="118"/>
    <n v="64"/>
    <x v="0"/>
    <x v="0"/>
    <n v="25.75"/>
    <s v="Warehouse C"/>
    <x v="588"/>
    <d v="2024-08-13T00:00:00"/>
    <s v="Pending Coastal Logistics Partnersonfirmation"/>
  </r>
  <r>
    <x v="125"/>
    <x v="3"/>
    <n v="34"/>
    <n v="90"/>
    <x v="1"/>
    <x v="0"/>
    <n v="212.5"/>
    <s v="Warehouse C"/>
    <x v="343"/>
    <d v="2024-07-13T00:00:00"/>
    <s v="High demand"/>
  </r>
  <r>
    <x v="89"/>
    <x v="2"/>
    <n v="197"/>
    <n v="97"/>
    <x v="0"/>
    <x v="1"/>
    <n v="88.26"/>
    <s v="Warehouse A"/>
    <x v="423"/>
    <d v="2024-10-23T00:00:00"/>
    <s v="High demand"/>
  </r>
  <r>
    <x v="44"/>
    <x v="3"/>
    <n v="58"/>
    <n v="82"/>
    <x v="1"/>
    <x v="1"/>
    <n v="440.27"/>
    <s v="Warehouse A"/>
    <x v="613"/>
    <d v="2024-12-12T00:00:00"/>
    <s v="High demand"/>
  </r>
  <r>
    <x v="6"/>
    <x v="2"/>
    <n v="68"/>
    <n v="92"/>
    <x v="1"/>
    <x v="1"/>
    <n v="280.74"/>
    <s v="Warehouse C"/>
    <x v="550"/>
    <d v="2024-04-11T00:00:00"/>
    <s v="High demand"/>
  </r>
  <r>
    <x v="125"/>
    <x v="3"/>
    <n v="160"/>
    <n v="38"/>
    <x v="0"/>
    <x v="1"/>
    <n v="119.53"/>
    <s v="Warehouse A"/>
    <x v="569"/>
    <d v="2024-09-26T00:00:00"/>
    <m/>
  </r>
  <r>
    <x v="99"/>
    <x v="3"/>
    <n v="178"/>
    <n v="66"/>
    <x v="0"/>
    <x v="0"/>
    <n v="253.7"/>
    <s v="Warehouse C"/>
    <x v="497"/>
    <d v="2024-09-16T00:00:00"/>
    <s v="Discontinued"/>
  </r>
  <r>
    <x v="49"/>
    <x v="3"/>
    <n v="11"/>
    <n v="33"/>
    <x v="1"/>
    <x v="2"/>
    <n v="367.09"/>
    <s v="Warehouse B"/>
    <x v="432"/>
    <d v="2024-12-21T00:00:00"/>
    <m/>
  </r>
  <r>
    <x v="124"/>
    <x v="2"/>
    <n v="19"/>
    <n v="57"/>
    <x v="1"/>
    <x v="0"/>
    <n v="479.27"/>
    <s v="Warehouse C"/>
    <x v="384"/>
    <d v="2024-03-17T00:00:00"/>
    <m/>
  </r>
  <r>
    <x v="124"/>
    <x v="2"/>
    <n v="180"/>
    <n v="72"/>
    <x v="0"/>
    <x v="2"/>
    <n v="114.12"/>
    <s v="Warehouse B"/>
    <x v="341"/>
    <d v="2024-08-18T00:00:00"/>
    <m/>
  </r>
  <r>
    <x v="80"/>
    <x v="3"/>
    <n v="42"/>
    <n v="80"/>
    <x v="1"/>
    <x v="1"/>
    <n v="443.66"/>
    <s v="Warehouse A"/>
    <x v="409"/>
    <d v="2024-07-26T00:00:00"/>
    <s v="High demand"/>
  </r>
  <r>
    <x v="98"/>
    <x v="1"/>
    <n v="125"/>
    <n v="55"/>
    <x v="0"/>
    <x v="2"/>
    <n v="467.48"/>
    <s v="Warehouse A"/>
    <x v="613"/>
    <d v="2024-12-13T00:00:00"/>
    <m/>
  </r>
  <r>
    <x v="2"/>
    <x v="0"/>
    <n v="49"/>
    <n v="59"/>
    <x v="1"/>
    <x v="0"/>
    <n v="458.63"/>
    <s v="Warehouse B"/>
    <x v="395"/>
    <d v="2024-06-28T00:00:00"/>
    <s v="Discontinued"/>
  </r>
  <r>
    <x v="102"/>
    <x v="0"/>
    <n v="28"/>
    <n v="49"/>
    <x v="1"/>
    <x v="0"/>
    <n v="319.52999999999997"/>
    <s v="Warehouse A"/>
    <x v="468"/>
    <d v="2024-06-22T00:00:00"/>
    <m/>
  </r>
  <r>
    <x v="63"/>
    <x v="0"/>
    <n v="184"/>
    <n v="28"/>
    <x v="0"/>
    <x v="1"/>
    <n v="316.76"/>
    <s v="Warehouse B"/>
    <x v="572"/>
    <d v="2024-05-26T00:00:00"/>
    <s v="Pending Coastal Logistics Partnersonfirmation"/>
  </r>
  <r>
    <x v="43"/>
    <x v="2"/>
    <n v="38"/>
    <n v="83"/>
    <x v="1"/>
    <x v="0"/>
    <n v="204.59"/>
    <s v="Warehouse A"/>
    <x v="558"/>
    <d v="2024-08-26T00:00:00"/>
    <s v="High demand"/>
  </r>
  <r>
    <x v="73"/>
    <x v="2"/>
    <n v="183"/>
    <n v="52"/>
    <x v="0"/>
    <x v="1"/>
    <n v="377.44"/>
    <s v="Warehouse C"/>
    <x v="453"/>
    <d v="2024-12-17T00:00:00"/>
    <s v="Pending Coastal Logistics Partnersonfirmation"/>
  </r>
  <r>
    <x v="59"/>
    <x v="1"/>
    <n v="170"/>
    <n v="71"/>
    <x v="0"/>
    <x v="0"/>
    <n v="267.99"/>
    <s v="Warehouse A"/>
    <x v="634"/>
    <d v="2024-12-19T00:00:00"/>
    <s v="Discontinued"/>
  </r>
  <r>
    <x v="83"/>
    <x v="0"/>
    <n v="177"/>
    <n v="33"/>
    <x v="0"/>
    <x v="0"/>
    <n v="340.33"/>
    <s v="Warehouse C"/>
    <x v="621"/>
    <d v="2024-05-26T00:00:00"/>
    <s v="Discontinued"/>
  </r>
  <r>
    <x v="19"/>
    <x v="0"/>
    <n v="150"/>
    <n v="94"/>
    <x v="0"/>
    <x v="1"/>
    <n v="217.09"/>
    <s v="Warehouse C"/>
    <x v="479"/>
    <d v="2024-10-17T00:00:00"/>
    <s v="Discontinued"/>
  </r>
  <r>
    <x v="62"/>
    <x v="3"/>
    <n v="171"/>
    <n v="72"/>
    <x v="0"/>
    <x v="2"/>
    <n v="367.09"/>
    <s v="Warehouse B"/>
    <x v="382"/>
    <d v="2024-08-04T00:00:00"/>
    <s v="Discontinued"/>
  </r>
  <r>
    <x v="73"/>
    <x v="2"/>
    <n v="37"/>
    <n v="78"/>
    <x v="1"/>
    <x v="0"/>
    <n v="413.11"/>
    <s v="Warehouse A"/>
    <x v="612"/>
    <d v="2024-09-20T00:00:00"/>
    <m/>
  </r>
  <r>
    <x v="19"/>
    <x v="0"/>
    <n v="83"/>
    <n v="97"/>
    <x v="1"/>
    <x v="2"/>
    <n v="77.489999999999995"/>
    <s v="Warehouse B"/>
    <x v="398"/>
    <d v="2024-12-03T00:00:00"/>
    <s v="High demand"/>
  </r>
  <r>
    <x v="63"/>
    <x v="1"/>
    <n v="150"/>
    <n v="60"/>
    <x v="0"/>
    <x v="0"/>
    <n v="417.3"/>
    <s v="Warehouse A"/>
    <x v="506"/>
    <d v="2024-07-16T00:00:00"/>
    <s v="Discontinued"/>
  </r>
  <r>
    <x v="87"/>
    <x v="1"/>
    <n v="127"/>
    <n v="87"/>
    <x v="0"/>
    <x v="0"/>
    <n v="272.45"/>
    <s v="Warehouse C"/>
    <x v="465"/>
    <d v="2025-02-26T00:00:00"/>
    <s v="Pending Coastal Logistics Partnersonfirmation"/>
  </r>
  <r>
    <x v="120"/>
    <x v="0"/>
    <n v="125"/>
    <n v="87"/>
    <x v="0"/>
    <x v="0"/>
    <n v="423.11"/>
    <s v="Warehouse C"/>
    <x v="370"/>
    <d v="2024-08-27T00:00:00"/>
    <s v="Discontinued"/>
  </r>
  <r>
    <x v="54"/>
    <x v="2"/>
    <n v="44"/>
    <n v="27"/>
    <x v="0"/>
    <x v="0"/>
    <n v="218.49"/>
    <s v="Warehouse A"/>
    <x v="378"/>
    <d v="2024-06-15T00:00:00"/>
    <s v="High demand"/>
  </r>
  <r>
    <x v="59"/>
    <x v="1"/>
    <n v="51"/>
    <n v="21"/>
    <x v="0"/>
    <x v="2"/>
    <n v="192.63"/>
    <s v="Warehouse A"/>
    <x v="510"/>
    <d v="2024-04-17T00:00:00"/>
    <s v="Pending Coastal Logistics Partnersonfirmation"/>
  </r>
  <r>
    <x v="116"/>
    <x v="3"/>
    <n v="79"/>
    <n v="60"/>
    <x v="0"/>
    <x v="2"/>
    <n v="457.96"/>
    <s v="Warehouse B"/>
    <x v="554"/>
    <d v="2024-11-06T00:00:00"/>
    <s v="Pending Coastal Logistics Partnersonfirmation"/>
  </r>
  <r>
    <x v="79"/>
    <x v="1"/>
    <n v="177"/>
    <n v="74"/>
    <x v="0"/>
    <x v="0"/>
    <n v="129.33000000000001"/>
    <s v="Warehouse A"/>
    <x v="652"/>
    <d v="2024-07-03T00:00:00"/>
    <s v="Pending Coastal Logistics Partnersonfirmation"/>
  </r>
  <r>
    <x v="121"/>
    <x v="4"/>
    <n v="123"/>
    <n v="35"/>
    <x v="0"/>
    <x v="0"/>
    <n v="422.89"/>
    <s v="Warehouse A"/>
    <x v="649"/>
    <d v="2024-10-08T00:00:00"/>
    <m/>
  </r>
  <r>
    <x v="89"/>
    <x v="4"/>
    <n v="118"/>
    <n v="81"/>
    <x v="0"/>
    <x v="2"/>
    <n v="244.59"/>
    <s v="Warehouse A"/>
    <x v="393"/>
    <d v="2024-03-29T00:00:00"/>
    <s v="Discontinued"/>
  </r>
  <r>
    <x v="112"/>
    <x v="2"/>
    <n v="7"/>
    <n v="67"/>
    <x v="1"/>
    <x v="1"/>
    <n v="259.48"/>
    <s v="Warehouse B"/>
    <x v="611"/>
    <d v="2024-12-23T00:00:00"/>
    <m/>
  </r>
  <r>
    <x v="2"/>
    <x v="0"/>
    <n v="84"/>
    <n v="49"/>
    <x v="0"/>
    <x v="1"/>
    <n v="157.69"/>
    <s v="Warehouse A"/>
    <x v="681"/>
    <d v="2024-05-19T00:00:00"/>
    <s v="Pending Coastal Logistics Partnersonfirmation"/>
  </r>
  <r>
    <x v="140"/>
    <x v="5"/>
    <m/>
    <m/>
    <x v="2"/>
    <x v="3"/>
    <m/>
    <m/>
    <x v="682"/>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9036E3C-A0AC-401E-A4F0-8E5B861FA1F6}" name="PivotTable1" cacheId="1" applyNumberFormats="0" applyBorderFormats="0" applyFontFormats="0" applyPatternFormats="0" applyAlignmentFormats="0" applyWidthHeightFormats="1" dataCaption="Values" updatedVersion="8" minRefreshableVersion="3" showDrill="0" useAutoFormatting="1" itemPrintTitles="1" createdVersion="8" indent="0" outline="1" outlineData="1" multipleFieldFilters="0" chartFormat="5">
  <location ref="A3:E11" firstHeaderRow="1" firstDataRow="2" firstDataCol="1"/>
  <pivotFields count="14">
    <pivotField dataField="1" showAll="0">
      <items count="142">
        <item x="15"/>
        <item x="24"/>
        <item x="10"/>
        <item x="39"/>
        <item x="29"/>
        <item x="12"/>
        <item x="17"/>
        <item x="41"/>
        <item x="5"/>
        <item x="45"/>
        <item x="129"/>
        <item x="92"/>
        <item x="134"/>
        <item x="108"/>
        <item x="132"/>
        <item x="126"/>
        <item x="110"/>
        <item x="137"/>
        <item x="84"/>
        <item x="136"/>
        <item x="135"/>
        <item x="71"/>
        <item x="117"/>
        <item x="102"/>
        <item x="52"/>
        <item x="88"/>
        <item x="139"/>
        <item x="127"/>
        <item x="109"/>
        <item x="67"/>
        <item x="43"/>
        <item x="2"/>
        <item x="16"/>
        <item x="49"/>
        <item x="31"/>
        <item x="19"/>
        <item x="20"/>
        <item x="33"/>
        <item x="44"/>
        <item x="6"/>
        <item x="18"/>
        <item x="46"/>
        <item x="8"/>
        <item x="3"/>
        <item x="23"/>
        <item x="48"/>
        <item x="47"/>
        <item x="4"/>
        <item x="38"/>
        <item x="14"/>
        <item x="107"/>
        <item x="59"/>
        <item x="64"/>
        <item x="60"/>
        <item x="61"/>
        <item x="99"/>
        <item x="101"/>
        <item x="65"/>
        <item x="55"/>
        <item x="68"/>
        <item x="51"/>
        <item x="124"/>
        <item x="94"/>
        <item x="53"/>
        <item x="96"/>
        <item x="58"/>
        <item x="122"/>
        <item x="105"/>
        <item x="123"/>
        <item x="103"/>
        <item x="28"/>
        <item x="42"/>
        <item x="1"/>
        <item x="35"/>
        <item x="30"/>
        <item x="26"/>
        <item x="40"/>
        <item x="7"/>
        <item x="34"/>
        <item x="37"/>
        <item x="106"/>
        <item x="120"/>
        <item x="80"/>
        <item x="138"/>
        <item x="73"/>
        <item x="85"/>
        <item x="133"/>
        <item x="98"/>
        <item x="70"/>
        <item x="57"/>
        <item x="56"/>
        <item x="83"/>
        <item x="112"/>
        <item x="78"/>
        <item x="62"/>
        <item x="115"/>
        <item x="89"/>
        <item x="131"/>
        <item x="75"/>
        <item x="119"/>
        <item x="114"/>
        <item x="91"/>
        <item x="121"/>
        <item x="82"/>
        <item x="95"/>
        <item x="50"/>
        <item x="87"/>
        <item x="128"/>
        <item x="113"/>
        <item x="100"/>
        <item x="97"/>
        <item x="66"/>
        <item x="76"/>
        <item x="74"/>
        <item x="118"/>
        <item x="81"/>
        <item x="63"/>
        <item x="93"/>
        <item x="111"/>
        <item x="54"/>
        <item x="69"/>
        <item x="86"/>
        <item x="90"/>
        <item x="77"/>
        <item x="72"/>
        <item x="116"/>
        <item x="104"/>
        <item x="130"/>
        <item x="125"/>
        <item x="79"/>
        <item x="36"/>
        <item x="0"/>
        <item x="22"/>
        <item x="25"/>
        <item x="11"/>
        <item x="9"/>
        <item x="21"/>
        <item x="27"/>
        <item x="32"/>
        <item x="13"/>
        <item x="140"/>
        <item t="default"/>
      </items>
    </pivotField>
    <pivotField axis="axisRow" showAll="0">
      <items count="7">
        <item x="2"/>
        <item x="1"/>
        <item x="0"/>
        <item x="3"/>
        <item x="4"/>
        <item x="5"/>
        <item t="default"/>
      </items>
    </pivotField>
    <pivotField showAll="0"/>
    <pivotField showAll="0"/>
    <pivotField axis="axisCol" showAll="0">
      <items count="4">
        <item x="0"/>
        <item x="1"/>
        <item x="2"/>
        <item t="default"/>
      </items>
    </pivotField>
    <pivotField showAll="0"/>
    <pivotField showAll="0"/>
    <pivotField showAll="0"/>
    <pivotField showAll="0">
      <items count="684">
        <item x="41"/>
        <item x="261"/>
        <item x="179"/>
        <item x="159"/>
        <item x="325"/>
        <item x="320"/>
        <item x="124"/>
        <item x="147"/>
        <item x="183"/>
        <item x="134"/>
        <item x="56"/>
        <item x="298"/>
        <item x="286"/>
        <item x="130"/>
        <item x="299"/>
        <item x="278"/>
        <item x="206"/>
        <item x="214"/>
        <item x="139"/>
        <item x="39"/>
        <item x="64"/>
        <item x="15"/>
        <item x="60"/>
        <item x="25"/>
        <item x="74"/>
        <item x="28"/>
        <item x="310"/>
        <item x="268"/>
        <item x="307"/>
        <item x="50"/>
        <item x="245"/>
        <item x="166"/>
        <item x="92"/>
        <item x="201"/>
        <item x="105"/>
        <item x="217"/>
        <item x="55"/>
        <item x="194"/>
        <item x="71"/>
        <item x="275"/>
        <item x="185"/>
        <item x="202"/>
        <item x="133"/>
        <item x="330"/>
        <item x="136"/>
        <item x="94"/>
        <item x="311"/>
        <item x="240"/>
        <item x="109"/>
        <item x="177"/>
        <item x="35"/>
        <item x="100"/>
        <item x="20"/>
        <item x="1"/>
        <item x="300"/>
        <item x="167"/>
        <item x="69"/>
        <item x="336"/>
        <item x="239"/>
        <item x="93"/>
        <item x="281"/>
        <item x="102"/>
        <item x="29"/>
        <item x="323"/>
        <item x="339"/>
        <item x="326"/>
        <item x="7"/>
        <item x="288"/>
        <item x="193"/>
        <item x="225"/>
        <item x="144"/>
        <item x="154"/>
        <item x="83"/>
        <item x="88"/>
        <item x="248"/>
        <item x="77"/>
        <item x="229"/>
        <item x="42"/>
        <item x="304"/>
        <item x="67"/>
        <item x="313"/>
        <item x="51"/>
        <item x="63"/>
        <item x="255"/>
        <item x="52"/>
        <item x="334"/>
        <item x="251"/>
        <item x="116"/>
        <item x="119"/>
        <item x="204"/>
        <item x="332"/>
        <item x="128"/>
        <item x="72"/>
        <item x="197"/>
        <item x="16"/>
        <item x="90"/>
        <item x="171"/>
        <item x="68"/>
        <item x="164"/>
        <item x="215"/>
        <item x="162"/>
        <item x="73"/>
        <item x="122"/>
        <item x="0"/>
        <item x="142"/>
        <item x="103"/>
        <item x="328"/>
        <item x="224"/>
        <item x="196"/>
        <item x="254"/>
        <item x="110"/>
        <item x="203"/>
        <item x="247"/>
        <item x="238"/>
        <item x="18"/>
        <item x="76"/>
        <item x="290"/>
        <item x="106"/>
        <item x="242"/>
        <item x="297"/>
        <item x="104"/>
        <item x="266"/>
        <item x="231"/>
        <item x="176"/>
        <item x="173"/>
        <item x="327"/>
        <item x="111"/>
        <item x="23"/>
        <item x="126"/>
        <item x="195"/>
        <item x="146"/>
        <item x="253"/>
        <item x="294"/>
        <item x="118"/>
        <item x="127"/>
        <item x="157"/>
        <item x="308"/>
        <item x="277"/>
        <item x="87"/>
        <item x="43"/>
        <item x="256"/>
        <item x="302"/>
        <item x="305"/>
        <item x="237"/>
        <item x="17"/>
        <item x="184"/>
        <item x="285"/>
        <item x="258"/>
        <item x="5"/>
        <item x="303"/>
        <item x="228"/>
        <item x="260"/>
        <item x="191"/>
        <item x="178"/>
        <item x="82"/>
        <item x="66"/>
        <item x="186"/>
        <item x="120"/>
        <item x="236"/>
        <item x="33"/>
        <item x="337"/>
        <item x="318"/>
        <item x="108"/>
        <item x="209"/>
        <item x="38"/>
        <item x="36"/>
        <item x="315"/>
        <item x="319"/>
        <item x="165"/>
        <item x="129"/>
        <item x="296"/>
        <item x="148"/>
        <item x="227"/>
        <item x="125"/>
        <item x="135"/>
        <item x="199"/>
        <item x="44"/>
        <item x="232"/>
        <item x="3"/>
        <item x="19"/>
        <item x="30"/>
        <item x="216"/>
        <item x="98"/>
        <item x="211"/>
        <item x="54"/>
        <item x="221"/>
        <item x="57"/>
        <item x="89"/>
        <item x="230"/>
        <item x="13"/>
        <item x="145"/>
        <item x="85"/>
        <item x="112"/>
        <item x="333"/>
        <item x="314"/>
        <item x="155"/>
        <item x="259"/>
        <item x="80"/>
        <item x="338"/>
        <item x="243"/>
        <item x="70"/>
        <item x="287"/>
        <item x="62"/>
        <item x="11"/>
        <item x="181"/>
        <item x="284"/>
        <item x="280"/>
        <item x="241"/>
        <item x="226"/>
        <item x="301"/>
        <item x="210"/>
        <item x="14"/>
        <item x="138"/>
        <item x="97"/>
        <item x="121"/>
        <item x="291"/>
        <item x="31"/>
        <item x="190"/>
        <item x="123"/>
        <item x="169"/>
        <item x="331"/>
        <item x="187"/>
        <item x="312"/>
        <item x="151"/>
        <item x="131"/>
        <item x="45"/>
        <item x="61"/>
        <item x="153"/>
        <item x="26"/>
        <item x="49"/>
        <item x="168"/>
        <item x="269"/>
        <item x="101"/>
        <item x="96"/>
        <item x="189"/>
        <item x="249"/>
        <item x="306"/>
        <item x="81"/>
        <item x="143"/>
        <item x="141"/>
        <item x="132"/>
        <item x="235"/>
        <item x="149"/>
        <item x="267"/>
        <item x="117"/>
        <item x="10"/>
        <item x="6"/>
        <item x="91"/>
        <item x="113"/>
        <item x="321"/>
        <item x="295"/>
        <item x="95"/>
        <item x="270"/>
        <item x="192"/>
        <item x="250"/>
        <item x="180"/>
        <item x="79"/>
        <item x="107"/>
        <item x="53"/>
        <item x="24"/>
        <item x="188"/>
        <item x="46"/>
        <item x="58"/>
        <item x="273"/>
        <item x="115"/>
        <item x="198"/>
        <item x="316"/>
        <item x="156"/>
        <item x="244"/>
        <item x="289"/>
        <item x="220"/>
        <item x="252"/>
        <item x="282"/>
        <item x="27"/>
        <item x="279"/>
        <item x="48"/>
        <item x="317"/>
        <item x="324"/>
        <item x="263"/>
        <item x="32"/>
        <item x="137"/>
        <item x="160"/>
        <item x="75"/>
        <item x="65"/>
        <item x="246"/>
        <item x="99"/>
        <item x="12"/>
        <item x="265"/>
        <item x="86"/>
        <item x="212"/>
        <item x="233"/>
        <item x="283"/>
        <item x="264"/>
        <item x="329"/>
        <item x="163"/>
        <item x="170"/>
        <item x="219"/>
        <item x="40"/>
        <item x="292"/>
        <item x="271"/>
        <item x="2"/>
        <item x="78"/>
        <item x="9"/>
        <item x="276"/>
        <item x="59"/>
        <item x="8"/>
        <item x="84"/>
        <item x="309"/>
        <item x="174"/>
        <item x="34"/>
        <item x="207"/>
        <item x="234"/>
        <item x="200"/>
        <item x="22"/>
        <item x="274"/>
        <item x="272"/>
        <item x="47"/>
        <item x="208"/>
        <item x="205"/>
        <item x="213"/>
        <item x="161"/>
        <item x="182"/>
        <item x="37"/>
        <item x="175"/>
        <item x="150"/>
        <item x="158"/>
        <item x="222"/>
        <item x="293"/>
        <item x="172"/>
        <item x="140"/>
        <item x="335"/>
        <item x="4"/>
        <item x="114"/>
        <item x="257"/>
        <item x="152"/>
        <item x="218"/>
        <item x="262"/>
        <item x="223"/>
        <item x="21"/>
        <item x="322"/>
        <item x="642"/>
        <item x="509"/>
        <item x="524"/>
        <item x="383"/>
        <item x="366"/>
        <item x="389"/>
        <item x="484"/>
        <item x="615"/>
        <item x="614"/>
        <item x="472"/>
        <item x="675"/>
        <item x="473"/>
        <item x="678"/>
        <item x="498"/>
        <item x="478"/>
        <item x="619"/>
        <item x="482"/>
        <item x="607"/>
        <item x="595"/>
        <item x="583"/>
        <item x="510"/>
        <item x="350"/>
        <item x="375"/>
        <item x="631"/>
        <item x="461"/>
        <item x="413"/>
        <item x="496"/>
        <item x="463"/>
        <item x="477"/>
        <item x="670"/>
        <item x="540"/>
        <item x="416"/>
        <item x="645"/>
        <item x="646"/>
        <item x="429"/>
        <item x="433"/>
        <item x="568"/>
        <item x="377"/>
        <item x="384"/>
        <item x="532"/>
        <item x="507"/>
        <item x="555"/>
        <item x="349"/>
        <item x="544"/>
        <item x="380"/>
        <item x="458"/>
        <item x="545"/>
        <item x="379"/>
        <item x="531"/>
        <item x="598"/>
        <item x="344"/>
        <item x="681"/>
        <item x="483"/>
        <item x="650"/>
        <item x="340"/>
        <item x="503"/>
        <item x="493"/>
        <item x="393"/>
        <item x="625"/>
        <item x="563"/>
        <item x="623"/>
        <item x="674"/>
        <item x="621"/>
        <item x="447"/>
        <item x="348"/>
        <item x="527"/>
        <item x="550"/>
        <item x="640"/>
        <item x="467"/>
        <item x="491"/>
        <item x="523"/>
        <item x="656"/>
        <item x="570"/>
        <item x="358"/>
        <item x="529"/>
        <item x="411"/>
        <item x="419"/>
        <item x="439"/>
        <item x="577"/>
        <item x="679"/>
        <item x="664"/>
        <item x="346"/>
        <item x="511"/>
        <item x="556"/>
        <item x="359"/>
        <item x="610"/>
        <item x="601"/>
        <item x="401"/>
        <item x="492"/>
        <item x="466"/>
        <item x="388"/>
        <item x="476"/>
        <item x="630"/>
        <item x="641"/>
        <item x="618"/>
        <item x="508"/>
        <item x="469"/>
        <item x="535"/>
        <item x="635"/>
        <item x="677"/>
        <item x="516"/>
        <item x="666"/>
        <item x="660"/>
        <item x="643"/>
        <item x="474"/>
        <item x="667"/>
        <item x="628"/>
        <item x="457"/>
        <item x="513"/>
        <item x="530"/>
        <item x="534"/>
        <item x="468"/>
        <item x="343"/>
        <item x="489"/>
        <item x="657"/>
        <item x="652"/>
        <item x="475"/>
        <item x="651"/>
        <item x="572"/>
        <item x="632"/>
        <item x="437"/>
        <item x="360"/>
        <item x="627"/>
        <item x="620"/>
        <item x="395"/>
        <item x="442"/>
        <item x="526"/>
        <item x="521"/>
        <item x="452"/>
        <item x="587"/>
        <item x="431"/>
        <item x="356"/>
        <item x="428"/>
        <item x="672"/>
        <item x="367"/>
        <item x="441"/>
        <item x="624"/>
        <item x="386"/>
        <item x="382"/>
        <item x="409"/>
        <item x="378"/>
        <item x="659"/>
        <item x="547"/>
        <item x="574"/>
        <item x="397"/>
        <item x="362"/>
        <item x="580"/>
        <item x="551"/>
        <item x="353"/>
        <item x="605"/>
        <item x="589"/>
        <item x="591"/>
        <item x="505"/>
        <item x="435"/>
        <item x="341"/>
        <item x="541"/>
        <item x="355"/>
        <item x="436"/>
        <item x="370"/>
        <item x="662"/>
        <item x="536"/>
        <item x="376"/>
        <item x="402"/>
        <item x="470"/>
        <item x="421"/>
        <item x="522"/>
        <item x="451"/>
        <item x="371"/>
        <item x="506"/>
        <item x="427"/>
        <item x="361"/>
        <item x="525"/>
        <item x="561"/>
        <item x="586"/>
        <item x="354"/>
        <item x="448"/>
        <item x="612"/>
        <item x="424"/>
        <item x="455"/>
        <item x="414"/>
        <item x="403"/>
        <item x="443"/>
        <item x="518"/>
        <item x="588"/>
        <item x="584"/>
        <item x="558"/>
        <item x="653"/>
        <item x="420"/>
        <item x="450"/>
        <item x="663"/>
        <item x="512"/>
        <item x="520"/>
        <item x="673"/>
        <item x="549"/>
        <item x="352"/>
        <item x="668"/>
        <item x="404"/>
        <item x="581"/>
        <item x="363"/>
        <item x="415"/>
        <item x="351"/>
        <item x="569"/>
        <item x="600"/>
        <item x="501"/>
        <item x="565"/>
        <item x="528"/>
        <item x="597"/>
        <item x="381"/>
        <item x="639"/>
        <item x="567"/>
        <item x="648"/>
        <item x="599"/>
        <item x="637"/>
        <item x="410"/>
        <item x="497"/>
        <item x="609"/>
        <item x="342"/>
        <item x="571"/>
        <item x="494"/>
        <item x="590"/>
        <item x="412"/>
        <item x="517"/>
        <item x="649"/>
        <item x="446"/>
        <item x="365"/>
        <item x="622"/>
        <item x="596"/>
        <item x="579"/>
        <item x="616"/>
        <item x="594"/>
        <item x="456"/>
        <item x="418"/>
        <item x="554"/>
        <item x="495"/>
        <item x="430"/>
        <item x="394"/>
        <item x="552"/>
        <item x="434"/>
        <item x="562"/>
        <item x="604"/>
        <item x="368"/>
        <item x="504"/>
        <item x="438"/>
        <item x="347"/>
        <item x="593"/>
        <item x="390"/>
        <item x="372"/>
        <item x="479"/>
        <item x="514"/>
        <item x="564"/>
        <item x="459"/>
        <item x="486"/>
        <item x="487"/>
        <item x="608"/>
        <item x="423"/>
        <item x="357"/>
        <item x="661"/>
        <item x="444"/>
        <item x="654"/>
        <item x="488"/>
        <item x="629"/>
        <item x="399"/>
        <item x="373"/>
        <item x="499"/>
        <item x="398"/>
        <item x="464"/>
        <item x="422"/>
        <item x="669"/>
        <item x="611"/>
        <item x="374"/>
        <item x="559"/>
        <item x="603"/>
        <item x="396"/>
        <item x="533"/>
        <item x="369"/>
        <item x="500"/>
        <item x="537"/>
        <item x="582"/>
        <item x="626"/>
        <item x="543"/>
        <item x="658"/>
        <item x="449"/>
        <item x="546"/>
        <item x="557"/>
        <item x="345"/>
        <item x="432"/>
        <item x="573"/>
        <item x="553"/>
        <item x="485"/>
        <item x="578"/>
        <item x="426"/>
        <item x="636"/>
        <item x="538"/>
        <item x="634"/>
        <item x="462"/>
        <item x="613"/>
        <item x="453"/>
        <item x="471"/>
        <item x="617"/>
        <item x="575"/>
        <item x="576"/>
        <item x="585"/>
        <item x="400"/>
        <item x="445"/>
        <item x="671"/>
        <item x="655"/>
        <item x="480"/>
        <item x="407"/>
        <item x="387"/>
        <item x="406"/>
        <item x="676"/>
        <item x="519"/>
        <item x="548"/>
        <item x="392"/>
        <item x="680"/>
        <item x="465"/>
        <item x="417"/>
        <item x="592"/>
        <item x="460"/>
        <item x="560"/>
        <item x="490"/>
        <item x="425"/>
        <item x="542"/>
        <item x="606"/>
        <item x="515"/>
        <item x="602"/>
        <item x="502"/>
        <item x="385"/>
        <item x="481"/>
        <item x="364"/>
        <item x="633"/>
        <item x="638"/>
        <item x="405"/>
        <item x="539"/>
        <item x="647"/>
        <item x="391"/>
        <item x="408"/>
        <item x="665"/>
        <item x="644"/>
        <item x="454"/>
        <item x="566"/>
        <item x="440"/>
        <item x="682"/>
        <item t="default"/>
      </items>
    </pivotField>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1"/>
  </rowFields>
  <rowItems count="7">
    <i>
      <x/>
    </i>
    <i>
      <x v="1"/>
    </i>
    <i>
      <x v="2"/>
    </i>
    <i>
      <x v="3"/>
    </i>
    <i>
      <x v="4"/>
    </i>
    <i>
      <x v="5"/>
    </i>
    <i t="grand">
      <x/>
    </i>
  </rowItems>
  <colFields count="1">
    <field x="4"/>
  </colFields>
  <colItems count="4">
    <i>
      <x/>
    </i>
    <i>
      <x v="1"/>
    </i>
    <i>
      <x v="2"/>
    </i>
    <i t="grand">
      <x/>
    </i>
  </colItems>
  <dataFields count="1">
    <dataField name="Count of Item Name" fld="0" subtotal="count" baseField="0" baseItem="0"/>
  </dataFields>
  <chartFormats count="8">
    <chartFormat chart="0" format="3" series="1">
      <pivotArea type="data" outline="0" fieldPosition="0">
        <references count="1">
          <reference field="4" count="1" selected="0">
            <x v="0"/>
          </reference>
        </references>
      </pivotArea>
    </chartFormat>
    <chartFormat chart="0" format="4" series="1">
      <pivotArea type="data" outline="0" fieldPosition="0">
        <references count="1">
          <reference field="4" count="1" selected="0">
            <x v="1"/>
          </reference>
        </references>
      </pivotArea>
    </chartFormat>
    <chartFormat chart="0" format="5" series="1">
      <pivotArea type="data" outline="0" fieldPosition="0">
        <references count="1">
          <reference field="4" count="1" selected="0">
            <x v="2"/>
          </reference>
        </references>
      </pivotArea>
    </chartFormat>
    <chartFormat chart="4" format="9" series="1">
      <pivotArea type="data" outline="0" fieldPosition="0">
        <references count="2">
          <reference field="4294967294" count="1" selected="0">
            <x v="0"/>
          </reference>
          <reference field="4" count="1" selected="0">
            <x v="0"/>
          </reference>
        </references>
      </pivotArea>
    </chartFormat>
    <chartFormat chart="4" format="10" series="1">
      <pivotArea type="data" outline="0" fieldPosition="0">
        <references count="2">
          <reference field="4294967294" count="1" selected="0">
            <x v="0"/>
          </reference>
          <reference field="4" count="1" selected="0">
            <x v="1"/>
          </reference>
        </references>
      </pivotArea>
    </chartFormat>
    <chartFormat chart="4" format="11" series="1">
      <pivotArea type="data" outline="0" fieldPosition="0">
        <references count="2">
          <reference field="4294967294" count="1" selected="0">
            <x v="0"/>
          </reference>
          <reference field="4" count="1" selected="0">
            <x v="2"/>
          </reference>
        </references>
      </pivotArea>
    </chartFormat>
    <chartFormat chart="0" format="6" series="1">
      <pivotArea type="data" outline="0" fieldPosition="0">
        <references count="2">
          <reference field="4294967294" count="1" selected="0">
            <x v="0"/>
          </reference>
          <reference field="4" count="1" selected="0">
            <x v="1"/>
          </reference>
        </references>
      </pivotArea>
    </chartFormat>
    <chartFormat chart="0" format="7" series="1">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A8D4210-0EA4-4646-8D0C-928D260B16BB}"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4">
  <location ref="A3:B7" firstHeaderRow="1" firstDataRow="1" firstDataCol="1" rowPageCount="1" colPageCount="1"/>
  <pivotFields count="11">
    <pivotField dataField="1" showAll="0">
      <items count="139">
        <item x="39"/>
        <item x="36"/>
        <item x="48"/>
        <item x="18"/>
        <item x="9"/>
        <item x="23"/>
        <item x="41"/>
        <item x="16"/>
        <item x="5"/>
        <item x="24"/>
        <item x="94"/>
        <item x="115"/>
        <item x="124"/>
        <item x="135"/>
        <item x="130"/>
        <item x="85"/>
        <item x="106"/>
        <item x="117"/>
        <item x="102"/>
        <item x="113"/>
        <item x="126"/>
        <item x="91"/>
        <item x="114"/>
        <item x="105"/>
        <item x="77"/>
        <item x="98"/>
        <item x="128"/>
        <item x="86"/>
        <item x="87"/>
        <item x="54"/>
        <item x="34"/>
        <item x="0"/>
        <item x="40"/>
        <item x="43"/>
        <item x="10"/>
        <item x="30"/>
        <item x="38"/>
        <item x="11"/>
        <item x="47"/>
        <item x="13"/>
        <item x="4"/>
        <item x="25"/>
        <item x="7"/>
        <item x="32"/>
        <item x="46"/>
        <item x="49"/>
        <item x="31"/>
        <item x="1"/>
        <item x="28"/>
        <item x="21"/>
        <item x="79"/>
        <item x="51"/>
        <item x="52"/>
        <item x="65"/>
        <item x="70"/>
        <item x="112"/>
        <item x="90"/>
        <item x="53"/>
        <item x="93"/>
        <item x="55"/>
        <item x="68"/>
        <item x="83"/>
        <item x="64"/>
        <item x="127"/>
        <item x="99"/>
        <item x="92"/>
        <item x="69"/>
        <item x="82"/>
        <item x="66"/>
        <item x="15"/>
        <item x="44"/>
        <item x="26"/>
        <item x="22"/>
        <item x="19"/>
        <item x="8"/>
        <item x="42"/>
        <item x="12"/>
        <item x="45"/>
        <item x="20"/>
        <item x="71"/>
        <item x="122"/>
        <item x="60"/>
        <item x="131"/>
        <item x="56"/>
        <item x="61"/>
        <item x="129"/>
        <item x="107"/>
        <item x="63"/>
        <item x="80"/>
        <item x="72"/>
        <item x="132"/>
        <item x="81"/>
        <item x="59"/>
        <item x="136"/>
        <item x="123"/>
        <item x="95"/>
        <item x="58"/>
        <item x="84"/>
        <item x="120"/>
        <item x="74"/>
        <item x="100"/>
        <item x="111"/>
        <item x="109"/>
        <item x="121"/>
        <item x="116"/>
        <item x="89"/>
        <item x="103"/>
        <item x="118"/>
        <item x="108"/>
        <item x="125"/>
        <item x="73"/>
        <item x="57"/>
        <item x="78"/>
        <item x="88"/>
        <item x="119"/>
        <item x="67"/>
        <item x="96"/>
        <item x="50"/>
        <item x="101"/>
        <item x="62"/>
        <item x="134"/>
        <item x="97"/>
        <item x="133"/>
        <item x="76"/>
        <item x="110"/>
        <item x="104"/>
        <item x="137"/>
        <item x="75"/>
        <item x="14"/>
        <item x="27"/>
        <item x="35"/>
        <item x="29"/>
        <item x="3"/>
        <item x="2"/>
        <item x="6"/>
        <item x="37"/>
        <item x="33"/>
        <item x="17"/>
        <item t="default"/>
      </items>
    </pivotField>
    <pivotField showAll="0">
      <items count="6">
        <item x="2"/>
        <item x="0"/>
        <item x="1"/>
        <item x="3"/>
        <item x="4"/>
        <item t="default"/>
      </items>
    </pivotField>
    <pivotField showAll="0"/>
    <pivotField showAll="0"/>
    <pivotField axis="axisPage" showAll="0">
      <items count="2">
        <item x="0"/>
        <item t="default"/>
      </items>
    </pivotField>
    <pivotField axis="axisRow" showAll="0">
      <items count="7">
        <item m="1" x="5"/>
        <item m="1" x="4"/>
        <item m="1" x="3"/>
        <item x="0"/>
        <item x="1"/>
        <item x="2"/>
        <item t="default"/>
      </items>
    </pivotField>
    <pivotField showAll="0"/>
    <pivotField showAll="0"/>
    <pivotField numFmtId="164" showAll="0"/>
    <pivotField numFmtId="164" showAll="0"/>
    <pivotField showAll="0"/>
  </pivotFields>
  <rowFields count="1">
    <field x="5"/>
  </rowFields>
  <rowItems count="4">
    <i>
      <x v="3"/>
    </i>
    <i>
      <x v="4"/>
    </i>
    <i>
      <x v="5"/>
    </i>
    <i t="grand">
      <x/>
    </i>
  </rowItems>
  <colItems count="1">
    <i/>
  </colItems>
  <pageFields count="1">
    <pageField fld="4" hier="-1"/>
  </pageFields>
  <dataFields count="1">
    <dataField name="Count of Item Name" fld="0" subtotal="count" baseField="0" baseItem="0"/>
  </dataFields>
  <chartFormats count="2">
    <chartFormat chart="5" format="0"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F1B5A40-6526-484E-8440-FF66FC322D6D}"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3:B7" firstHeaderRow="1" firstDataRow="1" firstDataCol="1"/>
  <pivotFields count="14">
    <pivotField dataField="1" showAll="0">
      <items count="142">
        <item x="15"/>
        <item x="24"/>
        <item x="10"/>
        <item x="39"/>
        <item x="29"/>
        <item x="12"/>
        <item x="17"/>
        <item x="41"/>
        <item x="5"/>
        <item x="45"/>
        <item x="129"/>
        <item x="92"/>
        <item x="134"/>
        <item x="108"/>
        <item x="132"/>
        <item x="126"/>
        <item x="110"/>
        <item x="137"/>
        <item x="84"/>
        <item x="136"/>
        <item x="135"/>
        <item x="71"/>
        <item x="117"/>
        <item x="102"/>
        <item x="52"/>
        <item x="88"/>
        <item x="139"/>
        <item x="127"/>
        <item x="109"/>
        <item x="67"/>
        <item x="43"/>
        <item x="2"/>
        <item x="16"/>
        <item x="49"/>
        <item x="31"/>
        <item x="19"/>
        <item x="20"/>
        <item x="33"/>
        <item x="44"/>
        <item x="6"/>
        <item x="18"/>
        <item x="46"/>
        <item x="8"/>
        <item x="3"/>
        <item x="23"/>
        <item x="48"/>
        <item x="47"/>
        <item x="4"/>
        <item x="38"/>
        <item x="14"/>
        <item x="107"/>
        <item x="59"/>
        <item x="64"/>
        <item x="60"/>
        <item x="61"/>
        <item x="99"/>
        <item x="101"/>
        <item x="65"/>
        <item x="55"/>
        <item x="68"/>
        <item x="51"/>
        <item x="124"/>
        <item x="94"/>
        <item x="53"/>
        <item x="96"/>
        <item x="58"/>
        <item x="122"/>
        <item x="105"/>
        <item x="123"/>
        <item x="103"/>
        <item x="28"/>
        <item x="42"/>
        <item x="1"/>
        <item x="35"/>
        <item x="30"/>
        <item x="26"/>
        <item x="40"/>
        <item x="7"/>
        <item x="34"/>
        <item x="37"/>
        <item x="106"/>
        <item x="120"/>
        <item x="80"/>
        <item x="138"/>
        <item x="73"/>
        <item x="85"/>
        <item x="133"/>
        <item x="98"/>
        <item x="70"/>
        <item x="57"/>
        <item x="56"/>
        <item x="83"/>
        <item x="112"/>
        <item x="78"/>
        <item x="62"/>
        <item x="115"/>
        <item x="89"/>
        <item x="131"/>
        <item x="75"/>
        <item x="119"/>
        <item x="114"/>
        <item x="91"/>
        <item x="121"/>
        <item x="82"/>
        <item x="95"/>
        <item x="50"/>
        <item x="87"/>
        <item x="128"/>
        <item x="113"/>
        <item x="100"/>
        <item x="97"/>
        <item x="66"/>
        <item x="76"/>
        <item x="74"/>
        <item x="118"/>
        <item x="81"/>
        <item x="63"/>
        <item x="93"/>
        <item x="111"/>
        <item x="54"/>
        <item x="69"/>
        <item x="86"/>
        <item x="90"/>
        <item x="77"/>
        <item x="72"/>
        <item x="116"/>
        <item x="104"/>
        <item x="130"/>
        <item x="125"/>
        <item x="79"/>
        <item x="36"/>
        <item x="0"/>
        <item x="22"/>
        <item x="25"/>
        <item x="11"/>
        <item x="9"/>
        <item x="21"/>
        <item x="27"/>
        <item x="32"/>
        <item x="13"/>
        <item x="140"/>
        <item t="default"/>
      </items>
    </pivotField>
    <pivotField showAll="0"/>
    <pivotField showAll="0"/>
    <pivotField showAll="0"/>
    <pivotField axis="axisRow" showAll="0">
      <items count="4">
        <item x="0"/>
        <item x="1"/>
        <item x="2"/>
        <item t="default"/>
      </items>
    </pivotField>
    <pivotField showAll="0">
      <items count="5">
        <item x="1"/>
        <item x="0"/>
        <item x="2"/>
        <item x="3"/>
        <item t="default"/>
      </items>
    </pivotField>
    <pivotField showAll="0"/>
    <pivotField showAll="0"/>
    <pivotField showAll="0">
      <items count="684">
        <item x="41"/>
        <item x="261"/>
        <item x="179"/>
        <item x="159"/>
        <item x="325"/>
        <item x="320"/>
        <item x="124"/>
        <item x="147"/>
        <item x="183"/>
        <item x="134"/>
        <item x="56"/>
        <item x="298"/>
        <item x="286"/>
        <item x="130"/>
        <item x="299"/>
        <item x="278"/>
        <item x="206"/>
        <item x="214"/>
        <item x="139"/>
        <item x="39"/>
        <item x="64"/>
        <item x="15"/>
        <item x="60"/>
        <item x="25"/>
        <item x="74"/>
        <item x="28"/>
        <item x="310"/>
        <item x="268"/>
        <item x="307"/>
        <item x="50"/>
        <item x="245"/>
        <item x="166"/>
        <item x="92"/>
        <item x="201"/>
        <item x="105"/>
        <item x="217"/>
        <item x="55"/>
        <item x="194"/>
        <item x="71"/>
        <item x="275"/>
        <item x="185"/>
        <item x="202"/>
        <item x="133"/>
        <item x="330"/>
        <item x="136"/>
        <item x="94"/>
        <item x="311"/>
        <item x="240"/>
        <item x="109"/>
        <item x="177"/>
        <item x="35"/>
        <item x="100"/>
        <item x="20"/>
        <item x="1"/>
        <item x="300"/>
        <item x="167"/>
        <item x="69"/>
        <item x="336"/>
        <item x="239"/>
        <item x="93"/>
        <item x="281"/>
        <item x="102"/>
        <item x="29"/>
        <item x="323"/>
        <item x="339"/>
        <item x="326"/>
        <item x="7"/>
        <item x="288"/>
        <item x="193"/>
        <item x="225"/>
        <item x="144"/>
        <item x="154"/>
        <item x="83"/>
        <item x="88"/>
        <item x="248"/>
        <item x="77"/>
        <item x="229"/>
        <item x="42"/>
        <item x="304"/>
        <item x="67"/>
        <item x="313"/>
        <item x="51"/>
        <item x="63"/>
        <item x="255"/>
        <item x="52"/>
        <item x="334"/>
        <item x="251"/>
        <item x="116"/>
        <item x="119"/>
        <item x="204"/>
        <item x="332"/>
        <item x="128"/>
        <item x="72"/>
        <item x="197"/>
        <item x="16"/>
        <item x="90"/>
        <item x="171"/>
        <item x="68"/>
        <item x="164"/>
        <item x="215"/>
        <item x="162"/>
        <item x="73"/>
        <item x="122"/>
        <item x="0"/>
        <item x="142"/>
        <item x="103"/>
        <item x="328"/>
        <item x="224"/>
        <item x="196"/>
        <item x="254"/>
        <item x="110"/>
        <item x="203"/>
        <item x="247"/>
        <item x="238"/>
        <item x="18"/>
        <item x="76"/>
        <item x="290"/>
        <item x="106"/>
        <item x="242"/>
        <item x="297"/>
        <item x="104"/>
        <item x="266"/>
        <item x="231"/>
        <item x="176"/>
        <item x="173"/>
        <item x="327"/>
        <item x="111"/>
        <item x="23"/>
        <item x="126"/>
        <item x="195"/>
        <item x="146"/>
        <item x="253"/>
        <item x="294"/>
        <item x="118"/>
        <item x="127"/>
        <item x="157"/>
        <item x="308"/>
        <item x="277"/>
        <item x="87"/>
        <item x="43"/>
        <item x="256"/>
        <item x="302"/>
        <item x="305"/>
        <item x="237"/>
        <item x="17"/>
        <item x="184"/>
        <item x="285"/>
        <item x="258"/>
        <item x="5"/>
        <item x="303"/>
        <item x="228"/>
        <item x="260"/>
        <item x="191"/>
        <item x="178"/>
        <item x="82"/>
        <item x="66"/>
        <item x="186"/>
        <item x="120"/>
        <item x="236"/>
        <item x="33"/>
        <item x="337"/>
        <item x="318"/>
        <item x="108"/>
        <item x="209"/>
        <item x="38"/>
        <item x="36"/>
        <item x="315"/>
        <item x="319"/>
        <item x="165"/>
        <item x="129"/>
        <item x="296"/>
        <item x="148"/>
        <item x="227"/>
        <item x="125"/>
        <item x="135"/>
        <item x="199"/>
        <item x="44"/>
        <item x="232"/>
        <item x="3"/>
        <item x="19"/>
        <item x="30"/>
        <item x="216"/>
        <item x="98"/>
        <item x="211"/>
        <item x="54"/>
        <item x="221"/>
        <item x="57"/>
        <item x="89"/>
        <item x="230"/>
        <item x="13"/>
        <item x="145"/>
        <item x="85"/>
        <item x="112"/>
        <item x="333"/>
        <item x="314"/>
        <item x="155"/>
        <item x="259"/>
        <item x="80"/>
        <item x="338"/>
        <item x="243"/>
        <item x="70"/>
        <item x="287"/>
        <item x="62"/>
        <item x="11"/>
        <item x="181"/>
        <item x="284"/>
        <item x="280"/>
        <item x="241"/>
        <item x="226"/>
        <item x="301"/>
        <item x="210"/>
        <item x="14"/>
        <item x="138"/>
        <item x="97"/>
        <item x="121"/>
        <item x="291"/>
        <item x="31"/>
        <item x="190"/>
        <item x="123"/>
        <item x="169"/>
        <item x="331"/>
        <item x="187"/>
        <item x="312"/>
        <item x="151"/>
        <item x="131"/>
        <item x="45"/>
        <item x="61"/>
        <item x="153"/>
        <item x="26"/>
        <item x="49"/>
        <item x="168"/>
        <item x="269"/>
        <item x="101"/>
        <item x="96"/>
        <item x="189"/>
        <item x="249"/>
        <item x="306"/>
        <item x="81"/>
        <item x="143"/>
        <item x="141"/>
        <item x="132"/>
        <item x="235"/>
        <item x="149"/>
        <item x="267"/>
        <item x="117"/>
        <item x="10"/>
        <item x="6"/>
        <item x="91"/>
        <item x="113"/>
        <item x="321"/>
        <item x="295"/>
        <item x="95"/>
        <item x="270"/>
        <item x="192"/>
        <item x="250"/>
        <item x="180"/>
        <item x="79"/>
        <item x="107"/>
        <item x="53"/>
        <item x="24"/>
        <item x="188"/>
        <item x="46"/>
        <item x="58"/>
        <item x="273"/>
        <item x="115"/>
        <item x="198"/>
        <item x="316"/>
        <item x="156"/>
        <item x="244"/>
        <item x="289"/>
        <item x="220"/>
        <item x="252"/>
        <item x="282"/>
        <item x="27"/>
        <item x="279"/>
        <item x="48"/>
        <item x="317"/>
        <item x="324"/>
        <item x="263"/>
        <item x="32"/>
        <item x="137"/>
        <item x="160"/>
        <item x="75"/>
        <item x="65"/>
        <item x="246"/>
        <item x="99"/>
        <item x="12"/>
        <item x="265"/>
        <item x="86"/>
        <item x="212"/>
        <item x="233"/>
        <item x="283"/>
        <item x="264"/>
        <item x="329"/>
        <item x="163"/>
        <item x="170"/>
        <item x="219"/>
        <item x="40"/>
        <item x="292"/>
        <item x="271"/>
        <item x="2"/>
        <item x="78"/>
        <item x="9"/>
        <item x="276"/>
        <item x="59"/>
        <item x="8"/>
        <item x="84"/>
        <item x="309"/>
        <item x="174"/>
        <item x="34"/>
        <item x="207"/>
        <item x="234"/>
        <item x="200"/>
        <item x="22"/>
        <item x="274"/>
        <item x="272"/>
        <item x="47"/>
        <item x="208"/>
        <item x="205"/>
        <item x="213"/>
        <item x="161"/>
        <item x="182"/>
        <item x="37"/>
        <item x="175"/>
        <item x="150"/>
        <item x="158"/>
        <item x="222"/>
        <item x="293"/>
        <item x="172"/>
        <item x="140"/>
        <item x="335"/>
        <item x="4"/>
        <item x="114"/>
        <item x="257"/>
        <item x="152"/>
        <item x="218"/>
        <item x="262"/>
        <item x="223"/>
        <item x="21"/>
        <item x="322"/>
        <item x="642"/>
        <item x="509"/>
        <item x="524"/>
        <item x="383"/>
        <item x="366"/>
        <item x="389"/>
        <item x="484"/>
        <item x="615"/>
        <item x="614"/>
        <item x="472"/>
        <item x="675"/>
        <item x="473"/>
        <item x="678"/>
        <item x="498"/>
        <item x="478"/>
        <item x="619"/>
        <item x="482"/>
        <item x="607"/>
        <item x="595"/>
        <item x="583"/>
        <item x="510"/>
        <item x="350"/>
        <item x="375"/>
        <item x="631"/>
        <item x="461"/>
        <item x="413"/>
        <item x="496"/>
        <item x="463"/>
        <item x="477"/>
        <item x="670"/>
        <item x="540"/>
        <item x="416"/>
        <item x="645"/>
        <item x="646"/>
        <item x="429"/>
        <item x="433"/>
        <item x="568"/>
        <item x="377"/>
        <item x="384"/>
        <item x="532"/>
        <item x="507"/>
        <item x="555"/>
        <item x="349"/>
        <item x="544"/>
        <item x="380"/>
        <item x="458"/>
        <item x="545"/>
        <item x="379"/>
        <item x="531"/>
        <item x="598"/>
        <item x="344"/>
        <item x="681"/>
        <item x="483"/>
        <item x="650"/>
        <item x="340"/>
        <item x="503"/>
        <item x="493"/>
        <item x="393"/>
        <item x="625"/>
        <item x="563"/>
        <item x="623"/>
        <item x="674"/>
        <item x="621"/>
        <item x="447"/>
        <item x="348"/>
        <item x="527"/>
        <item x="550"/>
        <item x="640"/>
        <item x="467"/>
        <item x="491"/>
        <item x="523"/>
        <item x="656"/>
        <item x="570"/>
        <item x="358"/>
        <item x="529"/>
        <item x="411"/>
        <item x="419"/>
        <item x="439"/>
        <item x="577"/>
        <item x="679"/>
        <item x="664"/>
        <item x="346"/>
        <item x="511"/>
        <item x="556"/>
        <item x="359"/>
        <item x="610"/>
        <item x="601"/>
        <item x="401"/>
        <item x="492"/>
        <item x="466"/>
        <item x="388"/>
        <item x="476"/>
        <item x="630"/>
        <item x="641"/>
        <item x="618"/>
        <item x="508"/>
        <item x="469"/>
        <item x="535"/>
        <item x="635"/>
        <item x="677"/>
        <item x="516"/>
        <item x="666"/>
        <item x="660"/>
        <item x="643"/>
        <item x="474"/>
        <item x="667"/>
        <item x="628"/>
        <item x="457"/>
        <item x="513"/>
        <item x="530"/>
        <item x="534"/>
        <item x="468"/>
        <item x="343"/>
        <item x="489"/>
        <item x="657"/>
        <item x="652"/>
        <item x="475"/>
        <item x="651"/>
        <item x="572"/>
        <item x="632"/>
        <item x="437"/>
        <item x="360"/>
        <item x="627"/>
        <item x="620"/>
        <item x="395"/>
        <item x="442"/>
        <item x="526"/>
        <item x="521"/>
        <item x="452"/>
        <item x="587"/>
        <item x="431"/>
        <item x="356"/>
        <item x="428"/>
        <item x="672"/>
        <item x="367"/>
        <item x="441"/>
        <item x="624"/>
        <item x="386"/>
        <item x="382"/>
        <item x="409"/>
        <item x="378"/>
        <item x="659"/>
        <item x="547"/>
        <item x="574"/>
        <item x="397"/>
        <item x="362"/>
        <item x="580"/>
        <item x="551"/>
        <item x="353"/>
        <item x="605"/>
        <item x="589"/>
        <item x="591"/>
        <item x="505"/>
        <item x="435"/>
        <item x="341"/>
        <item x="541"/>
        <item x="355"/>
        <item x="436"/>
        <item x="370"/>
        <item x="662"/>
        <item x="536"/>
        <item x="376"/>
        <item x="402"/>
        <item x="470"/>
        <item x="421"/>
        <item x="522"/>
        <item x="451"/>
        <item x="371"/>
        <item x="506"/>
        <item x="427"/>
        <item x="361"/>
        <item x="525"/>
        <item x="561"/>
        <item x="586"/>
        <item x="354"/>
        <item x="448"/>
        <item x="612"/>
        <item x="424"/>
        <item x="455"/>
        <item x="414"/>
        <item x="403"/>
        <item x="443"/>
        <item x="518"/>
        <item x="588"/>
        <item x="584"/>
        <item x="558"/>
        <item x="653"/>
        <item x="420"/>
        <item x="450"/>
        <item x="663"/>
        <item x="512"/>
        <item x="520"/>
        <item x="673"/>
        <item x="549"/>
        <item x="352"/>
        <item x="668"/>
        <item x="404"/>
        <item x="581"/>
        <item x="363"/>
        <item x="415"/>
        <item x="351"/>
        <item x="569"/>
        <item x="600"/>
        <item x="501"/>
        <item x="565"/>
        <item x="528"/>
        <item x="597"/>
        <item x="381"/>
        <item x="639"/>
        <item x="567"/>
        <item x="648"/>
        <item x="599"/>
        <item x="637"/>
        <item x="410"/>
        <item x="497"/>
        <item x="609"/>
        <item x="342"/>
        <item x="571"/>
        <item x="494"/>
        <item x="590"/>
        <item x="412"/>
        <item x="517"/>
        <item x="649"/>
        <item x="446"/>
        <item x="365"/>
        <item x="622"/>
        <item x="596"/>
        <item x="579"/>
        <item x="616"/>
        <item x="594"/>
        <item x="456"/>
        <item x="418"/>
        <item x="554"/>
        <item x="495"/>
        <item x="430"/>
        <item x="394"/>
        <item x="552"/>
        <item x="434"/>
        <item x="562"/>
        <item x="604"/>
        <item x="368"/>
        <item x="504"/>
        <item x="438"/>
        <item x="347"/>
        <item x="593"/>
        <item x="390"/>
        <item x="372"/>
        <item x="479"/>
        <item x="514"/>
        <item x="564"/>
        <item x="459"/>
        <item x="486"/>
        <item x="487"/>
        <item x="608"/>
        <item x="423"/>
        <item x="357"/>
        <item x="661"/>
        <item x="444"/>
        <item x="654"/>
        <item x="488"/>
        <item x="629"/>
        <item x="399"/>
        <item x="373"/>
        <item x="499"/>
        <item x="398"/>
        <item x="464"/>
        <item x="422"/>
        <item x="669"/>
        <item x="611"/>
        <item x="374"/>
        <item x="559"/>
        <item x="603"/>
        <item x="396"/>
        <item x="533"/>
        <item x="369"/>
        <item x="500"/>
        <item x="537"/>
        <item x="582"/>
        <item x="626"/>
        <item x="543"/>
        <item x="658"/>
        <item x="449"/>
        <item x="546"/>
        <item x="557"/>
        <item x="345"/>
        <item x="432"/>
        <item x="573"/>
        <item x="553"/>
        <item x="485"/>
        <item x="578"/>
        <item x="426"/>
        <item x="636"/>
        <item x="538"/>
        <item x="634"/>
        <item x="462"/>
        <item x="613"/>
        <item x="453"/>
        <item x="471"/>
        <item x="617"/>
        <item x="575"/>
        <item x="576"/>
        <item x="585"/>
        <item x="400"/>
        <item x="445"/>
        <item x="671"/>
        <item x="655"/>
        <item x="480"/>
        <item x="407"/>
        <item x="387"/>
        <item x="406"/>
        <item x="676"/>
        <item x="519"/>
        <item x="548"/>
        <item x="392"/>
        <item x="680"/>
        <item x="465"/>
        <item x="417"/>
        <item x="592"/>
        <item x="460"/>
        <item x="560"/>
        <item x="490"/>
        <item x="425"/>
        <item x="542"/>
        <item x="606"/>
        <item x="515"/>
        <item x="602"/>
        <item x="502"/>
        <item x="385"/>
        <item x="481"/>
        <item x="364"/>
        <item x="633"/>
        <item x="638"/>
        <item x="405"/>
        <item x="539"/>
        <item x="647"/>
        <item x="391"/>
        <item x="408"/>
        <item x="665"/>
        <item x="644"/>
        <item x="454"/>
        <item x="566"/>
        <item x="440"/>
        <item x="682"/>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4"/>
  </rowFields>
  <rowItems count="4">
    <i>
      <x/>
    </i>
    <i>
      <x v="1"/>
    </i>
    <i>
      <x v="2"/>
    </i>
    <i t="grand">
      <x/>
    </i>
  </rowItems>
  <colItems count="1">
    <i/>
  </colItems>
  <dataFields count="1">
    <dataField name="Count of Item Name" fld="0" subtotal="count" baseField="0" baseItem="0"/>
  </dataFields>
  <chartFormats count="8">
    <chartFormat chart="1" format="0" series="1">
      <pivotArea type="data" outline="0" fieldPosition="0">
        <references count="1">
          <reference field="4294967294" count="1" selected="0">
            <x v="0"/>
          </reference>
        </references>
      </pivotArea>
    </chartFormat>
    <chartFormat chart="8" format="5" series="1">
      <pivotArea type="data" outline="0" fieldPosition="0">
        <references count="1">
          <reference field="4294967294" count="1" selected="0">
            <x v="0"/>
          </reference>
        </references>
      </pivotArea>
    </chartFormat>
    <chartFormat chart="8" format="6">
      <pivotArea type="data" outline="0" fieldPosition="0">
        <references count="2">
          <reference field="4294967294" count="1" selected="0">
            <x v="0"/>
          </reference>
          <reference field="4" count="1" selected="0">
            <x v="0"/>
          </reference>
        </references>
      </pivotArea>
    </chartFormat>
    <chartFormat chart="8" format="7">
      <pivotArea type="data" outline="0" fieldPosition="0">
        <references count="2">
          <reference field="4294967294" count="1" selected="0">
            <x v="0"/>
          </reference>
          <reference field="4" count="1" selected="0">
            <x v="1"/>
          </reference>
        </references>
      </pivotArea>
    </chartFormat>
    <chartFormat chart="8" format="8">
      <pivotArea type="data" outline="0" fieldPosition="0">
        <references count="2">
          <reference field="4294967294" count="1" selected="0">
            <x v="0"/>
          </reference>
          <reference field="4" count="1" selected="0">
            <x v="2"/>
          </reference>
        </references>
      </pivotArea>
    </chartFormat>
    <chartFormat chart="1" format="1">
      <pivotArea type="data" outline="0" fieldPosition="0">
        <references count="2">
          <reference field="4294967294" count="1" selected="0">
            <x v="0"/>
          </reference>
          <reference field="4" count="1" selected="0">
            <x v="0"/>
          </reference>
        </references>
      </pivotArea>
    </chartFormat>
    <chartFormat chart="1" format="2">
      <pivotArea type="data" outline="0" fieldPosition="0">
        <references count="2">
          <reference field="4294967294" count="1" selected="0">
            <x v="0"/>
          </reference>
          <reference field="4" count="1" selected="0">
            <x v="1"/>
          </reference>
        </references>
      </pivotArea>
    </chartFormat>
    <chartFormat chart="1" format="3">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Name" xr10:uid="{CBF06EEB-CA7C-44E9-9D20-3DFC02C430AE}" sourceName="Item Name">
  <pivotTables>
    <pivotTable tabId="15" name="PivotTable3"/>
  </pivotTables>
  <data>
    <tabular pivotCacheId="1579612126">
      <items count="141">
        <i x="15" s="1"/>
        <i x="24" s="1"/>
        <i x="10" s="1"/>
        <i x="39" s="1"/>
        <i x="29" s="1"/>
        <i x="12" s="1"/>
        <i x="17" s="1"/>
        <i x="41" s="1"/>
        <i x="5" s="1"/>
        <i x="45" s="1"/>
        <i x="129" s="1"/>
        <i x="92" s="1"/>
        <i x="134" s="1"/>
        <i x="108" s="1"/>
        <i x="132" s="1"/>
        <i x="126" s="1"/>
        <i x="110" s="1"/>
        <i x="137" s="1"/>
        <i x="84" s="1"/>
        <i x="136" s="1"/>
        <i x="135" s="1"/>
        <i x="71" s="1"/>
        <i x="117" s="1"/>
        <i x="102" s="1"/>
        <i x="52" s="1"/>
        <i x="88" s="1"/>
        <i x="139" s="1"/>
        <i x="127" s="1"/>
        <i x="109" s="1"/>
        <i x="67" s="1"/>
        <i x="43" s="1"/>
        <i x="2" s="1"/>
        <i x="16" s="1"/>
        <i x="49" s="1"/>
        <i x="31" s="1"/>
        <i x="19" s="1"/>
        <i x="20" s="1"/>
        <i x="33" s="1"/>
        <i x="44" s="1"/>
        <i x="6" s="1"/>
        <i x="18" s="1"/>
        <i x="46" s="1"/>
        <i x="8" s="1"/>
        <i x="3" s="1"/>
        <i x="23" s="1"/>
        <i x="48" s="1"/>
        <i x="47" s="1"/>
        <i x="4" s="1"/>
        <i x="38" s="1"/>
        <i x="14" s="1"/>
        <i x="107" s="1"/>
        <i x="59" s="1"/>
        <i x="64" s="1"/>
        <i x="60" s="1"/>
        <i x="61" s="1"/>
        <i x="99" s="1"/>
        <i x="101" s="1"/>
        <i x="65" s="1"/>
        <i x="55" s="1"/>
        <i x="68" s="1"/>
        <i x="51" s="1"/>
        <i x="124" s="1"/>
        <i x="94" s="1"/>
        <i x="53" s="1"/>
        <i x="96" s="1"/>
        <i x="58" s="1"/>
        <i x="122" s="1"/>
        <i x="105" s="1"/>
        <i x="123" s="1"/>
        <i x="103" s="1"/>
        <i x="28" s="1"/>
        <i x="42" s="1"/>
        <i x="1" s="1"/>
        <i x="35" s="1"/>
        <i x="30" s="1"/>
        <i x="26" s="1"/>
        <i x="40" s="1"/>
        <i x="7" s="1"/>
        <i x="34" s="1"/>
        <i x="37" s="1"/>
        <i x="106" s="1"/>
        <i x="120" s="1"/>
        <i x="80" s="1"/>
        <i x="138" s="1"/>
        <i x="73" s="1"/>
        <i x="85" s="1"/>
        <i x="133" s="1"/>
        <i x="98" s="1"/>
        <i x="70" s="1"/>
        <i x="57" s="1"/>
        <i x="56" s="1"/>
        <i x="83" s="1"/>
        <i x="112" s="1"/>
        <i x="78" s="1"/>
        <i x="62" s="1"/>
        <i x="115" s="1"/>
        <i x="89" s="1"/>
        <i x="131" s="1"/>
        <i x="75" s="1"/>
        <i x="119" s="1"/>
        <i x="114" s="1"/>
        <i x="91" s="1"/>
        <i x="121" s="1"/>
        <i x="82" s="1"/>
        <i x="95" s="1"/>
        <i x="50" s="1"/>
        <i x="87" s="1"/>
        <i x="128" s="1"/>
        <i x="113" s="1"/>
        <i x="100" s="1"/>
        <i x="97" s="1"/>
        <i x="66" s="1"/>
        <i x="76" s="1"/>
        <i x="74" s="1"/>
        <i x="118" s="1"/>
        <i x="81" s="1"/>
        <i x="63" s="1"/>
        <i x="93" s="1"/>
        <i x="111" s="1"/>
        <i x="54" s="1"/>
        <i x="69" s="1"/>
        <i x="86" s="1"/>
        <i x="90" s="1"/>
        <i x="77" s="1"/>
        <i x="72" s="1"/>
        <i x="116" s="1"/>
        <i x="104" s="1"/>
        <i x="130" s="1"/>
        <i x="125" s="1"/>
        <i x="79" s="1"/>
        <i x="36" s="1"/>
        <i x="0" s="1"/>
        <i x="22" s="1"/>
        <i x="25" s="1"/>
        <i x="11" s="1"/>
        <i x="9" s="1"/>
        <i x="21" s="1"/>
        <i x="27" s="1"/>
        <i x="32" s="1"/>
        <i x="13" s="1"/>
        <i x="140"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BE9452E5-2FB4-4AD2-A917-DA42EDD25E0F}" sourceName="Status">
  <pivotTables>
    <pivotTable tabId="15" name="PivotTable3"/>
    <pivotTable tabId="16" name="PivotTable1"/>
  </pivotTables>
  <data>
    <tabular pivotCacheId="1579612126">
      <items count="3">
        <i x="0" s="1"/>
        <i x="1" s="1"/>
        <i x="2"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pplier" xr10:uid="{A1FF6860-26DC-49FE-AF94-7824DF4E736A}" sourceName="Supplier">
  <pivotTables>
    <pivotTable tabId="15" name="PivotTable3"/>
  </pivotTables>
  <data>
    <tabular pivotCacheId="1579612126">
      <items count="4">
        <i x="1" s="1"/>
        <i x="0" s="1"/>
        <i x="2" s="1"/>
        <i x="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Name1" xr10:uid="{269B1F05-A6B2-464F-8EAA-F6486AADA246}" sourceName="Item Name">
  <pivotTables>
    <pivotTable tabId="10" name="PivotTable1"/>
  </pivotTables>
  <data>
    <tabular pivotCacheId="593517470">
      <items count="138">
        <i x="39" s="1"/>
        <i x="36" s="1"/>
        <i x="48" s="1"/>
        <i x="18" s="1"/>
        <i x="9" s="1"/>
        <i x="23" s="1"/>
        <i x="41" s="1"/>
        <i x="16" s="1"/>
        <i x="5" s="1"/>
        <i x="24" s="1"/>
        <i x="94" s="1"/>
        <i x="115" s="1"/>
        <i x="124" s="1"/>
        <i x="135" s="1"/>
        <i x="130" s="1"/>
        <i x="85" s="1"/>
        <i x="106" s="1"/>
        <i x="117" s="1"/>
        <i x="102" s="1"/>
        <i x="113" s="1"/>
        <i x="126" s="1"/>
        <i x="91" s="1"/>
        <i x="114" s="1"/>
        <i x="105" s="1"/>
        <i x="77" s="1"/>
        <i x="98" s="1"/>
        <i x="128" s="1"/>
        <i x="86" s="1"/>
        <i x="87" s="1"/>
        <i x="54" s="1"/>
        <i x="34" s="1"/>
        <i x="0" s="1"/>
        <i x="40" s="1"/>
        <i x="43" s="1"/>
        <i x="10" s="1"/>
        <i x="30" s="1"/>
        <i x="38" s="1"/>
        <i x="11" s="1"/>
        <i x="47" s="1"/>
        <i x="13" s="1"/>
        <i x="4" s="1"/>
        <i x="25" s="1"/>
        <i x="7" s="1"/>
        <i x="32" s="1"/>
        <i x="46" s="1"/>
        <i x="49" s="1"/>
        <i x="31" s="1"/>
        <i x="1" s="1"/>
        <i x="28" s="1"/>
        <i x="21" s="1"/>
        <i x="79" s="1"/>
        <i x="51" s="1"/>
        <i x="52" s="1"/>
        <i x="65" s="1"/>
        <i x="70" s="1"/>
        <i x="112" s="1"/>
        <i x="90" s="1"/>
        <i x="53" s="1"/>
        <i x="93" s="1"/>
        <i x="55" s="1"/>
        <i x="68" s="1"/>
        <i x="83" s="1"/>
        <i x="64" s="1"/>
        <i x="127" s="1"/>
        <i x="99" s="1"/>
        <i x="92" s="1"/>
        <i x="69" s="1"/>
        <i x="82" s="1"/>
        <i x="66" s="1"/>
        <i x="15" s="1"/>
        <i x="44" s="1"/>
        <i x="26" s="1"/>
        <i x="22" s="1"/>
        <i x="19" s="1"/>
        <i x="8" s="1"/>
        <i x="42" s="1"/>
        <i x="12" s="1"/>
        <i x="45" s="1"/>
        <i x="20" s="1"/>
        <i x="71" s="1"/>
        <i x="122" s="1"/>
        <i x="60" s="1"/>
        <i x="131" s="1"/>
        <i x="56" s="1"/>
        <i x="61" s="1"/>
        <i x="129" s="1"/>
        <i x="107" s="1"/>
        <i x="63" s="1"/>
        <i x="80" s="1"/>
        <i x="72" s="1"/>
        <i x="132" s="1"/>
        <i x="81" s="1"/>
        <i x="59" s="1"/>
        <i x="136" s="1"/>
        <i x="123" s="1"/>
        <i x="95" s="1"/>
        <i x="58" s="1"/>
        <i x="84" s="1"/>
        <i x="120" s="1"/>
        <i x="74" s="1"/>
        <i x="100" s="1"/>
        <i x="111" s="1"/>
        <i x="109" s="1"/>
        <i x="121" s="1"/>
        <i x="116" s="1"/>
        <i x="89" s="1"/>
        <i x="103" s="1"/>
        <i x="118" s="1"/>
        <i x="108" s="1"/>
        <i x="125" s="1"/>
        <i x="73" s="1"/>
        <i x="57" s="1"/>
        <i x="78" s="1"/>
        <i x="88" s="1"/>
        <i x="119" s="1"/>
        <i x="67" s="1"/>
        <i x="96" s="1"/>
        <i x="50" s="1"/>
        <i x="101" s="1"/>
        <i x="62" s="1"/>
        <i x="134" s="1"/>
        <i x="97" s="1"/>
        <i x="133" s="1"/>
        <i x="76" s="1"/>
        <i x="110" s="1"/>
        <i x="104" s="1"/>
        <i x="137" s="1"/>
        <i x="75" s="1"/>
        <i x="14" s="1"/>
        <i x="27" s="1"/>
        <i x="35" s="1"/>
        <i x="29" s="1"/>
        <i x="3" s="1"/>
        <i x="2" s="1"/>
        <i x="6" s="1"/>
        <i x="37" s="1"/>
        <i x="33" s="1"/>
        <i x="1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tem Name 2" xr10:uid="{C2915F56-BEBF-4A06-92F8-2A645CA0BF95}" cache="Slicer_Item_Name1" caption="Item Name"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tem Name" xr10:uid="{4DEBE2C1-714F-489D-BFB2-68222DE2E17B}" cache="Slicer_Item_Name" caption="Item Name" rowHeight="241300"/>
  <slicer name="Status" xr10:uid="{5392CB1B-41A8-422F-B4EA-AE47D85AA255}" cache="Slicer_Status" caption="Status" rowHeight="241300"/>
  <slicer name="Supplier" xr10:uid="{96B85F24-A94D-4792-A58F-742C1CB2F7C0}" cache="Slicer_Supplier" caption="Supplier"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us 1" xr10:uid="{49329526-08AB-4F24-925E-537CEC8355B8}" cache="Slicer_Status" caption="Status" rowHeight="241300"/>
  <slicer name="Supplier 1" xr10:uid="{EB50B9F5-5CB7-4BBD-B4DF-D006288EFD41}" cache="Slicer_Supplier" caption="Supplier" rowHeight="241300"/>
  <slicer name="Item Name 3" xr10:uid="{805DFD73-7780-44BB-BFFA-F7A8CC9EE6E7}" cache="Slicer_Item_Name1" caption="Item Name"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 dockstate="right" visibility="0" width="582" row="6">
    <wetp:webextensionref xmlns:r="http://schemas.openxmlformats.org/officeDocument/2006/relationships" r:id="rId2"/>
  </wetp:taskpane>
  <wetp:taskpane dockstate="right" visibility="0" width="350" row="7">
    <wetp:webextensionref xmlns:r="http://schemas.openxmlformats.org/officeDocument/2006/relationships" r:id="rId3"/>
  </wetp:taskpane>
</wetp:taskpanes>
</file>

<file path=xl/webextensions/webextension1.xml><?xml version="1.0" encoding="utf-8"?>
<we:webextension xmlns:we="http://schemas.microsoft.com/office/webextensions/webextension/2010/11" id="{2A520F0C-23F8-470B-9971-AAAB063A7138}">
  <we:reference id="wa200005502" version="1.0.0.12" store="en-US" storeType="OMEX"/>
  <we:alternateReferences>
    <we:reference id="wa200005502" version="1.0.0.12" store="wa200005502" storeType="OMEX"/>
  </we:alternateReferences>
  <we:properties>
    <we:property name="docId" value="&quot;Sq1s3VZ2Kyuae5SnfZHGE&quot;"/>
  </we:properties>
  <we:bindings/>
  <we:snapshot xmlns:r="http://schemas.openxmlformats.org/officeDocument/2006/relationships"/>
</we:webextension>
</file>

<file path=xl/webextensions/webextension2.xml><?xml version="1.0" encoding="utf-8"?>
<we:webextension xmlns:we="http://schemas.microsoft.com/office/webextensions/webextension/2010/11" id="{D603F76E-B219-427C-AEF9-006EF35F7258}">
  <we:reference id="wa200007447" version="1.0.0.0" store="en-US" storeType="OMEX"/>
  <we:alternateReferences>
    <we:reference id="wa200007447" version="1.0.0.0" store="wa200007447"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5FA4570D-F323-4266-AD27-1AF954758BBF}">
  <we:reference id="wa200005271" version="2.5.5.0" store="en-US" storeType="OMEX"/>
  <we:alternateReferences>
    <we:reference id="wa200005271" version="2.5.5.0" store="wa200005271"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6.xml"/><Relationship Id="rId6" Type="http://schemas.microsoft.com/office/2007/relationships/slicer" Target="../slicers/slicer3.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A34D2-ED18-4EB2-8B78-8257109477D5}">
  <dimension ref="A3:E11"/>
  <sheetViews>
    <sheetView workbookViewId="0">
      <selection activeCell="J19" sqref="J19"/>
    </sheetView>
  </sheetViews>
  <sheetFormatPr defaultRowHeight="15" x14ac:dyDescent="0.25"/>
  <cols>
    <col min="1" max="1" width="19.140625" bestFit="1" customWidth="1"/>
    <col min="2" max="2" width="16.28515625" bestFit="1" customWidth="1"/>
    <col min="3" max="3" width="8.140625" bestFit="1" customWidth="1"/>
    <col min="4" max="4" width="7.28515625" bestFit="1" customWidth="1"/>
    <col min="5" max="5" width="11.28515625" bestFit="1" customWidth="1"/>
  </cols>
  <sheetData>
    <row r="3" spans="1:5" x14ac:dyDescent="0.25">
      <c r="A3" s="5" t="s">
        <v>169</v>
      </c>
      <c r="B3" s="5" t="s">
        <v>177</v>
      </c>
    </row>
    <row r="4" spans="1:5" x14ac:dyDescent="0.25">
      <c r="A4" s="5" t="s">
        <v>166</v>
      </c>
      <c r="B4" t="s">
        <v>13</v>
      </c>
      <c r="C4" t="s">
        <v>19</v>
      </c>
      <c r="D4" t="s">
        <v>176</v>
      </c>
      <c r="E4" t="s">
        <v>167</v>
      </c>
    </row>
    <row r="5" spans="1:5" x14ac:dyDescent="0.25">
      <c r="A5" s="6" t="s">
        <v>23</v>
      </c>
      <c r="B5" s="15">
        <v>299</v>
      </c>
      <c r="C5" s="15">
        <v>114</v>
      </c>
      <c r="D5" s="15"/>
      <c r="E5" s="15">
        <v>413</v>
      </c>
    </row>
    <row r="6" spans="1:5" x14ac:dyDescent="0.25">
      <c r="A6" s="6" t="s">
        <v>16</v>
      </c>
      <c r="B6" s="15">
        <v>268</v>
      </c>
      <c r="C6" s="15">
        <v>126</v>
      </c>
      <c r="D6" s="15"/>
      <c r="E6" s="15">
        <v>394</v>
      </c>
    </row>
    <row r="7" spans="1:5" x14ac:dyDescent="0.25">
      <c r="A7" s="6" t="s">
        <v>12</v>
      </c>
      <c r="B7" s="15">
        <v>281</v>
      </c>
      <c r="C7" s="15">
        <v>117</v>
      </c>
      <c r="D7" s="15"/>
      <c r="E7" s="15">
        <v>398</v>
      </c>
    </row>
    <row r="8" spans="1:5" x14ac:dyDescent="0.25">
      <c r="A8" s="6" t="s">
        <v>28</v>
      </c>
      <c r="B8" s="15">
        <v>284</v>
      </c>
      <c r="C8" s="15">
        <v>135</v>
      </c>
      <c r="D8" s="15"/>
      <c r="E8" s="15">
        <v>419</v>
      </c>
    </row>
    <row r="9" spans="1:5" x14ac:dyDescent="0.25">
      <c r="A9" s="6" t="s">
        <v>30</v>
      </c>
      <c r="B9" s="15">
        <v>273</v>
      </c>
      <c r="C9" s="15">
        <v>103</v>
      </c>
      <c r="D9" s="15"/>
      <c r="E9" s="15">
        <v>376</v>
      </c>
    </row>
    <row r="10" spans="1:5" x14ac:dyDescent="0.25">
      <c r="A10" s="6" t="s">
        <v>176</v>
      </c>
      <c r="B10" s="15"/>
      <c r="C10" s="15"/>
      <c r="D10" s="15"/>
      <c r="E10" s="15"/>
    </row>
    <row r="11" spans="1:5" x14ac:dyDescent="0.25">
      <c r="A11" s="6" t="s">
        <v>167</v>
      </c>
      <c r="B11" s="15">
        <v>1405</v>
      </c>
      <c r="C11" s="15">
        <v>595</v>
      </c>
      <c r="D11" s="15"/>
      <c r="E11" s="15">
        <v>2000</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EF5EA5-E148-4152-8D85-37820945EA6E}">
  <sheetPr codeName="Sheet8"/>
  <dimension ref="A1:L2001"/>
  <sheetViews>
    <sheetView workbookViewId="0">
      <selection sqref="A1:XFD1048576"/>
    </sheetView>
  </sheetViews>
  <sheetFormatPr defaultRowHeight="15" x14ac:dyDescent="0.25"/>
  <cols>
    <col min="1" max="1" width="23.42578125" bestFit="1" customWidth="1"/>
    <col min="2" max="2" width="13.42578125" bestFit="1" customWidth="1"/>
    <col min="3" max="3" width="13.85546875" bestFit="1" customWidth="1"/>
    <col min="4" max="4" width="18" bestFit="1" customWidth="1"/>
    <col min="5" max="5" width="8.7109375" bestFit="1" customWidth="1"/>
    <col min="6" max="6" width="23.5703125" bestFit="1" customWidth="1"/>
    <col min="7" max="7" width="12.5703125" bestFit="1" customWidth="1"/>
    <col min="8" max="8" width="14.140625" customWidth="1"/>
    <col min="9" max="9" width="19.28515625" bestFit="1" customWidth="1"/>
    <col min="10" max="10" width="26.7109375" bestFit="1" customWidth="1"/>
    <col min="11" max="11" width="42.5703125" bestFit="1" customWidth="1"/>
  </cols>
  <sheetData>
    <row r="1" spans="1:11" x14ac:dyDescent="0.25">
      <c r="A1" s="1" t="s">
        <v>0</v>
      </c>
      <c r="B1" s="1" t="s">
        <v>1</v>
      </c>
      <c r="C1" s="1" t="s">
        <v>2</v>
      </c>
      <c r="D1" s="1" t="s">
        <v>3</v>
      </c>
      <c r="E1" t="s">
        <v>4</v>
      </c>
      <c r="F1" s="1" t="s">
        <v>5</v>
      </c>
      <c r="G1" s="1" t="s">
        <v>6</v>
      </c>
      <c r="H1" s="1" t="s">
        <v>7</v>
      </c>
      <c r="I1" s="1" t="s">
        <v>8</v>
      </c>
      <c r="J1" s="1" t="s">
        <v>9</v>
      </c>
      <c r="K1" s="1" t="s">
        <v>10</v>
      </c>
    </row>
    <row r="2" spans="1:11" x14ac:dyDescent="0.25">
      <c r="A2" t="s">
        <v>11</v>
      </c>
      <c r="B2" t="s">
        <v>12</v>
      </c>
      <c r="C2">
        <v>82</v>
      </c>
      <c r="D2">
        <v>75</v>
      </c>
      <c r="E2" t="s">
        <v>13</v>
      </c>
      <c r="F2" t="s">
        <v>170</v>
      </c>
      <c r="G2">
        <v>359.97</v>
      </c>
      <c r="H2" t="s">
        <v>14</v>
      </c>
      <c r="I2" s="2">
        <v>45038</v>
      </c>
      <c r="J2" s="2">
        <v>45066</v>
      </c>
      <c r="K2" t="s">
        <v>172</v>
      </c>
    </row>
    <row r="3" spans="1:11" x14ac:dyDescent="0.25">
      <c r="A3" t="s">
        <v>15</v>
      </c>
      <c r="B3" t="s">
        <v>16</v>
      </c>
      <c r="C3">
        <v>156</v>
      </c>
      <c r="D3">
        <v>79</v>
      </c>
      <c r="E3" t="s">
        <v>13</v>
      </c>
      <c r="F3" t="s">
        <v>173</v>
      </c>
      <c r="G3">
        <v>149.97</v>
      </c>
      <c r="H3" t="s">
        <v>14</v>
      </c>
      <c r="I3" s="2">
        <v>44984</v>
      </c>
      <c r="J3" s="2">
        <v>45008</v>
      </c>
      <c r="K3" t="s">
        <v>17</v>
      </c>
    </row>
    <row r="4" spans="1:11" x14ac:dyDescent="0.25">
      <c r="A4" t="s">
        <v>18</v>
      </c>
      <c r="B4" t="s">
        <v>16</v>
      </c>
      <c r="C4">
        <v>70</v>
      </c>
      <c r="D4">
        <v>97</v>
      </c>
      <c r="E4" t="s">
        <v>19</v>
      </c>
      <c r="F4" t="s">
        <v>173</v>
      </c>
      <c r="G4">
        <v>487.27</v>
      </c>
      <c r="H4" t="s">
        <v>20</v>
      </c>
      <c r="I4" s="2">
        <v>45250</v>
      </c>
      <c r="J4" s="2">
        <v>45315</v>
      </c>
      <c r="K4" t="s">
        <v>21</v>
      </c>
    </row>
    <row r="5" spans="1:11" x14ac:dyDescent="0.25">
      <c r="A5" t="s">
        <v>22</v>
      </c>
      <c r="B5" t="s">
        <v>23</v>
      </c>
      <c r="C5">
        <v>79</v>
      </c>
      <c r="D5">
        <v>36</v>
      </c>
      <c r="E5" t="s">
        <v>13</v>
      </c>
      <c r="F5" t="s">
        <v>170</v>
      </c>
      <c r="G5">
        <v>384.7</v>
      </c>
      <c r="H5" t="s">
        <v>14</v>
      </c>
      <c r="I5" s="2">
        <v>45116</v>
      </c>
      <c r="J5" s="2">
        <v>45177</v>
      </c>
      <c r="K5" t="s">
        <v>172</v>
      </c>
    </row>
    <row r="6" spans="1:11" x14ac:dyDescent="0.25">
      <c r="A6" t="s">
        <v>24</v>
      </c>
      <c r="B6" t="s">
        <v>12</v>
      </c>
      <c r="C6">
        <v>16</v>
      </c>
      <c r="D6">
        <v>97</v>
      </c>
      <c r="E6" t="s">
        <v>19</v>
      </c>
      <c r="F6" t="s">
        <v>173</v>
      </c>
      <c r="G6">
        <v>156.4</v>
      </c>
      <c r="H6" t="s">
        <v>14</v>
      </c>
      <c r="I6" s="2">
        <v>45282</v>
      </c>
      <c r="J6" s="2">
        <v>45360</v>
      </c>
      <c r="K6" t="s">
        <v>17</v>
      </c>
    </row>
    <row r="7" spans="1:11" x14ac:dyDescent="0.25">
      <c r="A7" t="s">
        <v>25</v>
      </c>
      <c r="B7" t="s">
        <v>12</v>
      </c>
      <c r="C7">
        <v>62</v>
      </c>
      <c r="D7">
        <v>30</v>
      </c>
      <c r="E7" t="s">
        <v>13</v>
      </c>
      <c r="F7" t="s">
        <v>170</v>
      </c>
      <c r="G7">
        <v>378.58</v>
      </c>
      <c r="H7" t="s">
        <v>26</v>
      </c>
      <c r="I7" s="2">
        <v>45085</v>
      </c>
      <c r="J7" s="2">
        <v>45160</v>
      </c>
      <c r="K7" t="s">
        <v>172</v>
      </c>
    </row>
    <row r="8" spans="1:11" x14ac:dyDescent="0.25">
      <c r="A8" t="s">
        <v>27</v>
      </c>
      <c r="B8" t="s">
        <v>28</v>
      </c>
      <c r="C8">
        <v>170</v>
      </c>
      <c r="D8">
        <v>66</v>
      </c>
      <c r="E8" t="s">
        <v>13</v>
      </c>
      <c r="F8" t="s">
        <v>173</v>
      </c>
      <c r="G8">
        <v>33.06</v>
      </c>
      <c r="H8" t="s">
        <v>20</v>
      </c>
      <c r="I8" s="2">
        <v>45192</v>
      </c>
      <c r="J8" s="2">
        <v>45219</v>
      </c>
      <c r="K8" t="s">
        <v>21</v>
      </c>
    </row>
    <row r="9" spans="1:11" x14ac:dyDescent="0.25">
      <c r="A9" t="s">
        <v>29</v>
      </c>
      <c r="B9" t="s">
        <v>12</v>
      </c>
      <c r="C9">
        <v>133</v>
      </c>
      <c r="D9">
        <v>85</v>
      </c>
      <c r="E9" t="s">
        <v>13</v>
      </c>
      <c r="F9" t="s">
        <v>173</v>
      </c>
      <c r="G9">
        <v>257</v>
      </c>
      <c r="H9" t="s">
        <v>20</v>
      </c>
      <c r="I9" s="2">
        <v>44997</v>
      </c>
      <c r="J9" s="2">
        <v>45081</v>
      </c>
      <c r="K9" t="s">
        <v>21</v>
      </c>
    </row>
    <row r="10" spans="1:11" x14ac:dyDescent="0.25">
      <c r="A10" t="s">
        <v>24</v>
      </c>
      <c r="B10" t="s">
        <v>30</v>
      </c>
      <c r="C10">
        <v>48</v>
      </c>
      <c r="D10">
        <v>40</v>
      </c>
      <c r="E10" t="s">
        <v>13</v>
      </c>
      <c r="F10" t="s">
        <v>173</v>
      </c>
      <c r="G10">
        <v>384.48</v>
      </c>
      <c r="H10" t="s">
        <v>14</v>
      </c>
      <c r="I10" s="2">
        <v>45255</v>
      </c>
      <c r="J10" s="2">
        <v>45270</v>
      </c>
    </row>
    <row r="11" spans="1:11" x14ac:dyDescent="0.25">
      <c r="A11" t="s">
        <v>31</v>
      </c>
      <c r="B11" t="s">
        <v>12</v>
      </c>
      <c r="C11">
        <v>131</v>
      </c>
      <c r="D11">
        <v>27</v>
      </c>
      <c r="E11" t="s">
        <v>13</v>
      </c>
      <c r="F11" t="s">
        <v>171</v>
      </c>
      <c r="G11">
        <v>76.430000000000007</v>
      </c>
      <c r="H11" t="s">
        <v>26</v>
      </c>
      <c r="I11" s="2">
        <v>45252</v>
      </c>
      <c r="J11" s="2">
        <v>45331</v>
      </c>
      <c r="K11" t="s">
        <v>17</v>
      </c>
    </row>
    <row r="12" spans="1:11" x14ac:dyDescent="0.25">
      <c r="A12" t="s">
        <v>32</v>
      </c>
      <c r="B12" t="s">
        <v>23</v>
      </c>
      <c r="C12">
        <v>42</v>
      </c>
      <c r="D12">
        <v>72</v>
      </c>
      <c r="E12" t="s">
        <v>19</v>
      </c>
      <c r="F12" t="s">
        <v>171</v>
      </c>
      <c r="G12">
        <v>287.44</v>
      </c>
      <c r="H12" t="s">
        <v>20</v>
      </c>
      <c r="I12" s="2">
        <v>45191</v>
      </c>
      <c r="J12" s="2">
        <v>45211</v>
      </c>
      <c r="K12" t="s">
        <v>21</v>
      </c>
    </row>
    <row r="13" spans="1:11" x14ac:dyDescent="0.25">
      <c r="A13" t="s">
        <v>33</v>
      </c>
      <c r="B13" t="s">
        <v>30</v>
      </c>
      <c r="C13">
        <v>158</v>
      </c>
      <c r="D13">
        <v>34</v>
      </c>
      <c r="E13" t="s">
        <v>13</v>
      </c>
      <c r="F13" t="s">
        <v>170</v>
      </c>
      <c r="G13">
        <v>43.32</v>
      </c>
      <c r="H13" t="s">
        <v>14</v>
      </c>
      <c r="I13" s="2">
        <v>45143</v>
      </c>
      <c r="J13" s="2">
        <v>45224</v>
      </c>
      <c r="K13" t="s">
        <v>21</v>
      </c>
    </row>
    <row r="14" spans="1:11" x14ac:dyDescent="0.25">
      <c r="A14" t="s">
        <v>34</v>
      </c>
      <c r="B14" t="s">
        <v>16</v>
      </c>
      <c r="C14">
        <v>10</v>
      </c>
      <c r="D14">
        <v>71</v>
      </c>
      <c r="E14" t="s">
        <v>19</v>
      </c>
      <c r="F14" t="s">
        <v>173</v>
      </c>
      <c r="G14">
        <v>201.76</v>
      </c>
      <c r="H14" t="s">
        <v>26</v>
      </c>
      <c r="I14" s="2">
        <v>45233</v>
      </c>
      <c r="J14" s="2">
        <v>45321</v>
      </c>
      <c r="K14" t="s">
        <v>17</v>
      </c>
    </row>
    <row r="15" spans="1:11" x14ac:dyDescent="0.25">
      <c r="A15" t="s">
        <v>11</v>
      </c>
      <c r="B15" t="s">
        <v>28</v>
      </c>
      <c r="C15">
        <v>156</v>
      </c>
      <c r="D15">
        <v>76</v>
      </c>
      <c r="E15" t="s">
        <v>13</v>
      </c>
      <c r="F15" t="s">
        <v>173</v>
      </c>
      <c r="G15">
        <v>150.87</v>
      </c>
      <c r="H15" t="s">
        <v>26</v>
      </c>
      <c r="I15" s="2">
        <v>45129</v>
      </c>
      <c r="J15" s="2">
        <v>45151</v>
      </c>
      <c r="K15" t="s">
        <v>21</v>
      </c>
    </row>
    <row r="16" spans="1:11" x14ac:dyDescent="0.25">
      <c r="A16" t="s">
        <v>18</v>
      </c>
      <c r="B16" t="s">
        <v>12</v>
      </c>
      <c r="C16">
        <v>18</v>
      </c>
      <c r="D16">
        <v>55</v>
      </c>
      <c r="E16" t="s">
        <v>19</v>
      </c>
      <c r="F16" t="s">
        <v>173</v>
      </c>
      <c r="G16">
        <v>21.19</v>
      </c>
      <c r="H16" t="s">
        <v>26</v>
      </c>
      <c r="I16" s="2">
        <v>45152</v>
      </c>
      <c r="J16" s="2">
        <v>45187</v>
      </c>
      <c r="K16" t="s">
        <v>172</v>
      </c>
    </row>
    <row r="17" spans="1:12" x14ac:dyDescent="0.25">
      <c r="A17" t="s">
        <v>29</v>
      </c>
      <c r="B17" t="s">
        <v>23</v>
      </c>
      <c r="C17">
        <v>174</v>
      </c>
      <c r="D17">
        <v>85</v>
      </c>
      <c r="E17" t="s">
        <v>13</v>
      </c>
      <c r="F17" t="s">
        <v>173</v>
      </c>
      <c r="G17">
        <v>79.02</v>
      </c>
      <c r="H17" t="s">
        <v>14</v>
      </c>
      <c r="I17" s="2">
        <v>44950</v>
      </c>
      <c r="J17" s="2">
        <v>44968</v>
      </c>
    </row>
    <row r="18" spans="1:12" x14ac:dyDescent="0.25">
      <c r="A18" t="s">
        <v>35</v>
      </c>
      <c r="B18" t="s">
        <v>12</v>
      </c>
      <c r="C18">
        <v>96</v>
      </c>
      <c r="D18">
        <v>44</v>
      </c>
      <c r="E18" t="s">
        <v>13</v>
      </c>
      <c r="F18" t="s">
        <v>170</v>
      </c>
      <c r="G18">
        <v>331.36</v>
      </c>
      <c r="H18" t="s">
        <v>14</v>
      </c>
      <c r="I18" s="2">
        <v>45028</v>
      </c>
      <c r="J18" s="2">
        <v>45098</v>
      </c>
    </row>
    <row r="19" spans="1:12" x14ac:dyDescent="0.25">
      <c r="A19" t="s">
        <v>34</v>
      </c>
      <c r="B19" t="s">
        <v>23</v>
      </c>
      <c r="C19">
        <v>66</v>
      </c>
      <c r="D19">
        <v>50</v>
      </c>
      <c r="E19" t="s">
        <v>13</v>
      </c>
      <c r="F19" t="s">
        <v>171</v>
      </c>
      <c r="G19">
        <v>273.18</v>
      </c>
      <c r="H19" t="s">
        <v>20</v>
      </c>
      <c r="I19" s="2">
        <v>45081</v>
      </c>
      <c r="J19" s="2">
        <v>45164</v>
      </c>
    </row>
    <row r="20" spans="1:12" x14ac:dyDescent="0.25">
      <c r="A20" t="s">
        <v>36</v>
      </c>
      <c r="B20" t="s">
        <v>23</v>
      </c>
      <c r="C20">
        <v>99</v>
      </c>
      <c r="D20">
        <v>40</v>
      </c>
      <c r="E20" t="s">
        <v>13</v>
      </c>
      <c r="F20" t="s">
        <v>171</v>
      </c>
      <c r="G20">
        <v>74.849999999999994</v>
      </c>
      <c r="H20" t="s">
        <v>20</v>
      </c>
      <c r="I20" s="2">
        <v>45049</v>
      </c>
      <c r="J20" s="2">
        <v>45071</v>
      </c>
    </row>
    <row r="21" spans="1:12" x14ac:dyDescent="0.25">
      <c r="A21" t="s">
        <v>34</v>
      </c>
      <c r="B21" t="s">
        <v>28</v>
      </c>
      <c r="C21">
        <v>54</v>
      </c>
      <c r="D21">
        <v>62</v>
      </c>
      <c r="E21" t="s">
        <v>19</v>
      </c>
      <c r="F21" t="s">
        <v>171</v>
      </c>
      <c r="G21">
        <v>203.75</v>
      </c>
      <c r="H21" t="s">
        <v>20</v>
      </c>
      <c r="I21" s="2">
        <v>45118</v>
      </c>
      <c r="J21" s="2">
        <v>45145</v>
      </c>
      <c r="K21" t="s">
        <v>17</v>
      </c>
      <c r="L21" t="b">
        <f>IF(E1:E2001=" ","UNKNOWN")</f>
        <v>0</v>
      </c>
    </row>
    <row r="22" spans="1:12" x14ac:dyDescent="0.25">
      <c r="A22" t="s">
        <v>25</v>
      </c>
      <c r="B22" t="s">
        <v>12</v>
      </c>
      <c r="C22">
        <v>141</v>
      </c>
      <c r="D22">
        <v>61</v>
      </c>
      <c r="E22" t="s">
        <v>13</v>
      </c>
      <c r="F22" t="s">
        <v>173</v>
      </c>
      <c r="G22">
        <v>69.25</v>
      </c>
      <c r="H22" t="s">
        <v>20</v>
      </c>
      <c r="I22" s="2">
        <v>44983</v>
      </c>
      <c r="J22" s="2">
        <v>45063</v>
      </c>
      <c r="K22" t="s">
        <v>17</v>
      </c>
    </row>
    <row r="23" spans="1:12" x14ac:dyDescent="0.25">
      <c r="A23" t="s">
        <v>27</v>
      </c>
      <c r="B23" t="s">
        <v>28</v>
      </c>
      <c r="C23">
        <v>177</v>
      </c>
      <c r="D23">
        <v>69</v>
      </c>
      <c r="E23" t="s">
        <v>13</v>
      </c>
      <c r="F23" t="s">
        <v>171</v>
      </c>
      <c r="G23">
        <v>344.68</v>
      </c>
      <c r="H23" t="s">
        <v>26</v>
      </c>
      <c r="I23" s="2">
        <v>45289</v>
      </c>
      <c r="J23" s="2">
        <v>45323</v>
      </c>
      <c r="K23" t="s">
        <v>172</v>
      </c>
    </row>
    <row r="24" spans="1:12" x14ac:dyDescent="0.25">
      <c r="A24" t="s">
        <v>37</v>
      </c>
      <c r="B24" t="s">
        <v>12</v>
      </c>
      <c r="C24">
        <v>132</v>
      </c>
      <c r="D24">
        <v>96</v>
      </c>
      <c r="E24" t="s">
        <v>13</v>
      </c>
      <c r="F24" t="s">
        <v>173</v>
      </c>
      <c r="G24">
        <v>59.64</v>
      </c>
      <c r="H24" t="s">
        <v>26</v>
      </c>
      <c r="I24" s="2">
        <v>45263</v>
      </c>
      <c r="J24" s="2">
        <v>45292</v>
      </c>
      <c r="K24" t="s">
        <v>21</v>
      </c>
    </row>
    <row r="25" spans="1:12" x14ac:dyDescent="0.25">
      <c r="A25" t="s">
        <v>38</v>
      </c>
      <c r="B25" t="s">
        <v>16</v>
      </c>
      <c r="C25">
        <v>141</v>
      </c>
      <c r="D25">
        <v>71</v>
      </c>
      <c r="E25" t="s">
        <v>13</v>
      </c>
      <c r="F25" t="s">
        <v>170</v>
      </c>
      <c r="G25">
        <v>79.78</v>
      </c>
      <c r="H25" t="s">
        <v>14</v>
      </c>
      <c r="I25" s="2">
        <v>45062</v>
      </c>
      <c r="J25" s="2">
        <v>45093</v>
      </c>
      <c r="K25" t="s">
        <v>17</v>
      </c>
    </row>
    <row r="26" spans="1:12" x14ac:dyDescent="0.25">
      <c r="A26" t="s">
        <v>39</v>
      </c>
      <c r="B26" t="s">
        <v>30</v>
      </c>
      <c r="C26">
        <v>98</v>
      </c>
      <c r="D26">
        <v>58</v>
      </c>
      <c r="E26" t="s">
        <v>13</v>
      </c>
      <c r="F26" t="s">
        <v>171</v>
      </c>
      <c r="G26">
        <v>175.59</v>
      </c>
      <c r="H26" t="s">
        <v>20</v>
      </c>
      <c r="I26" s="2">
        <v>45206</v>
      </c>
      <c r="J26" s="2">
        <v>45273</v>
      </c>
    </row>
    <row r="27" spans="1:12" x14ac:dyDescent="0.25">
      <c r="A27" t="s">
        <v>40</v>
      </c>
      <c r="B27" t="s">
        <v>28</v>
      </c>
      <c r="C27">
        <v>144</v>
      </c>
      <c r="D27">
        <v>79</v>
      </c>
      <c r="E27" t="s">
        <v>13</v>
      </c>
      <c r="F27" t="s">
        <v>170</v>
      </c>
      <c r="G27">
        <v>37.909999999999997</v>
      </c>
      <c r="H27" t="s">
        <v>20</v>
      </c>
      <c r="I27" s="2">
        <v>44952</v>
      </c>
      <c r="J27" s="2">
        <v>44974</v>
      </c>
    </row>
    <row r="28" spans="1:12" x14ac:dyDescent="0.25">
      <c r="A28" t="s">
        <v>41</v>
      </c>
      <c r="B28" t="s">
        <v>16</v>
      </c>
      <c r="C28">
        <v>76</v>
      </c>
      <c r="D28">
        <v>92</v>
      </c>
      <c r="E28" t="s">
        <v>19</v>
      </c>
      <c r="F28" t="s">
        <v>171</v>
      </c>
      <c r="G28">
        <v>316.94</v>
      </c>
      <c r="H28" t="s">
        <v>20</v>
      </c>
      <c r="I28" s="2">
        <v>45171</v>
      </c>
      <c r="J28" s="2">
        <v>45230</v>
      </c>
    </row>
    <row r="29" spans="1:12" x14ac:dyDescent="0.25">
      <c r="A29" t="s">
        <v>24</v>
      </c>
      <c r="B29" t="s">
        <v>28</v>
      </c>
      <c r="C29">
        <v>139</v>
      </c>
      <c r="D29">
        <v>90</v>
      </c>
      <c r="E29" t="s">
        <v>13</v>
      </c>
      <c r="F29" t="s">
        <v>173</v>
      </c>
      <c r="G29">
        <v>362.07</v>
      </c>
      <c r="H29" t="s">
        <v>26</v>
      </c>
      <c r="I29" s="2">
        <v>45220</v>
      </c>
      <c r="J29" s="2">
        <v>45269</v>
      </c>
    </row>
    <row r="30" spans="1:12" x14ac:dyDescent="0.25">
      <c r="A30" t="s">
        <v>42</v>
      </c>
      <c r="B30" t="s">
        <v>12</v>
      </c>
      <c r="C30">
        <v>177</v>
      </c>
      <c r="D30">
        <v>95</v>
      </c>
      <c r="E30" t="s">
        <v>13</v>
      </c>
      <c r="F30" t="s">
        <v>170</v>
      </c>
      <c r="G30">
        <v>457.94</v>
      </c>
      <c r="H30" t="s">
        <v>26</v>
      </c>
      <c r="I30" s="2">
        <v>44954</v>
      </c>
      <c r="J30" s="2">
        <v>44990</v>
      </c>
      <c r="K30" t="s">
        <v>172</v>
      </c>
    </row>
    <row r="31" spans="1:12" x14ac:dyDescent="0.25">
      <c r="A31" t="s">
        <v>43</v>
      </c>
      <c r="B31" t="s">
        <v>12</v>
      </c>
      <c r="C31">
        <v>124</v>
      </c>
      <c r="D31">
        <v>97</v>
      </c>
      <c r="E31" t="s">
        <v>13</v>
      </c>
      <c r="F31" t="s">
        <v>173</v>
      </c>
      <c r="G31">
        <v>156.26</v>
      </c>
      <c r="H31" t="s">
        <v>20</v>
      </c>
      <c r="I31" s="2">
        <v>44993</v>
      </c>
      <c r="J31" s="2">
        <v>45010</v>
      </c>
      <c r="K31" t="s">
        <v>21</v>
      </c>
    </row>
    <row r="32" spans="1:12" x14ac:dyDescent="0.25">
      <c r="A32" t="s">
        <v>41</v>
      </c>
      <c r="B32" t="s">
        <v>16</v>
      </c>
      <c r="C32">
        <v>0</v>
      </c>
      <c r="D32">
        <v>32</v>
      </c>
      <c r="E32" t="s">
        <v>19</v>
      </c>
      <c r="F32" t="s">
        <v>170</v>
      </c>
      <c r="G32">
        <v>106.61</v>
      </c>
      <c r="H32" t="s">
        <v>14</v>
      </c>
      <c r="I32" s="2">
        <v>45119</v>
      </c>
      <c r="J32" s="2">
        <v>45157</v>
      </c>
      <c r="K32" t="s">
        <v>21</v>
      </c>
    </row>
    <row r="33" spans="1:11" x14ac:dyDescent="0.25">
      <c r="A33" t="s">
        <v>25</v>
      </c>
      <c r="B33" t="s">
        <v>12</v>
      </c>
      <c r="C33">
        <v>14</v>
      </c>
      <c r="D33">
        <v>32</v>
      </c>
      <c r="E33" t="s">
        <v>19</v>
      </c>
      <c r="F33" t="s">
        <v>170</v>
      </c>
      <c r="G33">
        <v>275.22000000000003</v>
      </c>
      <c r="H33" t="s">
        <v>26</v>
      </c>
      <c r="I33" s="2">
        <v>45157</v>
      </c>
      <c r="J33" s="2">
        <v>45209</v>
      </c>
      <c r="K33" t="s">
        <v>17</v>
      </c>
    </row>
    <row r="34" spans="1:11" x14ac:dyDescent="0.25">
      <c r="A34" t="s">
        <v>44</v>
      </c>
      <c r="B34" t="s">
        <v>30</v>
      </c>
      <c r="C34">
        <v>34</v>
      </c>
      <c r="D34">
        <v>58</v>
      </c>
      <c r="E34" t="s">
        <v>19</v>
      </c>
      <c r="F34" t="s">
        <v>170</v>
      </c>
      <c r="G34">
        <v>59.33</v>
      </c>
      <c r="H34" t="s">
        <v>14</v>
      </c>
      <c r="I34" s="2">
        <v>45226</v>
      </c>
      <c r="J34" s="2">
        <v>45251</v>
      </c>
      <c r="K34" t="s">
        <v>172</v>
      </c>
    </row>
    <row r="35" spans="1:11" x14ac:dyDescent="0.25">
      <c r="A35" t="s">
        <v>45</v>
      </c>
      <c r="B35" t="s">
        <v>23</v>
      </c>
      <c r="C35">
        <v>128</v>
      </c>
      <c r="D35">
        <v>52</v>
      </c>
      <c r="E35" t="s">
        <v>13</v>
      </c>
      <c r="F35" t="s">
        <v>170</v>
      </c>
      <c r="G35">
        <v>461.84</v>
      </c>
      <c r="H35" t="s">
        <v>26</v>
      </c>
      <c r="I35" s="2">
        <v>45097</v>
      </c>
      <c r="J35" s="2">
        <v>45153</v>
      </c>
      <c r="K35" t="s">
        <v>17</v>
      </c>
    </row>
    <row r="36" spans="1:11" x14ac:dyDescent="0.25">
      <c r="A36" t="s">
        <v>31</v>
      </c>
      <c r="B36" t="s">
        <v>30</v>
      </c>
      <c r="C36">
        <v>148</v>
      </c>
      <c r="D36">
        <v>57</v>
      </c>
      <c r="E36" t="s">
        <v>13</v>
      </c>
      <c r="F36" t="s">
        <v>173</v>
      </c>
      <c r="G36">
        <v>120.15</v>
      </c>
      <c r="H36" t="s">
        <v>20</v>
      </c>
      <c r="I36" s="2">
        <v>45259</v>
      </c>
      <c r="J36" s="2">
        <v>45336</v>
      </c>
      <c r="K36" t="s">
        <v>21</v>
      </c>
    </row>
    <row r="37" spans="1:11" x14ac:dyDescent="0.25">
      <c r="A37" t="s">
        <v>46</v>
      </c>
      <c r="B37" t="s">
        <v>28</v>
      </c>
      <c r="C37">
        <v>180</v>
      </c>
      <c r="D37">
        <v>25</v>
      </c>
      <c r="E37" t="s">
        <v>13</v>
      </c>
      <c r="F37" t="s">
        <v>173</v>
      </c>
      <c r="G37">
        <v>344.3</v>
      </c>
      <c r="H37" t="s">
        <v>26</v>
      </c>
      <c r="I37" s="2">
        <v>44981</v>
      </c>
      <c r="J37" s="2">
        <v>44996</v>
      </c>
    </row>
    <row r="38" spans="1:11" x14ac:dyDescent="0.25">
      <c r="A38" t="s">
        <v>31</v>
      </c>
      <c r="B38" t="s">
        <v>12</v>
      </c>
      <c r="C38">
        <v>26</v>
      </c>
      <c r="D38">
        <v>65</v>
      </c>
      <c r="E38" t="s">
        <v>19</v>
      </c>
      <c r="F38" t="s">
        <v>173</v>
      </c>
      <c r="G38">
        <v>491.66</v>
      </c>
      <c r="H38" t="s">
        <v>26</v>
      </c>
      <c r="I38" s="2">
        <v>45103</v>
      </c>
      <c r="J38" s="2">
        <v>45128</v>
      </c>
      <c r="K38" t="s">
        <v>172</v>
      </c>
    </row>
    <row r="39" spans="1:11" x14ac:dyDescent="0.25">
      <c r="A39" t="s">
        <v>22</v>
      </c>
      <c r="B39" t="s">
        <v>12</v>
      </c>
      <c r="C39">
        <v>44</v>
      </c>
      <c r="D39">
        <v>40</v>
      </c>
      <c r="E39" t="s">
        <v>13</v>
      </c>
      <c r="F39" t="s">
        <v>170</v>
      </c>
      <c r="G39">
        <v>225.81</v>
      </c>
      <c r="H39" t="s">
        <v>20</v>
      </c>
      <c r="I39" s="2">
        <v>45273</v>
      </c>
      <c r="J39" s="2">
        <v>45333</v>
      </c>
      <c r="K39" t="s">
        <v>17</v>
      </c>
    </row>
    <row r="40" spans="1:11" x14ac:dyDescent="0.25">
      <c r="A40" t="s">
        <v>47</v>
      </c>
      <c r="B40" t="s">
        <v>16</v>
      </c>
      <c r="C40">
        <v>178</v>
      </c>
      <c r="D40">
        <v>27</v>
      </c>
      <c r="E40" t="s">
        <v>13</v>
      </c>
      <c r="F40" t="s">
        <v>171</v>
      </c>
      <c r="G40">
        <v>447.6</v>
      </c>
      <c r="H40" t="s">
        <v>26</v>
      </c>
      <c r="I40" s="2">
        <v>45102</v>
      </c>
      <c r="J40" s="2">
        <v>45142</v>
      </c>
      <c r="K40" t="s">
        <v>172</v>
      </c>
    </row>
    <row r="41" spans="1:11" x14ac:dyDescent="0.25">
      <c r="A41" t="s">
        <v>44</v>
      </c>
      <c r="B41" t="s">
        <v>30</v>
      </c>
      <c r="C41">
        <v>160</v>
      </c>
      <c r="D41">
        <v>49</v>
      </c>
      <c r="E41" t="s">
        <v>13</v>
      </c>
      <c r="F41" t="s">
        <v>173</v>
      </c>
      <c r="G41">
        <v>167.88</v>
      </c>
      <c r="H41" t="s">
        <v>20</v>
      </c>
      <c r="I41" s="2">
        <v>44947</v>
      </c>
      <c r="J41" s="2">
        <v>45028</v>
      </c>
      <c r="K41" t="s">
        <v>17</v>
      </c>
    </row>
    <row r="42" spans="1:11" x14ac:dyDescent="0.25">
      <c r="A42" t="s">
        <v>48</v>
      </c>
      <c r="B42" t="s">
        <v>23</v>
      </c>
      <c r="C42">
        <v>96</v>
      </c>
      <c r="D42">
        <v>77</v>
      </c>
      <c r="E42" t="s">
        <v>13</v>
      </c>
      <c r="F42" t="s">
        <v>173</v>
      </c>
      <c r="G42">
        <v>194.86</v>
      </c>
      <c r="H42" t="s">
        <v>20</v>
      </c>
      <c r="I42" s="2">
        <v>45245</v>
      </c>
      <c r="J42" s="2">
        <v>45290</v>
      </c>
    </row>
    <row r="43" spans="1:11" x14ac:dyDescent="0.25">
      <c r="A43" t="s">
        <v>22</v>
      </c>
      <c r="B43" t="s">
        <v>23</v>
      </c>
      <c r="C43">
        <v>93</v>
      </c>
      <c r="D43">
        <v>77</v>
      </c>
      <c r="E43" t="s">
        <v>13</v>
      </c>
      <c r="F43" t="s">
        <v>170</v>
      </c>
      <c r="G43">
        <v>443.2</v>
      </c>
      <c r="H43" t="s">
        <v>14</v>
      </c>
      <c r="I43" s="2">
        <v>44927</v>
      </c>
      <c r="J43" s="2">
        <v>44947</v>
      </c>
      <c r="K43" t="s">
        <v>172</v>
      </c>
    </row>
    <row r="44" spans="1:11" x14ac:dyDescent="0.25">
      <c r="A44" t="s">
        <v>47</v>
      </c>
      <c r="B44" t="s">
        <v>30</v>
      </c>
      <c r="C44">
        <v>165</v>
      </c>
      <c r="D44">
        <v>58</v>
      </c>
      <c r="E44" t="s">
        <v>13</v>
      </c>
      <c r="F44" t="s">
        <v>171</v>
      </c>
      <c r="G44">
        <v>215.69</v>
      </c>
      <c r="H44" t="s">
        <v>26</v>
      </c>
      <c r="I44" s="2">
        <v>45008</v>
      </c>
      <c r="J44" s="2">
        <v>45054</v>
      </c>
      <c r="K44" t="s">
        <v>172</v>
      </c>
    </row>
    <row r="45" spans="1:11" x14ac:dyDescent="0.25">
      <c r="A45" t="s">
        <v>41</v>
      </c>
      <c r="B45" t="s">
        <v>28</v>
      </c>
      <c r="C45">
        <v>48</v>
      </c>
      <c r="D45">
        <v>21</v>
      </c>
      <c r="E45" t="s">
        <v>13</v>
      </c>
      <c r="F45" t="s">
        <v>173</v>
      </c>
      <c r="G45">
        <v>475.48</v>
      </c>
      <c r="H45" t="s">
        <v>20</v>
      </c>
      <c r="I45" s="2">
        <v>45074</v>
      </c>
      <c r="J45" s="2">
        <v>45128</v>
      </c>
    </row>
    <row r="46" spans="1:11" x14ac:dyDescent="0.25">
      <c r="A46" t="s">
        <v>49</v>
      </c>
      <c r="B46" t="s">
        <v>16</v>
      </c>
      <c r="C46">
        <v>54</v>
      </c>
      <c r="D46">
        <v>79</v>
      </c>
      <c r="E46" t="s">
        <v>19</v>
      </c>
      <c r="F46" t="s">
        <v>173</v>
      </c>
      <c r="G46">
        <v>205.05</v>
      </c>
      <c r="H46" t="s">
        <v>20</v>
      </c>
      <c r="I46" s="2">
        <v>45114</v>
      </c>
      <c r="J46" s="2">
        <v>45159</v>
      </c>
      <c r="K46" t="s">
        <v>17</v>
      </c>
    </row>
    <row r="47" spans="1:11" x14ac:dyDescent="0.25">
      <c r="A47" t="s">
        <v>44</v>
      </c>
      <c r="B47" t="s">
        <v>16</v>
      </c>
      <c r="C47">
        <v>192</v>
      </c>
      <c r="D47">
        <v>51</v>
      </c>
      <c r="E47" t="s">
        <v>13</v>
      </c>
      <c r="F47" t="s">
        <v>171</v>
      </c>
      <c r="G47">
        <v>27.74</v>
      </c>
      <c r="H47" t="s">
        <v>20</v>
      </c>
      <c r="I47" s="2">
        <v>45168</v>
      </c>
      <c r="J47" s="2">
        <v>45230</v>
      </c>
      <c r="K47" t="s">
        <v>17</v>
      </c>
    </row>
    <row r="48" spans="1:11" x14ac:dyDescent="0.25">
      <c r="A48" t="s">
        <v>49</v>
      </c>
      <c r="B48" t="s">
        <v>23</v>
      </c>
      <c r="C48">
        <v>141</v>
      </c>
      <c r="D48">
        <v>68</v>
      </c>
      <c r="E48" t="s">
        <v>13</v>
      </c>
      <c r="F48" t="s">
        <v>171</v>
      </c>
      <c r="G48">
        <v>354.46</v>
      </c>
      <c r="H48" t="s">
        <v>20</v>
      </c>
      <c r="I48" s="2">
        <v>45208</v>
      </c>
      <c r="J48" s="2">
        <v>45276</v>
      </c>
      <c r="K48" t="s">
        <v>21</v>
      </c>
    </row>
    <row r="49" spans="1:11" x14ac:dyDescent="0.25">
      <c r="A49" t="s">
        <v>35</v>
      </c>
      <c r="B49" t="s">
        <v>30</v>
      </c>
      <c r="C49">
        <v>150</v>
      </c>
      <c r="D49">
        <v>60</v>
      </c>
      <c r="E49" t="s">
        <v>13</v>
      </c>
      <c r="F49" t="s">
        <v>173</v>
      </c>
      <c r="G49">
        <v>473.18</v>
      </c>
      <c r="H49" t="s">
        <v>26</v>
      </c>
      <c r="I49" s="2">
        <v>45266</v>
      </c>
      <c r="J49" s="2">
        <v>45310</v>
      </c>
      <c r="K49" t="s">
        <v>21</v>
      </c>
    </row>
    <row r="50" spans="1:11" x14ac:dyDescent="0.25">
      <c r="A50" t="s">
        <v>44</v>
      </c>
      <c r="B50" t="s">
        <v>30</v>
      </c>
      <c r="C50">
        <v>52</v>
      </c>
      <c r="D50">
        <v>62</v>
      </c>
      <c r="E50" t="s">
        <v>19</v>
      </c>
      <c r="F50" t="s">
        <v>173</v>
      </c>
      <c r="G50">
        <v>275.11</v>
      </c>
      <c r="H50" t="s">
        <v>14</v>
      </c>
      <c r="I50" s="2">
        <v>45222</v>
      </c>
      <c r="J50" s="2">
        <v>45308</v>
      </c>
      <c r="K50" t="s">
        <v>21</v>
      </c>
    </row>
    <row r="51" spans="1:11" x14ac:dyDescent="0.25">
      <c r="A51" t="s">
        <v>50</v>
      </c>
      <c r="B51" t="s">
        <v>23</v>
      </c>
      <c r="C51">
        <v>162</v>
      </c>
      <c r="D51">
        <v>45</v>
      </c>
      <c r="E51" t="s">
        <v>13</v>
      </c>
      <c r="F51" t="s">
        <v>171</v>
      </c>
      <c r="G51">
        <v>172.92</v>
      </c>
      <c r="H51" t="s">
        <v>26</v>
      </c>
      <c r="I51" s="2">
        <v>45008</v>
      </c>
      <c r="J51" s="2">
        <v>45082</v>
      </c>
      <c r="K51" t="s">
        <v>21</v>
      </c>
    </row>
    <row r="52" spans="1:11" x14ac:dyDescent="0.25">
      <c r="A52" t="s">
        <v>51</v>
      </c>
      <c r="B52" t="s">
        <v>12</v>
      </c>
      <c r="C52">
        <v>143</v>
      </c>
      <c r="D52">
        <v>80</v>
      </c>
      <c r="E52" t="s">
        <v>13</v>
      </c>
      <c r="F52" t="s">
        <v>171</v>
      </c>
      <c r="G52">
        <v>473.11</v>
      </c>
      <c r="H52" t="s">
        <v>14</v>
      </c>
      <c r="I52" s="2">
        <v>45172</v>
      </c>
      <c r="J52" s="2">
        <v>45215</v>
      </c>
      <c r="K52" t="s">
        <v>172</v>
      </c>
    </row>
    <row r="53" spans="1:11" x14ac:dyDescent="0.25">
      <c r="A53" t="s">
        <v>52</v>
      </c>
      <c r="B53" t="s">
        <v>23</v>
      </c>
      <c r="C53">
        <v>1</v>
      </c>
      <c r="D53">
        <v>86</v>
      </c>
      <c r="E53" t="s">
        <v>19</v>
      </c>
      <c r="F53" t="s">
        <v>170</v>
      </c>
      <c r="G53">
        <v>321.79000000000002</v>
      </c>
      <c r="H53" t="s">
        <v>20</v>
      </c>
      <c r="I53" s="2">
        <v>44958</v>
      </c>
      <c r="J53" s="2">
        <v>45032</v>
      </c>
      <c r="K53" t="s">
        <v>21</v>
      </c>
    </row>
    <row r="54" spans="1:11" x14ac:dyDescent="0.25">
      <c r="A54" t="s">
        <v>53</v>
      </c>
      <c r="B54" t="s">
        <v>30</v>
      </c>
      <c r="C54">
        <v>115</v>
      </c>
      <c r="D54">
        <v>73</v>
      </c>
      <c r="E54" t="s">
        <v>13</v>
      </c>
      <c r="F54" t="s">
        <v>170</v>
      </c>
      <c r="G54">
        <v>178.62</v>
      </c>
      <c r="H54" t="s">
        <v>20</v>
      </c>
      <c r="I54" s="2">
        <v>45012</v>
      </c>
      <c r="J54" s="2">
        <v>45071</v>
      </c>
      <c r="K54" t="s">
        <v>21</v>
      </c>
    </row>
    <row r="55" spans="1:11" x14ac:dyDescent="0.25">
      <c r="A55" t="s">
        <v>15</v>
      </c>
      <c r="B55" t="s">
        <v>23</v>
      </c>
      <c r="C55">
        <v>183</v>
      </c>
      <c r="D55">
        <v>92</v>
      </c>
      <c r="E55" t="s">
        <v>13</v>
      </c>
      <c r="F55" t="s">
        <v>171</v>
      </c>
      <c r="G55">
        <v>140.44999999999999</v>
      </c>
      <c r="H55" t="s">
        <v>14</v>
      </c>
      <c r="I55" s="2">
        <v>45017</v>
      </c>
      <c r="J55" s="2">
        <v>45070</v>
      </c>
      <c r="K55" t="s">
        <v>172</v>
      </c>
    </row>
    <row r="56" spans="1:11" x14ac:dyDescent="0.25">
      <c r="A56" t="s">
        <v>45</v>
      </c>
      <c r="B56" t="s">
        <v>16</v>
      </c>
      <c r="C56">
        <v>107</v>
      </c>
      <c r="D56">
        <v>36</v>
      </c>
      <c r="E56" t="s">
        <v>13</v>
      </c>
      <c r="F56" t="s">
        <v>170</v>
      </c>
      <c r="G56">
        <v>307.82</v>
      </c>
      <c r="H56" t="s">
        <v>14</v>
      </c>
      <c r="I56" s="2">
        <v>45205</v>
      </c>
      <c r="J56" s="2">
        <v>45263</v>
      </c>
      <c r="K56" t="s">
        <v>17</v>
      </c>
    </row>
    <row r="57" spans="1:11" x14ac:dyDescent="0.25">
      <c r="A57" t="s">
        <v>54</v>
      </c>
      <c r="B57" t="s">
        <v>23</v>
      </c>
      <c r="C57">
        <v>20</v>
      </c>
      <c r="D57">
        <v>78</v>
      </c>
      <c r="E57" t="s">
        <v>19</v>
      </c>
      <c r="F57" t="s">
        <v>170</v>
      </c>
      <c r="G57">
        <v>368.04</v>
      </c>
      <c r="H57" t="s">
        <v>14</v>
      </c>
      <c r="I57" s="2">
        <v>45123</v>
      </c>
      <c r="J57" s="2">
        <v>45210</v>
      </c>
      <c r="K57" t="s">
        <v>17</v>
      </c>
    </row>
    <row r="58" spans="1:11" x14ac:dyDescent="0.25">
      <c r="A58" t="s">
        <v>25</v>
      </c>
      <c r="B58" t="s">
        <v>16</v>
      </c>
      <c r="C58">
        <v>108</v>
      </c>
      <c r="D58">
        <v>54</v>
      </c>
      <c r="E58" t="s">
        <v>13</v>
      </c>
      <c r="F58" t="s">
        <v>173</v>
      </c>
      <c r="G58">
        <v>186.85</v>
      </c>
      <c r="H58" t="s">
        <v>14</v>
      </c>
      <c r="I58" s="2">
        <v>44965</v>
      </c>
      <c r="J58" s="2">
        <v>45050</v>
      </c>
      <c r="K58" t="s">
        <v>172</v>
      </c>
    </row>
    <row r="59" spans="1:11" x14ac:dyDescent="0.25">
      <c r="A59" t="s">
        <v>50</v>
      </c>
      <c r="B59" t="s">
        <v>16</v>
      </c>
      <c r="C59">
        <v>119</v>
      </c>
      <c r="D59">
        <v>21</v>
      </c>
      <c r="E59" t="s">
        <v>13</v>
      </c>
      <c r="F59" t="s">
        <v>170</v>
      </c>
      <c r="G59">
        <v>181.53</v>
      </c>
      <c r="H59" t="s">
        <v>20</v>
      </c>
      <c r="I59" s="2">
        <v>45129</v>
      </c>
      <c r="J59" s="2">
        <v>45208</v>
      </c>
    </row>
    <row r="60" spans="1:11" x14ac:dyDescent="0.25">
      <c r="A60" t="s">
        <v>55</v>
      </c>
      <c r="B60" t="s">
        <v>30</v>
      </c>
      <c r="C60">
        <v>139</v>
      </c>
      <c r="D60">
        <v>71</v>
      </c>
      <c r="E60" t="s">
        <v>13</v>
      </c>
      <c r="F60" t="s">
        <v>173</v>
      </c>
      <c r="G60">
        <v>453.49</v>
      </c>
      <c r="H60" t="s">
        <v>26</v>
      </c>
      <c r="I60" s="2">
        <v>44937</v>
      </c>
      <c r="J60" s="2">
        <v>45024</v>
      </c>
      <c r="K60" t="s">
        <v>172</v>
      </c>
    </row>
    <row r="61" spans="1:11" x14ac:dyDescent="0.25">
      <c r="A61" t="s">
        <v>49</v>
      </c>
      <c r="B61" t="s">
        <v>28</v>
      </c>
      <c r="C61">
        <v>198</v>
      </c>
      <c r="D61">
        <v>24</v>
      </c>
      <c r="E61" t="s">
        <v>13</v>
      </c>
      <c r="F61" t="s">
        <v>170</v>
      </c>
      <c r="G61">
        <v>465.85</v>
      </c>
      <c r="H61" t="s">
        <v>20</v>
      </c>
      <c r="I61" s="2">
        <v>45125</v>
      </c>
      <c r="J61" s="2">
        <v>45202</v>
      </c>
      <c r="K61" t="s">
        <v>172</v>
      </c>
    </row>
    <row r="62" spans="1:11" x14ac:dyDescent="0.25">
      <c r="A62" t="s">
        <v>56</v>
      </c>
      <c r="B62" t="s">
        <v>30</v>
      </c>
      <c r="C62">
        <v>8</v>
      </c>
      <c r="D62">
        <v>22</v>
      </c>
      <c r="E62" t="s">
        <v>19</v>
      </c>
      <c r="F62" t="s">
        <v>170</v>
      </c>
      <c r="G62">
        <v>299.98</v>
      </c>
      <c r="H62" t="s">
        <v>26</v>
      </c>
      <c r="I62" s="2">
        <v>45209</v>
      </c>
      <c r="J62" s="2">
        <v>45239</v>
      </c>
      <c r="K62" t="s">
        <v>172</v>
      </c>
    </row>
    <row r="63" spans="1:11" x14ac:dyDescent="0.25">
      <c r="A63" t="s">
        <v>49</v>
      </c>
      <c r="B63" t="s">
        <v>23</v>
      </c>
      <c r="C63">
        <v>99</v>
      </c>
      <c r="D63">
        <v>73</v>
      </c>
      <c r="E63" t="s">
        <v>13</v>
      </c>
      <c r="F63" t="s">
        <v>171</v>
      </c>
      <c r="G63">
        <v>153.38999999999999</v>
      </c>
      <c r="H63" t="s">
        <v>14</v>
      </c>
      <c r="I63" s="2">
        <v>45254</v>
      </c>
      <c r="J63" s="2">
        <v>45333</v>
      </c>
      <c r="K63" t="s">
        <v>172</v>
      </c>
    </row>
    <row r="64" spans="1:11" x14ac:dyDescent="0.25">
      <c r="A64" t="s">
        <v>25</v>
      </c>
      <c r="B64" t="s">
        <v>28</v>
      </c>
      <c r="C64">
        <v>158</v>
      </c>
      <c r="D64">
        <v>23</v>
      </c>
      <c r="E64" t="s">
        <v>13</v>
      </c>
      <c r="F64" t="s">
        <v>171</v>
      </c>
      <c r="G64">
        <v>221.08</v>
      </c>
      <c r="H64" t="s">
        <v>26</v>
      </c>
      <c r="I64" s="2">
        <v>44951</v>
      </c>
      <c r="J64" s="2">
        <v>45023</v>
      </c>
      <c r="K64" t="s">
        <v>21</v>
      </c>
    </row>
    <row r="65" spans="1:11" x14ac:dyDescent="0.25">
      <c r="A65" t="s">
        <v>44</v>
      </c>
      <c r="B65" t="s">
        <v>12</v>
      </c>
      <c r="C65">
        <v>143</v>
      </c>
      <c r="D65">
        <v>61</v>
      </c>
      <c r="E65" t="s">
        <v>13</v>
      </c>
      <c r="F65" t="s">
        <v>170</v>
      </c>
      <c r="G65">
        <v>408.75</v>
      </c>
      <c r="H65" t="s">
        <v>14</v>
      </c>
      <c r="I65" s="2">
        <v>45169</v>
      </c>
      <c r="J65" s="2">
        <v>45205</v>
      </c>
    </row>
    <row r="66" spans="1:11" x14ac:dyDescent="0.25">
      <c r="A66" t="s">
        <v>29</v>
      </c>
      <c r="B66" t="s">
        <v>30</v>
      </c>
      <c r="C66">
        <v>22</v>
      </c>
      <c r="D66">
        <v>39</v>
      </c>
      <c r="E66" t="s">
        <v>19</v>
      </c>
      <c r="F66" t="s">
        <v>173</v>
      </c>
      <c r="G66">
        <v>77.38</v>
      </c>
      <c r="H66" t="s">
        <v>26</v>
      </c>
      <c r="I66" s="2">
        <v>45142</v>
      </c>
      <c r="J66" s="2">
        <v>45171</v>
      </c>
      <c r="K66" t="s">
        <v>21</v>
      </c>
    </row>
    <row r="67" spans="1:11" x14ac:dyDescent="0.25">
      <c r="A67" t="s">
        <v>57</v>
      </c>
      <c r="B67" t="s">
        <v>16</v>
      </c>
      <c r="C67">
        <v>180</v>
      </c>
      <c r="D67">
        <v>22</v>
      </c>
      <c r="E67" t="s">
        <v>13</v>
      </c>
      <c r="F67" t="s">
        <v>170</v>
      </c>
      <c r="G67">
        <v>381.91</v>
      </c>
      <c r="H67" t="s">
        <v>20</v>
      </c>
      <c r="I67" s="2">
        <v>45013</v>
      </c>
      <c r="J67" s="2">
        <v>45087</v>
      </c>
    </row>
    <row r="68" spans="1:11" x14ac:dyDescent="0.25">
      <c r="A68" t="s">
        <v>58</v>
      </c>
      <c r="B68" t="s">
        <v>23</v>
      </c>
      <c r="C68">
        <v>100</v>
      </c>
      <c r="D68">
        <v>64</v>
      </c>
      <c r="E68" t="s">
        <v>13</v>
      </c>
      <c r="F68" t="s">
        <v>170</v>
      </c>
      <c r="G68">
        <v>331.25</v>
      </c>
      <c r="H68" t="s">
        <v>14</v>
      </c>
      <c r="I68" s="2">
        <v>44948</v>
      </c>
      <c r="J68" s="2">
        <v>45000</v>
      </c>
      <c r="K68" t="s">
        <v>21</v>
      </c>
    </row>
    <row r="69" spans="1:11" x14ac:dyDescent="0.25">
      <c r="A69" t="s">
        <v>41</v>
      </c>
      <c r="B69" t="s">
        <v>16</v>
      </c>
      <c r="C69">
        <v>162</v>
      </c>
      <c r="D69">
        <v>81</v>
      </c>
      <c r="E69" t="s">
        <v>13</v>
      </c>
      <c r="F69" t="s">
        <v>173</v>
      </c>
      <c r="G69">
        <v>469.86</v>
      </c>
      <c r="H69" t="s">
        <v>20</v>
      </c>
      <c r="I69" s="2">
        <v>45230</v>
      </c>
      <c r="J69" s="2">
        <v>45252</v>
      </c>
    </row>
    <row r="70" spans="1:11" x14ac:dyDescent="0.25">
      <c r="A70" t="s">
        <v>27</v>
      </c>
      <c r="B70" t="s">
        <v>23</v>
      </c>
      <c r="C70">
        <v>34</v>
      </c>
      <c r="D70">
        <v>90</v>
      </c>
      <c r="E70" t="s">
        <v>19</v>
      </c>
      <c r="F70" t="s">
        <v>171</v>
      </c>
      <c r="G70">
        <v>179.05</v>
      </c>
      <c r="H70" t="s">
        <v>14</v>
      </c>
      <c r="I70" s="2">
        <v>45092</v>
      </c>
      <c r="J70" s="2">
        <v>45158</v>
      </c>
    </row>
    <row r="71" spans="1:11" x14ac:dyDescent="0.25">
      <c r="A71" t="s">
        <v>34</v>
      </c>
      <c r="B71" t="s">
        <v>23</v>
      </c>
      <c r="C71">
        <v>111</v>
      </c>
      <c r="D71">
        <v>33</v>
      </c>
      <c r="E71" t="s">
        <v>13</v>
      </c>
      <c r="F71" t="s">
        <v>173</v>
      </c>
      <c r="G71">
        <v>241.18</v>
      </c>
      <c r="H71" t="s">
        <v>20</v>
      </c>
      <c r="I71" s="2">
        <v>45010</v>
      </c>
      <c r="J71" s="2">
        <v>45096</v>
      </c>
      <c r="K71" t="s">
        <v>172</v>
      </c>
    </row>
    <row r="72" spans="1:11" x14ac:dyDescent="0.25">
      <c r="A72" t="s">
        <v>11</v>
      </c>
      <c r="B72" t="s">
        <v>28</v>
      </c>
      <c r="C72">
        <v>199</v>
      </c>
      <c r="D72">
        <v>61</v>
      </c>
      <c r="E72" t="s">
        <v>13</v>
      </c>
      <c r="F72" t="s">
        <v>173</v>
      </c>
      <c r="G72">
        <v>387.68</v>
      </c>
      <c r="H72" t="s">
        <v>14</v>
      </c>
      <c r="I72" s="2">
        <v>45230</v>
      </c>
      <c r="J72" s="2">
        <v>45297</v>
      </c>
      <c r="K72" t="s">
        <v>172</v>
      </c>
    </row>
    <row r="73" spans="1:11" x14ac:dyDescent="0.25">
      <c r="A73" t="s">
        <v>45</v>
      </c>
      <c r="B73" t="s">
        <v>28</v>
      </c>
      <c r="C73">
        <v>111</v>
      </c>
      <c r="D73">
        <v>46</v>
      </c>
      <c r="E73" t="s">
        <v>13</v>
      </c>
      <c r="F73" t="s">
        <v>170</v>
      </c>
      <c r="G73">
        <v>210.34</v>
      </c>
      <c r="H73" t="s">
        <v>20</v>
      </c>
      <c r="I73" s="2">
        <v>45169</v>
      </c>
      <c r="J73" s="2">
        <v>45257</v>
      </c>
    </row>
    <row r="74" spans="1:11" x14ac:dyDescent="0.25">
      <c r="A74" t="s">
        <v>52</v>
      </c>
      <c r="B74" t="s">
        <v>23</v>
      </c>
      <c r="C74">
        <v>161</v>
      </c>
      <c r="D74">
        <v>24</v>
      </c>
      <c r="E74" t="s">
        <v>13</v>
      </c>
      <c r="F74" t="s">
        <v>173</v>
      </c>
      <c r="G74">
        <v>111.27</v>
      </c>
      <c r="H74" t="s">
        <v>26</v>
      </c>
      <c r="I74" s="2">
        <v>44954</v>
      </c>
      <c r="J74" s="2">
        <v>44996</v>
      </c>
      <c r="K74" t="s">
        <v>172</v>
      </c>
    </row>
    <row r="75" spans="1:11" x14ac:dyDescent="0.25">
      <c r="A75" t="s">
        <v>59</v>
      </c>
      <c r="B75" t="s">
        <v>16</v>
      </c>
      <c r="C75">
        <v>58</v>
      </c>
      <c r="D75">
        <v>80</v>
      </c>
      <c r="E75" t="s">
        <v>19</v>
      </c>
      <c r="F75" t="s">
        <v>173</v>
      </c>
      <c r="G75">
        <v>486.08</v>
      </c>
      <c r="H75" t="s">
        <v>14</v>
      </c>
      <c r="I75" s="2">
        <v>45245</v>
      </c>
      <c r="J75" s="2">
        <v>45307</v>
      </c>
      <c r="K75" t="s">
        <v>21</v>
      </c>
    </row>
    <row r="76" spans="1:11" x14ac:dyDescent="0.25">
      <c r="A76" t="s">
        <v>52</v>
      </c>
      <c r="B76" t="s">
        <v>30</v>
      </c>
      <c r="C76">
        <v>55</v>
      </c>
      <c r="D76">
        <v>91</v>
      </c>
      <c r="E76" t="s">
        <v>19</v>
      </c>
      <c r="F76" t="s">
        <v>170</v>
      </c>
      <c r="G76">
        <v>404.3</v>
      </c>
      <c r="H76" t="s">
        <v>20</v>
      </c>
      <c r="I76" s="2">
        <v>45031</v>
      </c>
      <c r="J76" s="2">
        <v>45048</v>
      </c>
      <c r="K76" t="s">
        <v>17</v>
      </c>
    </row>
    <row r="77" spans="1:11" x14ac:dyDescent="0.25">
      <c r="A77" t="s">
        <v>60</v>
      </c>
      <c r="B77" t="s">
        <v>28</v>
      </c>
      <c r="C77">
        <v>191</v>
      </c>
      <c r="D77">
        <v>34</v>
      </c>
      <c r="E77" t="s">
        <v>13</v>
      </c>
      <c r="F77" t="s">
        <v>173</v>
      </c>
      <c r="G77">
        <v>152.21</v>
      </c>
      <c r="H77" t="s">
        <v>20</v>
      </c>
      <c r="I77" s="2">
        <v>45220</v>
      </c>
      <c r="J77" s="2">
        <v>45305</v>
      </c>
      <c r="K77" t="s">
        <v>172</v>
      </c>
    </row>
    <row r="78" spans="1:11" x14ac:dyDescent="0.25">
      <c r="A78" t="s">
        <v>37</v>
      </c>
      <c r="B78" t="s">
        <v>28</v>
      </c>
      <c r="C78">
        <v>119</v>
      </c>
      <c r="D78">
        <v>94</v>
      </c>
      <c r="E78" t="s">
        <v>13</v>
      </c>
      <c r="F78" t="s">
        <v>173</v>
      </c>
      <c r="G78">
        <v>31.79</v>
      </c>
      <c r="H78" t="s">
        <v>14</v>
      </c>
      <c r="I78" s="2">
        <v>44987</v>
      </c>
      <c r="J78" s="2">
        <v>45063</v>
      </c>
    </row>
    <row r="79" spans="1:11" x14ac:dyDescent="0.25">
      <c r="A79" t="s">
        <v>36</v>
      </c>
      <c r="B79" t="s">
        <v>12</v>
      </c>
      <c r="C79">
        <v>130</v>
      </c>
      <c r="D79">
        <v>28</v>
      </c>
      <c r="E79" t="s">
        <v>13</v>
      </c>
      <c r="F79" t="s">
        <v>173</v>
      </c>
      <c r="G79">
        <v>90.16</v>
      </c>
      <c r="H79" t="s">
        <v>20</v>
      </c>
      <c r="I79" s="2">
        <v>45081</v>
      </c>
      <c r="J79" s="2">
        <v>45114</v>
      </c>
      <c r="K79" t="s">
        <v>172</v>
      </c>
    </row>
    <row r="80" spans="1:11" x14ac:dyDescent="0.25">
      <c r="A80" t="s">
        <v>51</v>
      </c>
      <c r="B80" t="s">
        <v>28</v>
      </c>
      <c r="C80">
        <v>2</v>
      </c>
      <c r="D80">
        <v>37</v>
      </c>
      <c r="E80" t="s">
        <v>19</v>
      </c>
      <c r="F80" t="s">
        <v>173</v>
      </c>
      <c r="G80">
        <v>422.15</v>
      </c>
      <c r="H80" t="s">
        <v>14</v>
      </c>
      <c r="I80" s="2">
        <v>45140</v>
      </c>
      <c r="J80" s="2">
        <v>45167</v>
      </c>
    </row>
    <row r="81" spans="1:11" x14ac:dyDescent="0.25">
      <c r="A81" t="s">
        <v>61</v>
      </c>
      <c r="B81" t="s">
        <v>12</v>
      </c>
      <c r="C81">
        <v>161</v>
      </c>
      <c r="D81">
        <v>64</v>
      </c>
      <c r="E81" t="s">
        <v>13</v>
      </c>
      <c r="F81" t="s">
        <v>171</v>
      </c>
      <c r="G81">
        <v>490.61</v>
      </c>
      <c r="H81" t="s">
        <v>14</v>
      </c>
      <c r="I81" s="2">
        <v>44967</v>
      </c>
      <c r="J81" s="2">
        <v>45027</v>
      </c>
      <c r="K81" t="s">
        <v>17</v>
      </c>
    </row>
    <row r="82" spans="1:11" x14ac:dyDescent="0.25">
      <c r="A82" t="s">
        <v>62</v>
      </c>
      <c r="B82" t="s">
        <v>16</v>
      </c>
      <c r="C82">
        <v>183</v>
      </c>
      <c r="D82">
        <v>94</v>
      </c>
      <c r="E82" t="s">
        <v>13</v>
      </c>
      <c r="F82" t="s">
        <v>170</v>
      </c>
      <c r="G82">
        <v>484.69</v>
      </c>
      <c r="H82" t="s">
        <v>20</v>
      </c>
      <c r="I82" s="2">
        <v>45026</v>
      </c>
      <c r="J82" s="2">
        <v>45042</v>
      </c>
      <c r="K82" t="s">
        <v>17</v>
      </c>
    </row>
    <row r="83" spans="1:11" x14ac:dyDescent="0.25">
      <c r="A83" t="s">
        <v>63</v>
      </c>
      <c r="B83" t="s">
        <v>28</v>
      </c>
      <c r="C83">
        <v>137</v>
      </c>
      <c r="D83">
        <v>57</v>
      </c>
      <c r="E83" t="s">
        <v>13</v>
      </c>
      <c r="F83" t="s">
        <v>171</v>
      </c>
      <c r="G83">
        <v>267.70999999999998</v>
      </c>
      <c r="H83" t="s">
        <v>26</v>
      </c>
      <c r="I83" s="2">
        <v>45036</v>
      </c>
      <c r="J83" s="2">
        <v>45076</v>
      </c>
    </row>
    <row r="84" spans="1:11" x14ac:dyDescent="0.25">
      <c r="A84" t="s">
        <v>25</v>
      </c>
      <c r="B84" t="s">
        <v>16</v>
      </c>
      <c r="C84">
        <v>132</v>
      </c>
      <c r="D84">
        <v>31</v>
      </c>
      <c r="E84" t="s">
        <v>13</v>
      </c>
      <c r="F84" t="s">
        <v>171</v>
      </c>
      <c r="G84">
        <v>396.42</v>
      </c>
      <c r="H84" t="s">
        <v>14</v>
      </c>
      <c r="I84" s="2">
        <v>44953</v>
      </c>
      <c r="J84" s="2">
        <v>45012</v>
      </c>
      <c r="K84" t="s">
        <v>172</v>
      </c>
    </row>
    <row r="85" spans="1:11" x14ac:dyDescent="0.25">
      <c r="A85" t="s">
        <v>18</v>
      </c>
      <c r="B85" t="s">
        <v>30</v>
      </c>
      <c r="C85">
        <v>199</v>
      </c>
      <c r="D85">
        <v>66</v>
      </c>
      <c r="E85" t="s">
        <v>13</v>
      </c>
      <c r="F85" t="s">
        <v>170</v>
      </c>
      <c r="G85">
        <v>45.36</v>
      </c>
      <c r="H85" t="s">
        <v>26</v>
      </c>
      <c r="I85" s="2">
        <v>45226</v>
      </c>
      <c r="J85" s="2">
        <v>45307</v>
      </c>
      <c r="K85" t="s">
        <v>21</v>
      </c>
    </row>
    <row r="86" spans="1:11" x14ac:dyDescent="0.25">
      <c r="A86" t="s">
        <v>24</v>
      </c>
      <c r="B86" t="s">
        <v>23</v>
      </c>
      <c r="C86">
        <v>128</v>
      </c>
      <c r="D86">
        <v>42</v>
      </c>
      <c r="E86" t="s">
        <v>13</v>
      </c>
      <c r="F86" t="s">
        <v>170</v>
      </c>
      <c r="G86">
        <v>498.52</v>
      </c>
      <c r="H86" t="s">
        <v>20</v>
      </c>
      <c r="I86" s="2">
        <v>45230</v>
      </c>
      <c r="J86" s="2">
        <v>45264</v>
      </c>
      <c r="K86" t="s">
        <v>21</v>
      </c>
    </row>
    <row r="87" spans="1:11" x14ac:dyDescent="0.25">
      <c r="A87" t="s">
        <v>64</v>
      </c>
      <c r="B87" t="s">
        <v>16</v>
      </c>
      <c r="C87">
        <v>27</v>
      </c>
      <c r="D87">
        <v>86</v>
      </c>
      <c r="E87" t="s">
        <v>19</v>
      </c>
      <c r="F87" t="s">
        <v>171</v>
      </c>
      <c r="G87">
        <v>414.14</v>
      </c>
      <c r="H87" t="s">
        <v>26</v>
      </c>
      <c r="I87" s="2">
        <v>45036</v>
      </c>
      <c r="J87" s="2">
        <v>45060</v>
      </c>
    </row>
    <row r="88" spans="1:11" x14ac:dyDescent="0.25">
      <c r="A88" t="s">
        <v>36</v>
      </c>
      <c r="B88" t="s">
        <v>23</v>
      </c>
      <c r="C88">
        <v>64</v>
      </c>
      <c r="D88">
        <v>96</v>
      </c>
      <c r="E88" t="s">
        <v>19</v>
      </c>
      <c r="F88" t="s">
        <v>173</v>
      </c>
      <c r="G88">
        <v>139.93</v>
      </c>
      <c r="H88" t="s">
        <v>26</v>
      </c>
      <c r="I88" s="2">
        <v>45013</v>
      </c>
      <c r="J88" s="2">
        <v>45098</v>
      </c>
    </row>
    <row r="89" spans="1:11" x14ac:dyDescent="0.25">
      <c r="A89" t="s">
        <v>59</v>
      </c>
      <c r="B89" t="s">
        <v>28</v>
      </c>
      <c r="C89">
        <v>87</v>
      </c>
      <c r="D89">
        <v>66</v>
      </c>
      <c r="E89" t="s">
        <v>13</v>
      </c>
      <c r="F89" t="s">
        <v>170</v>
      </c>
      <c r="G89">
        <v>50.51</v>
      </c>
      <c r="H89" t="s">
        <v>26</v>
      </c>
      <c r="I89" s="2">
        <v>45168</v>
      </c>
      <c r="J89" s="2">
        <v>45235</v>
      </c>
      <c r="K89" t="s">
        <v>172</v>
      </c>
    </row>
    <row r="90" spans="1:11" x14ac:dyDescent="0.25">
      <c r="A90" t="s">
        <v>35</v>
      </c>
      <c r="B90" t="s">
        <v>30</v>
      </c>
      <c r="C90">
        <v>167</v>
      </c>
      <c r="D90">
        <v>46</v>
      </c>
      <c r="E90" t="s">
        <v>13</v>
      </c>
      <c r="F90" t="s">
        <v>173</v>
      </c>
      <c r="G90">
        <v>242.74</v>
      </c>
      <c r="H90" t="s">
        <v>14</v>
      </c>
      <c r="I90" s="2">
        <v>45102</v>
      </c>
      <c r="J90" s="2">
        <v>45125</v>
      </c>
      <c r="K90" t="s">
        <v>17</v>
      </c>
    </row>
    <row r="91" spans="1:11" x14ac:dyDescent="0.25">
      <c r="A91" t="s">
        <v>59</v>
      </c>
      <c r="B91" t="s">
        <v>23</v>
      </c>
      <c r="C91">
        <v>97</v>
      </c>
      <c r="D91">
        <v>25</v>
      </c>
      <c r="E91" t="s">
        <v>13</v>
      </c>
      <c r="F91" t="s">
        <v>170</v>
      </c>
      <c r="G91">
        <v>169.42</v>
      </c>
      <c r="H91" t="s">
        <v>20</v>
      </c>
      <c r="I91" s="2">
        <v>45229</v>
      </c>
      <c r="J91" s="2">
        <v>45314</v>
      </c>
      <c r="K91" t="s">
        <v>21</v>
      </c>
    </row>
    <row r="92" spans="1:11" x14ac:dyDescent="0.25">
      <c r="A92" t="s">
        <v>35</v>
      </c>
      <c r="B92" t="s">
        <v>16</v>
      </c>
      <c r="C92">
        <v>151</v>
      </c>
      <c r="D92">
        <v>49</v>
      </c>
      <c r="E92" t="s">
        <v>13</v>
      </c>
      <c r="F92" t="s">
        <v>171</v>
      </c>
      <c r="G92">
        <v>473.55</v>
      </c>
      <c r="H92" t="s">
        <v>20</v>
      </c>
      <c r="I92" s="2">
        <v>45050</v>
      </c>
      <c r="J92" s="2">
        <v>45122</v>
      </c>
      <c r="K92" t="s">
        <v>17</v>
      </c>
    </row>
    <row r="93" spans="1:11" x14ac:dyDescent="0.25">
      <c r="A93" t="s">
        <v>41</v>
      </c>
      <c r="B93" t="s">
        <v>23</v>
      </c>
      <c r="C93">
        <v>114</v>
      </c>
      <c r="D93">
        <v>46</v>
      </c>
      <c r="E93" t="s">
        <v>13</v>
      </c>
      <c r="F93" t="s">
        <v>173</v>
      </c>
      <c r="G93">
        <v>316.99</v>
      </c>
      <c r="H93" t="s">
        <v>26</v>
      </c>
      <c r="I93" s="2">
        <v>45125</v>
      </c>
      <c r="J93" s="2">
        <v>45212</v>
      </c>
      <c r="K93" t="s">
        <v>172</v>
      </c>
    </row>
    <row r="94" spans="1:11" x14ac:dyDescent="0.25">
      <c r="A94" t="s">
        <v>41</v>
      </c>
      <c r="B94" t="s">
        <v>30</v>
      </c>
      <c r="C94">
        <v>28</v>
      </c>
      <c r="D94">
        <v>60</v>
      </c>
      <c r="E94" t="s">
        <v>19</v>
      </c>
      <c r="F94" t="s">
        <v>173</v>
      </c>
      <c r="G94">
        <v>460.71</v>
      </c>
      <c r="H94" t="s">
        <v>14</v>
      </c>
      <c r="I94" s="2">
        <v>45006</v>
      </c>
      <c r="J94" s="2">
        <v>45064</v>
      </c>
    </row>
    <row r="95" spans="1:11" x14ac:dyDescent="0.25">
      <c r="A95" t="s">
        <v>62</v>
      </c>
      <c r="B95" t="s">
        <v>16</v>
      </c>
      <c r="C95">
        <v>1</v>
      </c>
      <c r="D95">
        <v>82</v>
      </c>
      <c r="E95" t="s">
        <v>19</v>
      </c>
      <c r="F95" t="s">
        <v>173</v>
      </c>
      <c r="G95">
        <v>297.86</v>
      </c>
      <c r="H95" t="s">
        <v>20</v>
      </c>
      <c r="I95" s="2">
        <v>45251</v>
      </c>
      <c r="J95" s="2">
        <v>45277</v>
      </c>
      <c r="K95" t="s">
        <v>21</v>
      </c>
    </row>
    <row r="96" spans="1:11" x14ac:dyDescent="0.25">
      <c r="A96" t="s">
        <v>45</v>
      </c>
      <c r="B96" t="s">
        <v>23</v>
      </c>
      <c r="C96">
        <v>171</v>
      </c>
      <c r="D96">
        <v>73</v>
      </c>
      <c r="E96" t="s">
        <v>13</v>
      </c>
      <c r="F96" t="s">
        <v>170</v>
      </c>
      <c r="G96">
        <v>49.09</v>
      </c>
      <c r="H96" t="s">
        <v>14</v>
      </c>
      <c r="I96" s="2">
        <v>45203</v>
      </c>
      <c r="J96" s="2">
        <v>45285</v>
      </c>
      <c r="K96" t="s">
        <v>21</v>
      </c>
    </row>
    <row r="97" spans="1:11" x14ac:dyDescent="0.25">
      <c r="A97" t="s">
        <v>53</v>
      </c>
      <c r="B97" t="s">
        <v>16</v>
      </c>
      <c r="C97">
        <v>110</v>
      </c>
      <c r="D97">
        <v>66</v>
      </c>
      <c r="E97" t="s">
        <v>13</v>
      </c>
      <c r="F97" t="s">
        <v>171</v>
      </c>
      <c r="G97">
        <v>464.55</v>
      </c>
      <c r="H97" t="s">
        <v>26</v>
      </c>
      <c r="I97" s="2">
        <v>45137</v>
      </c>
      <c r="J97" s="2">
        <v>45190</v>
      </c>
      <c r="K97" t="s">
        <v>17</v>
      </c>
    </row>
    <row r="98" spans="1:11" x14ac:dyDescent="0.25">
      <c r="A98" t="s">
        <v>64</v>
      </c>
      <c r="B98" t="s">
        <v>16</v>
      </c>
      <c r="C98">
        <v>21</v>
      </c>
      <c r="D98">
        <v>90</v>
      </c>
      <c r="E98" t="s">
        <v>19</v>
      </c>
      <c r="F98" t="s">
        <v>173</v>
      </c>
      <c r="G98">
        <v>71.41</v>
      </c>
      <c r="H98" t="s">
        <v>14</v>
      </c>
      <c r="I98" s="2">
        <v>45181</v>
      </c>
      <c r="J98" s="2">
        <v>45247</v>
      </c>
      <c r="K98" t="s">
        <v>172</v>
      </c>
    </row>
    <row r="99" spans="1:11" x14ac:dyDescent="0.25">
      <c r="A99" t="s">
        <v>50</v>
      </c>
      <c r="B99" t="s">
        <v>12</v>
      </c>
      <c r="C99">
        <v>179</v>
      </c>
      <c r="D99">
        <v>42</v>
      </c>
      <c r="E99" t="s">
        <v>13</v>
      </c>
      <c r="F99" t="s">
        <v>173</v>
      </c>
      <c r="G99">
        <v>288.07</v>
      </c>
      <c r="H99" t="s">
        <v>14</v>
      </c>
      <c r="I99" s="2">
        <v>45091</v>
      </c>
      <c r="J99" s="2">
        <v>45131</v>
      </c>
      <c r="K99" t="s">
        <v>172</v>
      </c>
    </row>
    <row r="100" spans="1:11" x14ac:dyDescent="0.25">
      <c r="A100" t="s">
        <v>45</v>
      </c>
      <c r="B100" t="s">
        <v>23</v>
      </c>
      <c r="C100">
        <v>118</v>
      </c>
      <c r="D100">
        <v>20</v>
      </c>
      <c r="E100" t="s">
        <v>13</v>
      </c>
      <c r="F100" t="s">
        <v>171</v>
      </c>
      <c r="G100">
        <v>26.41</v>
      </c>
      <c r="H100" t="s">
        <v>26</v>
      </c>
      <c r="I100" s="2">
        <v>45003</v>
      </c>
      <c r="J100" s="2">
        <v>45049</v>
      </c>
    </row>
    <row r="101" spans="1:11" x14ac:dyDescent="0.25">
      <c r="A101" t="s">
        <v>18</v>
      </c>
      <c r="B101" t="s">
        <v>28</v>
      </c>
      <c r="C101">
        <v>30</v>
      </c>
      <c r="D101">
        <v>57</v>
      </c>
      <c r="E101" t="s">
        <v>19</v>
      </c>
      <c r="F101" t="s">
        <v>173</v>
      </c>
      <c r="G101">
        <v>302.47000000000003</v>
      </c>
      <c r="H101" t="s">
        <v>20</v>
      </c>
      <c r="I101" s="2">
        <v>45256</v>
      </c>
      <c r="J101" s="2">
        <v>45336</v>
      </c>
      <c r="K101" t="s">
        <v>21</v>
      </c>
    </row>
    <row r="102" spans="1:11" x14ac:dyDescent="0.25">
      <c r="A102" t="s">
        <v>37</v>
      </c>
      <c r="B102" t="s">
        <v>23</v>
      </c>
      <c r="C102">
        <v>138</v>
      </c>
      <c r="D102">
        <v>31</v>
      </c>
      <c r="E102" t="s">
        <v>13</v>
      </c>
      <c r="F102" t="s">
        <v>173</v>
      </c>
      <c r="G102">
        <v>130.22999999999999</v>
      </c>
      <c r="H102" t="s">
        <v>26</v>
      </c>
      <c r="I102" s="2">
        <v>44937</v>
      </c>
      <c r="J102" s="2">
        <v>44962</v>
      </c>
      <c r="K102" t="s">
        <v>21</v>
      </c>
    </row>
    <row r="103" spans="1:11" x14ac:dyDescent="0.25">
      <c r="A103" t="s">
        <v>11</v>
      </c>
      <c r="B103" t="s">
        <v>23</v>
      </c>
      <c r="C103">
        <v>138</v>
      </c>
      <c r="D103">
        <v>55</v>
      </c>
      <c r="E103" t="s">
        <v>13</v>
      </c>
      <c r="F103" t="s">
        <v>171</v>
      </c>
      <c r="G103">
        <v>119.08</v>
      </c>
      <c r="H103" t="s">
        <v>20</v>
      </c>
      <c r="I103" s="2">
        <v>45131</v>
      </c>
      <c r="J103" s="2">
        <v>45165</v>
      </c>
      <c r="K103" t="s">
        <v>172</v>
      </c>
    </row>
    <row r="104" spans="1:11" x14ac:dyDescent="0.25">
      <c r="A104" t="s">
        <v>52</v>
      </c>
      <c r="B104" t="s">
        <v>28</v>
      </c>
      <c r="C104">
        <v>3</v>
      </c>
      <c r="D104">
        <v>28</v>
      </c>
      <c r="E104" t="s">
        <v>19</v>
      </c>
      <c r="F104" t="s">
        <v>173</v>
      </c>
      <c r="G104">
        <v>153.78</v>
      </c>
      <c r="H104" t="s">
        <v>26</v>
      </c>
      <c r="I104" s="2">
        <v>45235</v>
      </c>
      <c r="J104" s="2">
        <v>45253</v>
      </c>
      <c r="K104" t="s">
        <v>21</v>
      </c>
    </row>
    <row r="105" spans="1:11" x14ac:dyDescent="0.25">
      <c r="A105" t="s">
        <v>53</v>
      </c>
      <c r="B105" t="s">
        <v>30</v>
      </c>
      <c r="C105">
        <v>13</v>
      </c>
      <c r="D105">
        <v>85</v>
      </c>
      <c r="E105" t="s">
        <v>19</v>
      </c>
      <c r="F105" t="s">
        <v>171</v>
      </c>
      <c r="G105">
        <v>343.04</v>
      </c>
      <c r="H105" t="s">
        <v>20</v>
      </c>
      <c r="I105" s="2">
        <v>45073</v>
      </c>
      <c r="J105" s="2">
        <v>45119</v>
      </c>
    </row>
    <row r="106" spans="1:11" x14ac:dyDescent="0.25">
      <c r="A106" t="s">
        <v>51</v>
      </c>
      <c r="B106" t="s">
        <v>23</v>
      </c>
      <c r="C106">
        <v>123</v>
      </c>
      <c r="D106">
        <v>98</v>
      </c>
      <c r="E106" t="s">
        <v>13</v>
      </c>
      <c r="F106" t="s">
        <v>173</v>
      </c>
      <c r="G106">
        <v>328.53</v>
      </c>
      <c r="H106" t="s">
        <v>20</v>
      </c>
      <c r="I106" s="2">
        <v>45085</v>
      </c>
      <c r="J106" s="2">
        <v>45143</v>
      </c>
      <c r="K106" t="s">
        <v>17</v>
      </c>
    </row>
    <row r="107" spans="1:11" x14ac:dyDescent="0.25">
      <c r="A107" t="s">
        <v>64</v>
      </c>
      <c r="B107" t="s">
        <v>12</v>
      </c>
      <c r="C107">
        <v>60</v>
      </c>
      <c r="D107">
        <v>97</v>
      </c>
      <c r="E107" t="s">
        <v>19</v>
      </c>
      <c r="F107" t="s">
        <v>173</v>
      </c>
      <c r="G107">
        <v>345.21</v>
      </c>
      <c r="H107" t="s">
        <v>26</v>
      </c>
      <c r="I107" s="2">
        <v>45004</v>
      </c>
      <c r="J107" s="2">
        <v>45053</v>
      </c>
    </row>
    <row r="108" spans="1:11" x14ac:dyDescent="0.25">
      <c r="A108" t="s">
        <v>15</v>
      </c>
      <c r="B108" t="s">
        <v>12</v>
      </c>
      <c r="C108">
        <v>130</v>
      </c>
      <c r="D108">
        <v>34</v>
      </c>
      <c r="E108" t="s">
        <v>13</v>
      </c>
      <c r="F108" t="s">
        <v>173</v>
      </c>
      <c r="G108">
        <v>228.73</v>
      </c>
      <c r="H108" t="s">
        <v>20</v>
      </c>
      <c r="I108" s="2">
        <v>44997</v>
      </c>
      <c r="J108" s="2">
        <v>45081</v>
      </c>
      <c r="K108" t="s">
        <v>172</v>
      </c>
    </row>
    <row r="109" spans="1:11" x14ac:dyDescent="0.25">
      <c r="A109" t="s">
        <v>60</v>
      </c>
      <c r="B109" t="s">
        <v>30</v>
      </c>
      <c r="C109">
        <v>27</v>
      </c>
      <c r="D109">
        <v>39</v>
      </c>
      <c r="E109" t="s">
        <v>19</v>
      </c>
      <c r="F109" t="s">
        <v>170</v>
      </c>
      <c r="G109">
        <v>320.92</v>
      </c>
      <c r="H109" t="s">
        <v>26</v>
      </c>
      <c r="I109" s="2">
        <v>45126</v>
      </c>
      <c r="J109" s="2">
        <v>45153</v>
      </c>
      <c r="K109" t="s">
        <v>17</v>
      </c>
    </row>
    <row r="110" spans="1:11" x14ac:dyDescent="0.25">
      <c r="A110" t="s">
        <v>65</v>
      </c>
      <c r="B110" t="s">
        <v>30</v>
      </c>
      <c r="C110">
        <v>123</v>
      </c>
      <c r="D110">
        <v>44</v>
      </c>
      <c r="E110" t="s">
        <v>13</v>
      </c>
      <c r="F110" t="s">
        <v>170</v>
      </c>
      <c r="G110">
        <v>367.73</v>
      </c>
      <c r="H110" t="s">
        <v>20</v>
      </c>
      <c r="I110" s="2">
        <v>45029</v>
      </c>
      <c r="J110" s="2">
        <v>45055</v>
      </c>
      <c r="K110" t="s">
        <v>21</v>
      </c>
    </row>
    <row r="111" spans="1:11" x14ac:dyDescent="0.25">
      <c r="A111" t="s">
        <v>15</v>
      </c>
      <c r="B111" t="s">
        <v>16</v>
      </c>
      <c r="C111">
        <v>169</v>
      </c>
      <c r="D111">
        <v>43</v>
      </c>
      <c r="E111" t="s">
        <v>13</v>
      </c>
      <c r="F111" t="s">
        <v>170</v>
      </c>
      <c r="G111">
        <v>140.91999999999999</v>
      </c>
      <c r="H111" t="s">
        <v>14</v>
      </c>
      <c r="I111" s="2">
        <v>45193</v>
      </c>
      <c r="J111" s="2">
        <v>45214</v>
      </c>
      <c r="K111" t="s">
        <v>17</v>
      </c>
    </row>
    <row r="112" spans="1:11" x14ac:dyDescent="0.25">
      <c r="A112" t="s">
        <v>25</v>
      </c>
      <c r="B112" t="s">
        <v>28</v>
      </c>
      <c r="C112">
        <v>96</v>
      </c>
      <c r="D112">
        <v>70</v>
      </c>
      <c r="E112" t="s">
        <v>13</v>
      </c>
      <c r="F112" t="s">
        <v>171</v>
      </c>
      <c r="G112">
        <v>268.48</v>
      </c>
      <c r="H112" t="s">
        <v>20</v>
      </c>
      <c r="I112" s="2">
        <v>44961</v>
      </c>
      <c r="J112" s="2">
        <v>45042</v>
      </c>
      <c r="K112" t="s">
        <v>21</v>
      </c>
    </row>
    <row r="113" spans="1:11" x14ac:dyDescent="0.25">
      <c r="A113" t="s">
        <v>18</v>
      </c>
      <c r="B113" t="s">
        <v>23</v>
      </c>
      <c r="C113">
        <v>57</v>
      </c>
      <c r="D113">
        <v>39</v>
      </c>
      <c r="E113" t="s">
        <v>13</v>
      </c>
      <c r="F113" t="s">
        <v>173</v>
      </c>
      <c r="G113">
        <v>275.61</v>
      </c>
      <c r="H113" t="s">
        <v>26</v>
      </c>
      <c r="I113" s="2">
        <v>45140</v>
      </c>
      <c r="J113" s="2">
        <v>45182</v>
      </c>
    </row>
    <row r="114" spans="1:11" x14ac:dyDescent="0.25">
      <c r="A114" t="s">
        <v>62</v>
      </c>
      <c r="B114" t="s">
        <v>28</v>
      </c>
      <c r="C114">
        <v>130</v>
      </c>
      <c r="D114">
        <v>43</v>
      </c>
      <c r="E114" t="s">
        <v>13</v>
      </c>
      <c r="F114" t="s">
        <v>170</v>
      </c>
      <c r="G114">
        <v>374.21</v>
      </c>
      <c r="H114" t="s">
        <v>14</v>
      </c>
      <c r="I114" s="2">
        <v>44990</v>
      </c>
      <c r="J114" s="2">
        <v>45032</v>
      </c>
      <c r="K114" t="s">
        <v>21</v>
      </c>
    </row>
    <row r="115" spans="1:11" x14ac:dyDescent="0.25">
      <c r="A115" t="s">
        <v>31</v>
      </c>
      <c r="B115" t="s">
        <v>28</v>
      </c>
      <c r="C115">
        <v>44</v>
      </c>
      <c r="D115">
        <v>42</v>
      </c>
      <c r="E115" t="s">
        <v>13</v>
      </c>
      <c r="F115" t="s">
        <v>170</v>
      </c>
      <c r="G115">
        <v>79.680000000000007</v>
      </c>
      <c r="H115" t="s">
        <v>14</v>
      </c>
      <c r="I115" s="2">
        <v>44974</v>
      </c>
      <c r="J115" s="2">
        <v>45049</v>
      </c>
      <c r="K115" t="s">
        <v>17</v>
      </c>
    </row>
    <row r="116" spans="1:11" x14ac:dyDescent="0.25">
      <c r="A116" t="s">
        <v>39</v>
      </c>
      <c r="B116" t="s">
        <v>28</v>
      </c>
      <c r="C116">
        <v>78</v>
      </c>
      <c r="D116">
        <v>42</v>
      </c>
      <c r="E116" t="s">
        <v>13</v>
      </c>
      <c r="F116" t="s">
        <v>171</v>
      </c>
      <c r="G116">
        <v>369.22</v>
      </c>
      <c r="H116" t="s">
        <v>20</v>
      </c>
      <c r="I116" s="2">
        <v>45197</v>
      </c>
      <c r="J116" s="2">
        <v>45224</v>
      </c>
      <c r="K116" t="s">
        <v>17</v>
      </c>
    </row>
    <row r="117" spans="1:11" x14ac:dyDescent="0.25">
      <c r="A117" t="s">
        <v>18</v>
      </c>
      <c r="B117" t="s">
        <v>28</v>
      </c>
      <c r="C117">
        <v>119</v>
      </c>
      <c r="D117">
        <v>66</v>
      </c>
      <c r="E117" t="s">
        <v>13</v>
      </c>
      <c r="F117" t="s">
        <v>173</v>
      </c>
      <c r="G117">
        <v>36.17</v>
      </c>
      <c r="H117" t="s">
        <v>14</v>
      </c>
      <c r="I117" s="2">
        <v>45176</v>
      </c>
      <c r="J117" s="2">
        <v>45260</v>
      </c>
      <c r="K117" t="s">
        <v>21</v>
      </c>
    </row>
    <row r="118" spans="1:11" x14ac:dyDescent="0.25">
      <c r="A118" t="s">
        <v>37</v>
      </c>
      <c r="B118" t="s">
        <v>30</v>
      </c>
      <c r="C118">
        <v>52</v>
      </c>
      <c r="D118">
        <v>91</v>
      </c>
      <c r="E118" t="s">
        <v>19</v>
      </c>
      <c r="F118" t="s">
        <v>170</v>
      </c>
      <c r="G118">
        <v>30.49</v>
      </c>
      <c r="H118" t="s">
        <v>14</v>
      </c>
      <c r="I118" s="2">
        <v>45154</v>
      </c>
      <c r="J118" s="2">
        <v>45234</v>
      </c>
      <c r="K118" t="s">
        <v>172</v>
      </c>
    </row>
    <row r="119" spans="1:11" x14ac:dyDescent="0.25">
      <c r="A119" t="s">
        <v>43</v>
      </c>
      <c r="B119" t="s">
        <v>16</v>
      </c>
      <c r="C119">
        <v>63</v>
      </c>
      <c r="D119">
        <v>33</v>
      </c>
      <c r="E119" t="s">
        <v>13</v>
      </c>
      <c r="F119" t="s">
        <v>173</v>
      </c>
      <c r="G119">
        <v>229.59</v>
      </c>
      <c r="H119" t="s">
        <v>14</v>
      </c>
      <c r="I119" s="2">
        <v>45121</v>
      </c>
      <c r="J119" s="2">
        <v>45167</v>
      </c>
      <c r="K119" t="s">
        <v>21</v>
      </c>
    </row>
    <row r="120" spans="1:11" x14ac:dyDescent="0.25">
      <c r="A120" t="s">
        <v>37</v>
      </c>
      <c r="B120" t="s">
        <v>23</v>
      </c>
      <c r="C120">
        <v>17</v>
      </c>
      <c r="D120">
        <v>81</v>
      </c>
      <c r="E120" t="s">
        <v>19</v>
      </c>
      <c r="F120" t="s">
        <v>171</v>
      </c>
      <c r="G120">
        <v>348.24</v>
      </c>
      <c r="H120" t="s">
        <v>26</v>
      </c>
      <c r="I120" s="2">
        <v>44950</v>
      </c>
      <c r="J120" s="2">
        <v>45022</v>
      </c>
      <c r="K120" t="s">
        <v>21</v>
      </c>
    </row>
    <row r="121" spans="1:11" x14ac:dyDescent="0.25">
      <c r="A121" t="s">
        <v>62</v>
      </c>
      <c r="B121" t="s">
        <v>30</v>
      </c>
      <c r="C121">
        <v>140</v>
      </c>
      <c r="D121">
        <v>77</v>
      </c>
      <c r="E121" t="s">
        <v>13</v>
      </c>
      <c r="F121" t="s">
        <v>173</v>
      </c>
      <c r="G121">
        <v>386.74</v>
      </c>
      <c r="H121" t="s">
        <v>20</v>
      </c>
      <c r="I121" s="2">
        <v>45289</v>
      </c>
      <c r="J121" s="2">
        <v>45361</v>
      </c>
      <c r="K121" t="s">
        <v>17</v>
      </c>
    </row>
    <row r="122" spans="1:11" x14ac:dyDescent="0.25">
      <c r="A122" t="s">
        <v>33</v>
      </c>
      <c r="B122" t="s">
        <v>12</v>
      </c>
      <c r="C122">
        <v>150</v>
      </c>
      <c r="D122">
        <v>25</v>
      </c>
      <c r="E122" t="s">
        <v>13</v>
      </c>
      <c r="F122" t="s">
        <v>171</v>
      </c>
      <c r="G122">
        <v>115.38</v>
      </c>
      <c r="H122" t="s">
        <v>26</v>
      </c>
      <c r="I122" s="2">
        <v>45073</v>
      </c>
      <c r="J122" s="2">
        <v>45108</v>
      </c>
      <c r="K122" t="s">
        <v>17</v>
      </c>
    </row>
    <row r="123" spans="1:11" x14ac:dyDescent="0.25">
      <c r="A123" t="s">
        <v>49</v>
      </c>
      <c r="B123" t="s">
        <v>28</v>
      </c>
      <c r="C123">
        <v>113</v>
      </c>
      <c r="D123">
        <v>81</v>
      </c>
      <c r="E123" t="s">
        <v>13</v>
      </c>
      <c r="F123" t="s">
        <v>173</v>
      </c>
      <c r="G123">
        <v>13.88</v>
      </c>
      <c r="H123" t="s">
        <v>20</v>
      </c>
      <c r="I123" s="2">
        <v>45232</v>
      </c>
      <c r="J123" s="2">
        <v>45281</v>
      </c>
      <c r="K123" t="s">
        <v>172</v>
      </c>
    </row>
    <row r="124" spans="1:11" x14ac:dyDescent="0.25">
      <c r="A124" t="s">
        <v>58</v>
      </c>
      <c r="B124" t="s">
        <v>12</v>
      </c>
      <c r="C124">
        <v>50</v>
      </c>
      <c r="D124">
        <v>50</v>
      </c>
      <c r="E124" t="s">
        <v>13</v>
      </c>
      <c r="F124" t="s">
        <v>173</v>
      </c>
      <c r="G124">
        <v>125.36</v>
      </c>
      <c r="H124" t="s">
        <v>26</v>
      </c>
      <c r="I124" s="2">
        <v>45073</v>
      </c>
      <c r="J124" s="2">
        <v>45097</v>
      </c>
      <c r="K124" t="s">
        <v>17</v>
      </c>
    </row>
    <row r="125" spans="1:11" x14ac:dyDescent="0.25">
      <c r="A125" t="s">
        <v>46</v>
      </c>
      <c r="B125" t="s">
        <v>12</v>
      </c>
      <c r="C125">
        <v>192</v>
      </c>
      <c r="D125">
        <v>41</v>
      </c>
      <c r="E125" t="s">
        <v>13</v>
      </c>
      <c r="F125" t="s">
        <v>173</v>
      </c>
      <c r="G125">
        <v>156.94</v>
      </c>
      <c r="H125" t="s">
        <v>14</v>
      </c>
      <c r="I125" s="2">
        <v>44982</v>
      </c>
      <c r="J125" s="2">
        <v>45066</v>
      </c>
      <c r="K125" t="s">
        <v>21</v>
      </c>
    </row>
    <row r="126" spans="1:11" x14ac:dyDescent="0.25">
      <c r="A126" t="s">
        <v>18</v>
      </c>
      <c r="B126" t="s">
        <v>23</v>
      </c>
      <c r="C126">
        <v>178</v>
      </c>
      <c r="D126">
        <v>45</v>
      </c>
      <c r="E126" t="s">
        <v>13</v>
      </c>
      <c r="F126" t="s">
        <v>173</v>
      </c>
      <c r="G126">
        <v>387.08</v>
      </c>
      <c r="H126" t="s">
        <v>14</v>
      </c>
      <c r="I126" s="2">
        <v>45175</v>
      </c>
      <c r="J126" s="2">
        <v>45199</v>
      </c>
      <c r="K126" t="s">
        <v>172</v>
      </c>
    </row>
    <row r="127" spans="1:11" x14ac:dyDescent="0.25">
      <c r="A127" t="s">
        <v>58</v>
      </c>
      <c r="B127" t="s">
        <v>30</v>
      </c>
      <c r="C127">
        <v>5</v>
      </c>
      <c r="D127">
        <v>28</v>
      </c>
      <c r="E127" t="s">
        <v>19</v>
      </c>
      <c r="F127" t="s">
        <v>170</v>
      </c>
      <c r="G127">
        <v>306.83</v>
      </c>
      <c r="H127" t="s">
        <v>26</v>
      </c>
      <c r="I127" s="2">
        <v>44992</v>
      </c>
      <c r="J127" s="2">
        <v>45025</v>
      </c>
      <c r="K127" t="s">
        <v>172</v>
      </c>
    </row>
    <row r="128" spans="1:11" x14ac:dyDescent="0.25">
      <c r="A128" t="s">
        <v>55</v>
      </c>
      <c r="B128" t="s">
        <v>23</v>
      </c>
      <c r="C128">
        <v>104</v>
      </c>
      <c r="D128">
        <v>97</v>
      </c>
      <c r="E128" t="s">
        <v>13</v>
      </c>
      <c r="F128" t="s">
        <v>173</v>
      </c>
      <c r="G128">
        <v>422.88</v>
      </c>
      <c r="H128" t="s">
        <v>14</v>
      </c>
      <c r="I128" s="2">
        <v>45229</v>
      </c>
      <c r="J128" s="2">
        <v>45288</v>
      </c>
      <c r="K128" t="s">
        <v>17</v>
      </c>
    </row>
    <row r="129" spans="1:11" x14ac:dyDescent="0.25">
      <c r="A129" t="s">
        <v>35</v>
      </c>
      <c r="B129" t="s">
        <v>28</v>
      </c>
      <c r="C129">
        <v>1</v>
      </c>
      <c r="D129">
        <v>77</v>
      </c>
      <c r="E129" t="s">
        <v>19</v>
      </c>
      <c r="F129" t="s">
        <v>173</v>
      </c>
      <c r="G129">
        <v>260.19</v>
      </c>
      <c r="H129" t="s">
        <v>14</v>
      </c>
      <c r="I129" s="2">
        <v>44950</v>
      </c>
      <c r="J129" s="2">
        <v>44972</v>
      </c>
      <c r="K129" t="s">
        <v>17</v>
      </c>
    </row>
    <row r="130" spans="1:11" x14ac:dyDescent="0.25">
      <c r="A130" t="s">
        <v>46</v>
      </c>
      <c r="B130" t="s">
        <v>12</v>
      </c>
      <c r="C130">
        <v>96</v>
      </c>
      <c r="D130">
        <v>71</v>
      </c>
      <c r="E130" t="s">
        <v>13</v>
      </c>
      <c r="F130" t="s">
        <v>173</v>
      </c>
      <c r="G130">
        <v>341.32</v>
      </c>
      <c r="H130" t="s">
        <v>26</v>
      </c>
      <c r="I130" s="2">
        <v>45040</v>
      </c>
      <c r="J130" s="2">
        <v>45098</v>
      </c>
      <c r="K130" t="s">
        <v>17</v>
      </c>
    </row>
    <row r="131" spans="1:11" x14ac:dyDescent="0.25">
      <c r="A131" t="s">
        <v>56</v>
      </c>
      <c r="B131" t="s">
        <v>30</v>
      </c>
      <c r="C131">
        <v>119</v>
      </c>
      <c r="D131">
        <v>68</v>
      </c>
      <c r="E131" t="s">
        <v>13</v>
      </c>
      <c r="F131" t="s">
        <v>171</v>
      </c>
      <c r="G131">
        <v>339.1</v>
      </c>
      <c r="H131" t="s">
        <v>14</v>
      </c>
      <c r="I131" s="2">
        <v>45055</v>
      </c>
      <c r="J131" s="2">
        <v>45075</v>
      </c>
    </row>
    <row r="132" spans="1:11" x14ac:dyDescent="0.25">
      <c r="A132" t="s">
        <v>43</v>
      </c>
      <c r="B132" t="s">
        <v>28</v>
      </c>
      <c r="C132">
        <v>197</v>
      </c>
      <c r="D132">
        <v>24</v>
      </c>
      <c r="E132" t="s">
        <v>13</v>
      </c>
      <c r="F132" t="s">
        <v>173</v>
      </c>
      <c r="G132">
        <v>439.55</v>
      </c>
      <c r="H132" t="s">
        <v>14</v>
      </c>
      <c r="I132" s="2">
        <v>44963</v>
      </c>
      <c r="J132" s="2">
        <v>44984</v>
      </c>
      <c r="K132" t="s">
        <v>17</v>
      </c>
    </row>
    <row r="133" spans="1:11" x14ac:dyDescent="0.25">
      <c r="A133" t="s">
        <v>15</v>
      </c>
      <c r="B133" t="s">
        <v>16</v>
      </c>
      <c r="C133">
        <v>174</v>
      </c>
      <c r="D133">
        <v>66</v>
      </c>
      <c r="E133" t="s">
        <v>13</v>
      </c>
      <c r="F133" t="s">
        <v>170</v>
      </c>
      <c r="G133">
        <v>253.8</v>
      </c>
      <c r="H133" t="s">
        <v>14</v>
      </c>
      <c r="I133" s="2">
        <v>45012</v>
      </c>
      <c r="J133" s="2">
        <v>45048</v>
      </c>
      <c r="K133" t="s">
        <v>17</v>
      </c>
    </row>
    <row r="134" spans="1:11" x14ac:dyDescent="0.25">
      <c r="A134" t="s">
        <v>35</v>
      </c>
      <c r="B134" t="s">
        <v>30</v>
      </c>
      <c r="C134">
        <v>32</v>
      </c>
      <c r="D134">
        <v>58</v>
      </c>
      <c r="E134" t="s">
        <v>19</v>
      </c>
      <c r="F134" t="s">
        <v>170</v>
      </c>
      <c r="G134">
        <v>358.98</v>
      </c>
      <c r="H134" t="s">
        <v>20</v>
      </c>
      <c r="I134" s="2">
        <v>45091</v>
      </c>
      <c r="J134" s="2">
        <v>45158</v>
      </c>
      <c r="K134" t="s">
        <v>17</v>
      </c>
    </row>
    <row r="135" spans="1:11" x14ac:dyDescent="0.25">
      <c r="A135" t="s">
        <v>66</v>
      </c>
      <c r="B135" t="s">
        <v>12</v>
      </c>
      <c r="C135">
        <v>167</v>
      </c>
      <c r="D135">
        <v>23</v>
      </c>
      <c r="E135" t="s">
        <v>13</v>
      </c>
      <c r="F135" t="s">
        <v>173</v>
      </c>
      <c r="G135">
        <v>375.66</v>
      </c>
      <c r="H135" t="s">
        <v>26</v>
      </c>
      <c r="I135" s="2">
        <v>45052</v>
      </c>
      <c r="J135" s="2">
        <v>45120</v>
      </c>
      <c r="K135" t="s">
        <v>172</v>
      </c>
    </row>
    <row r="136" spans="1:11" x14ac:dyDescent="0.25">
      <c r="A136" t="s">
        <v>67</v>
      </c>
      <c r="B136" t="s">
        <v>23</v>
      </c>
      <c r="C136">
        <v>196</v>
      </c>
      <c r="D136">
        <v>35</v>
      </c>
      <c r="E136" t="s">
        <v>13</v>
      </c>
      <c r="F136" t="s">
        <v>173</v>
      </c>
      <c r="G136">
        <v>424.18</v>
      </c>
      <c r="H136" t="s">
        <v>20</v>
      </c>
      <c r="I136" s="2">
        <v>45204</v>
      </c>
      <c r="J136" s="2">
        <v>45233</v>
      </c>
      <c r="K136" t="s">
        <v>172</v>
      </c>
    </row>
    <row r="137" spans="1:11" x14ac:dyDescent="0.25">
      <c r="A137" t="s">
        <v>68</v>
      </c>
      <c r="B137" t="s">
        <v>30</v>
      </c>
      <c r="C137">
        <v>61</v>
      </c>
      <c r="D137">
        <v>89</v>
      </c>
      <c r="E137" t="s">
        <v>19</v>
      </c>
      <c r="F137" t="s">
        <v>173</v>
      </c>
      <c r="G137">
        <v>355</v>
      </c>
      <c r="H137" t="s">
        <v>20</v>
      </c>
      <c r="I137" s="2">
        <v>45100</v>
      </c>
      <c r="J137" s="2">
        <v>45145</v>
      </c>
      <c r="K137" t="s">
        <v>21</v>
      </c>
    </row>
    <row r="138" spans="1:11" x14ac:dyDescent="0.25">
      <c r="A138" t="s">
        <v>54</v>
      </c>
      <c r="B138" t="s">
        <v>16</v>
      </c>
      <c r="C138">
        <v>172</v>
      </c>
      <c r="D138">
        <v>50</v>
      </c>
      <c r="E138" t="s">
        <v>13</v>
      </c>
      <c r="F138" t="s">
        <v>171</v>
      </c>
      <c r="G138">
        <v>431.63</v>
      </c>
      <c r="H138" t="s">
        <v>26</v>
      </c>
      <c r="I138" s="2">
        <v>44951</v>
      </c>
      <c r="J138" s="2">
        <v>44995</v>
      </c>
      <c r="K138" t="s">
        <v>17</v>
      </c>
    </row>
    <row r="139" spans="1:11" x14ac:dyDescent="0.25">
      <c r="A139" t="s">
        <v>29</v>
      </c>
      <c r="B139" t="s">
        <v>12</v>
      </c>
      <c r="C139">
        <v>102</v>
      </c>
      <c r="D139">
        <v>32</v>
      </c>
      <c r="E139" t="s">
        <v>13</v>
      </c>
      <c r="F139" t="s">
        <v>171</v>
      </c>
      <c r="G139">
        <v>299.63</v>
      </c>
      <c r="H139" t="s">
        <v>20</v>
      </c>
      <c r="I139" s="2">
        <v>45289</v>
      </c>
      <c r="J139" s="2">
        <v>45312</v>
      </c>
    </row>
    <row r="140" spans="1:11" x14ac:dyDescent="0.25">
      <c r="A140" t="s">
        <v>54</v>
      </c>
      <c r="B140" t="s">
        <v>30</v>
      </c>
      <c r="C140">
        <v>61</v>
      </c>
      <c r="D140">
        <v>74</v>
      </c>
      <c r="E140" t="s">
        <v>19</v>
      </c>
      <c r="F140" t="s">
        <v>171</v>
      </c>
      <c r="G140">
        <v>296.95</v>
      </c>
      <c r="H140" t="s">
        <v>14</v>
      </c>
      <c r="I140" s="2">
        <v>45036</v>
      </c>
      <c r="J140" s="2">
        <v>45059</v>
      </c>
      <c r="K140" t="s">
        <v>17</v>
      </c>
    </row>
    <row r="141" spans="1:11" x14ac:dyDescent="0.25">
      <c r="A141" t="s">
        <v>35</v>
      </c>
      <c r="B141" t="s">
        <v>28</v>
      </c>
      <c r="C141">
        <v>54</v>
      </c>
      <c r="D141">
        <v>86</v>
      </c>
      <c r="E141" t="s">
        <v>19</v>
      </c>
      <c r="F141" t="s">
        <v>170</v>
      </c>
      <c r="G141">
        <v>417.9</v>
      </c>
      <c r="H141" t="s">
        <v>20</v>
      </c>
      <c r="I141" s="2">
        <v>44979</v>
      </c>
      <c r="J141" s="2">
        <v>45009</v>
      </c>
    </row>
    <row r="142" spans="1:11" x14ac:dyDescent="0.25">
      <c r="A142" t="s">
        <v>63</v>
      </c>
      <c r="B142" t="s">
        <v>23</v>
      </c>
      <c r="C142">
        <v>179</v>
      </c>
      <c r="D142">
        <v>64</v>
      </c>
      <c r="E142" t="s">
        <v>13</v>
      </c>
      <c r="F142" t="s">
        <v>170</v>
      </c>
      <c r="G142">
        <v>307.25</v>
      </c>
      <c r="H142" t="s">
        <v>20</v>
      </c>
      <c r="I142" s="2">
        <v>45045</v>
      </c>
      <c r="J142" s="2">
        <v>45126</v>
      </c>
      <c r="K142" t="s">
        <v>172</v>
      </c>
    </row>
    <row r="143" spans="1:11" x14ac:dyDescent="0.25">
      <c r="A143" t="s">
        <v>50</v>
      </c>
      <c r="B143" t="s">
        <v>16</v>
      </c>
      <c r="C143">
        <v>62</v>
      </c>
      <c r="D143">
        <v>46</v>
      </c>
      <c r="E143" t="s">
        <v>13</v>
      </c>
      <c r="F143" t="s">
        <v>173</v>
      </c>
      <c r="G143">
        <v>266.16000000000003</v>
      </c>
      <c r="H143" t="s">
        <v>14</v>
      </c>
      <c r="I143" s="2">
        <v>44950</v>
      </c>
      <c r="J143" s="2">
        <v>44967</v>
      </c>
    </row>
    <row r="144" spans="1:11" x14ac:dyDescent="0.25">
      <c r="A144" t="s">
        <v>54</v>
      </c>
      <c r="B144" t="s">
        <v>23</v>
      </c>
      <c r="C144">
        <v>111</v>
      </c>
      <c r="D144">
        <v>80</v>
      </c>
      <c r="E144" t="s">
        <v>13</v>
      </c>
      <c r="F144" t="s">
        <v>171</v>
      </c>
      <c r="G144">
        <v>79.290000000000006</v>
      </c>
      <c r="H144" t="s">
        <v>14</v>
      </c>
      <c r="I144" s="2">
        <v>45061</v>
      </c>
      <c r="J144" s="2">
        <v>45110</v>
      </c>
    </row>
    <row r="145" spans="1:11" x14ac:dyDescent="0.25">
      <c r="A145" t="s">
        <v>40</v>
      </c>
      <c r="B145" t="s">
        <v>30</v>
      </c>
      <c r="C145">
        <v>112</v>
      </c>
      <c r="D145">
        <v>30</v>
      </c>
      <c r="E145" t="s">
        <v>13</v>
      </c>
      <c r="F145" t="s">
        <v>171</v>
      </c>
      <c r="G145">
        <v>290.18</v>
      </c>
      <c r="H145" t="s">
        <v>14</v>
      </c>
      <c r="I145" s="2">
        <v>45132</v>
      </c>
      <c r="J145" s="2">
        <v>45160</v>
      </c>
      <c r="K145" t="s">
        <v>17</v>
      </c>
    </row>
    <row r="146" spans="1:11" x14ac:dyDescent="0.25">
      <c r="A146" t="s">
        <v>68</v>
      </c>
      <c r="B146" t="s">
        <v>28</v>
      </c>
      <c r="C146">
        <v>161</v>
      </c>
      <c r="D146">
        <v>90</v>
      </c>
      <c r="E146" t="s">
        <v>13</v>
      </c>
      <c r="F146" t="s">
        <v>173</v>
      </c>
      <c r="G146">
        <v>209.2</v>
      </c>
      <c r="H146" t="s">
        <v>20</v>
      </c>
      <c r="I146" s="2">
        <v>45194</v>
      </c>
      <c r="J146" s="2">
        <v>45272</v>
      </c>
      <c r="K146" t="s">
        <v>172</v>
      </c>
    </row>
    <row r="147" spans="1:11" x14ac:dyDescent="0.25">
      <c r="A147" t="s">
        <v>69</v>
      </c>
      <c r="B147" t="s">
        <v>28</v>
      </c>
      <c r="C147">
        <v>62</v>
      </c>
      <c r="D147">
        <v>96</v>
      </c>
      <c r="E147" t="s">
        <v>19</v>
      </c>
      <c r="F147" t="s">
        <v>171</v>
      </c>
      <c r="G147">
        <v>356.1</v>
      </c>
      <c r="H147" t="s">
        <v>20</v>
      </c>
      <c r="I147" s="2">
        <v>45283</v>
      </c>
      <c r="J147" s="2">
        <v>45303</v>
      </c>
      <c r="K147" t="s">
        <v>172</v>
      </c>
    </row>
    <row r="148" spans="1:11" x14ac:dyDescent="0.25">
      <c r="A148" t="s">
        <v>15</v>
      </c>
      <c r="B148" t="s">
        <v>30</v>
      </c>
      <c r="C148">
        <v>18</v>
      </c>
      <c r="D148">
        <v>53</v>
      </c>
      <c r="E148" t="s">
        <v>19</v>
      </c>
      <c r="F148" t="s">
        <v>170</v>
      </c>
      <c r="G148">
        <v>223.59</v>
      </c>
      <c r="H148" t="s">
        <v>14</v>
      </c>
      <c r="I148" s="2">
        <v>45211</v>
      </c>
      <c r="J148" s="2">
        <v>45297</v>
      </c>
      <c r="K148" t="s">
        <v>17</v>
      </c>
    </row>
    <row r="149" spans="1:11" x14ac:dyDescent="0.25">
      <c r="A149" t="s">
        <v>43</v>
      </c>
      <c r="B149" t="s">
        <v>30</v>
      </c>
      <c r="C149">
        <v>114</v>
      </c>
      <c r="D149">
        <v>38</v>
      </c>
      <c r="E149" t="s">
        <v>13</v>
      </c>
      <c r="F149" t="s">
        <v>170</v>
      </c>
      <c r="G149">
        <v>393.01</v>
      </c>
      <c r="H149" t="s">
        <v>26</v>
      </c>
      <c r="I149" s="2">
        <v>45020</v>
      </c>
      <c r="J149" s="2">
        <v>45080</v>
      </c>
    </row>
    <row r="150" spans="1:11" x14ac:dyDescent="0.25">
      <c r="A150" t="s">
        <v>59</v>
      </c>
      <c r="B150" t="s">
        <v>12</v>
      </c>
      <c r="C150">
        <v>162</v>
      </c>
      <c r="D150">
        <v>86</v>
      </c>
      <c r="E150" t="s">
        <v>13</v>
      </c>
      <c r="F150" t="s">
        <v>171</v>
      </c>
      <c r="G150">
        <v>324.77</v>
      </c>
      <c r="H150" t="s">
        <v>26</v>
      </c>
      <c r="I150" s="2">
        <v>44952</v>
      </c>
      <c r="J150" s="2">
        <v>45022</v>
      </c>
      <c r="K150" t="s">
        <v>172</v>
      </c>
    </row>
    <row r="151" spans="1:11" x14ac:dyDescent="0.25">
      <c r="A151" t="s">
        <v>65</v>
      </c>
      <c r="B151" t="s">
        <v>16</v>
      </c>
      <c r="C151">
        <v>160</v>
      </c>
      <c r="D151">
        <v>43</v>
      </c>
      <c r="E151" t="s">
        <v>13</v>
      </c>
      <c r="F151" t="s">
        <v>173</v>
      </c>
      <c r="G151">
        <v>256.3</v>
      </c>
      <c r="H151" t="s">
        <v>20</v>
      </c>
      <c r="I151" s="2">
        <v>45190</v>
      </c>
      <c r="J151" s="2">
        <v>45243</v>
      </c>
      <c r="K151" t="s">
        <v>172</v>
      </c>
    </row>
    <row r="152" spans="1:11" x14ac:dyDescent="0.25">
      <c r="A152" t="s">
        <v>65</v>
      </c>
      <c r="B152" t="s">
        <v>28</v>
      </c>
      <c r="C152">
        <v>190</v>
      </c>
      <c r="D152">
        <v>68</v>
      </c>
      <c r="E152" t="s">
        <v>13</v>
      </c>
      <c r="F152" t="s">
        <v>173</v>
      </c>
      <c r="G152">
        <v>473.89</v>
      </c>
      <c r="H152" t="s">
        <v>20</v>
      </c>
      <c r="I152" s="2">
        <v>44947</v>
      </c>
      <c r="J152" s="2">
        <v>45011</v>
      </c>
      <c r="K152" t="s">
        <v>172</v>
      </c>
    </row>
    <row r="153" spans="1:11" x14ac:dyDescent="0.25">
      <c r="A153" t="s">
        <v>33</v>
      </c>
      <c r="B153" t="s">
        <v>30</v>
      </c>
      <c r="C153">
        <v>127</v>
      </c>
      <c r="D153">
        <v>69</v>
      </c>
      <c r="E153" t="s">
        <v>13</v>
      </c>
      <c r="F153" t="s">
        <v>170</v>
      </c>
      <c r="G153">
        <v>132.13999999999999</v>
      </c>
      <c r="H153" t="s">
        <v>20</v>
      </c>
      <c r="I153" s="2">
        <v>44983</v>
      </c>
      <c r="J153" s="2">
        <v>45025</v>
      </c>
    </row>
    <row r="154" spans="1:11" x14ac:dyDescent="0.25">
      <c r="A154" t="s">
        <v>35</v>
      </c>
      <c r="B154" t="s">
        <v>23</v>
      </c>
      <c r="C154">
        <v>99</v>
      </c>
      <c r="D154">
        <v>66</v>
      </c>
      <c r="E154" t="s">
        <v>13</v>
      </c>
      <c r="F154" t="s">
        <v>171</v>
      </c>
      <c r="G154">
        <v>415.27</v>
      </c>
      <c r="H154" t="s">
        <v>26</v>
      </c>
      <c r="I154" s="2">
        <v>45013</v>
      </c>
      <c r="J154" s="2">
        <v>45101</v>
      </c>
      <c r="K154" t="s">
        <v>17</v>
      </c>
    </row>
    <row r="155" spans="1:11" x14ac:dyDescent="0.25">
      <c r="A155" t="s">
        <v>53</v>
      </c>
      <c r="B155" t="s">
        <v>28</v>
      </c>
      <c r="C155">
        <v>136</v>
      </c>
      <c r="D155">
        <v>87</v>
      </c>
      <c r="E155" t="s">
        <v>13</v>
      </c>
      <c r="F155" t="s">
        <v>170</v>
      </c>
      <c r="G155">
        <v>243.72</v>
      </c>
      <c r="H155" t="s">
        <v>26</v>
      </c>
      <c r="I155" s="2">
        <v>45100</v>
      </c>
      <c r="J155" s="2">
        <v>45148</v>
      </c>
      <c r="K155" t="s">
        <v>172</v>
      </c>
    </row>
    <row r="156" spans="1:11" x14ac:dyDescent="0.25">
      <c r="A156" t="s">
        <v>39</v>
      </c>
      <c r="B156" t="s">
        <v>28</v>
      </c>
      <c r="C156">
        <v>172</v>
      </c>
      <c r="D156">
        <v>95</v>
      </c>
      <c r="E156" t="s">
        <v>13</v>
      </c>
      <c r="F156" t="s">
        <v>171</v>
      </c>
      <c r="G156">
        <v>187.7</v>
      </c>
      <c r="H156" t="s">
        <v>20</v>
      </c>
      <c r="I156" s="2">
        <v>45068</v>
      </c>
      <c r="J156" s="2">
        <v>45115</v>
      </c>
      <c r="K156" t="s">
        <v>21</v>
      </c>
    </row>
    <row r="157" spans="1:11" x14ac:dyDescent="0.25">
      <c r="A157" t="s">
        <v>51</v>
      </c>
      <c r="B157" t="s">
        <v>30</v>
      </c>
      <c r="C157">
        <v>112</v>
      </c>
      <c r="D157">
        <v>72</v>
      </c>
      <c r="E157" t="s">
        <v>13</v>
      </c>
      <c r="F157" t="s">
        <v>171</v>
      </c>
      <c r="G157">
        <v>424.08</v>
      </c>
      <c r="H157" t="s">
        <v>14</v>
      </c>
      <c r="I157" s="2">
        <v>45022</v>
      </c>
      <c r="J157" s="2">
        <v>45061</v>
      </c>
      <c r="K157" t="s">
        <v>17</v>
      </c>
    </row>
    <row r="158" spans="1:11" x14ac:dyDescent="0.25">
      <c r="A158" t="s">
        <v>51</v>
      </c>
      <c r="B158" t="s">
        <v>23</v>
      </c>
      <c r="C158">
        <v>67</v>
      </c>
      <c r="D158">
        <v>92</v>
      </c>
      <c r="E158" t="s">
        <v>19</v>
      </c>
      <c r="F158" t="s">
        <v>171</v>
      </c>
      <c r="G158">
        <v>17.98</v>
      </c>
      <c r="H158" t="s">
        <v>14</v>
      </c>
      <c r="I158" s="2">
        <v>45094</v>
      </c>
      <c r="J158" s="2">
        <v>45164</v>
      </c>
      <c r="K158" t="s">
        <v>17</v>
      </c>
    </row>
    <row r="159" spans="1:11" x14ac:dyDescent="0.25">
      <c r="A159" t="s">
        <v>11</v>
      </c>
      <c r="B159" t="s">
        <v>30</v>
      </c>
      <c r="C159">
        <v>11</v>
      </c>
      <c r="D159">
        <v>78</v>
      </c>
      <c r="E159" t="s">
        <v>19</v>
      </c>
      <c r="F159" t="s">
        <v>170</v>
      </c>
      <c r="G159">
        <v>411.87</v>
      </c>
      <c r="H159" t="s">
        <v>26</v>
      </c>
      <c r="I159" s="2">
        <v>45155</v>
      </c>
      <c r="J159" s="2">
        <v>45238</v>
      </c>
      <c r="K159" t="s">
        <v>172</v>
      </c>
    </row>
    <row r="160" spans="1:11" x14ac:dyDescent="0.25">
      <c r="A160" t="s">
        <v>44</v>
      </c>
      <c r="B160" t="s">
        <v>28</v>
      </c>
      <c r="C160">
        <v>42</v>
      </c>
      <c r="D160">
        <v>96</v>
      </c>
      <c r="E160" t="s">
        <v>19</v>
      </c>
      <c r="F160" t="s">
        <v>173</v>
      </c>
      <c r="G160">
        <v>316.76</v>
      </c>
      <c r="H160" t="s">
        <v>14</v>
      </c>
      <c r="I160" s="2">
        <v>45037</v>
      </c>
      <c r="J160" s="2">
        <v>45072</v>
      </c>
    </row>
    <row r="161" spans="1:11" x14ac:dyDescent="0.25">
      <c r="A161" t="s">
        <v>68</v>
      </c>
      <c r="B161" t="s">
        <v>28</v>
      </c>
      <c r="C161">
        <v>0</v>
      </c>
      <c r="D161">
        <v>48</v>
      </c>
      <c r="E161" t="s">
        <v>19</v>
      </c>
      <c r="F161" t="s">
        <v>173</v>
      </c>
      <c r="G161">
        <v>339.53</v>
      </c>
      <c r="H161" t="s">
        <v>20</v>
      </c>
      <c r="I161" s="2">
        <v>45102</v>
      </c>
      <c r="J161" s="2">
        <v>45141</v>
      </c>
      <c r="K161" t="s">
        <v>172</v>
      </c>
    </row>
    <row r="162" spans="1:11" x14ac:dyDescent="0.25">
      <c r="A162" t="s">
        <v>58</v>
      </c>
      <c r="B162" t="s">
        <v>28</v>
      </c>
      <c r="C162">
        <v>115</v>
      </c>
      <c r="D162">
        <v>82</v>
      </c>
      <c r="E162" t="s">
        <v>13</v>
      </c>
      <c r="F162" t="s">
        <v>170</v>
      </c>
      <c r="G162">
        <v>367.88</v>
      </c>
      <c r="H162" t="s">
        <v>26</v>
      </c>
      <c r="I162" s="2">
        <v>45282</v>
      </c>
      <c r="J162" s="2">
        <v>45328</v>
      </c>
      <c r="K162" t="s">
        <v>172</v>
      </c>
    </row>
    <row r="163" spans="1:11" x14ac:dyDescent="0.25">
      <c r="A163" t="s">
        <v>67</v>
      </c>
      <c r="B163" t="s">
        <v>16</v>
      </c>
      <c r="C163">
        <v>171</v>
      </c>
      <c r="D163">
        <v>95</v>
      </c>
      <c r="E163" t="s">
        <v>13</v>
      </c>
      <c r="F163" t="s">
        <v>171</v>
      </c>
      <c r="G163">
        <v>288.24</v>
      </c>
      <c r="H163" t="s">
        <v>14</v>
      </c>
      <c r="I163" s="2">
        <v>45160</v>
      </c>
      <c r="J163" s="2">
        <v>45228</v>
      </c>
    </row>
    <row r="164" spans="1:11" x14ac:dyDescent="0.25">
      <c r="A164" t="s">
        <v>61</v>
      </c>
      <c r="B164" t="s">
        <v>16</v>
      </c>
      <c r="C164">
        <v>28</v>
      </c>
      <c r="D164">
        <v>85</v>
      </c>
      <c r="E164" t="s">
        <v>19</v>
      </c>
      <c r="F164" t="s">
        <v>173</v>
      </c>
      <c r="G164">
        <v>245.09</v>
      </c>
      <c r="H164" t="s">
        <v>26</v>
      </c>
      <c r="I164" s="2">
        <v>44933</v>
      </c>
      <c r="J164" s="2">
        <v>44970</v>
      </c>
      <c r="K164" t="s">
        <v>172</v>
      </c>
    </row>
    <row r="165" spans="1:11" x14ac:dyDescent="0.25">
      <c r="A165" t="s">
        <v>36</v>
      </c>
      <c r="B165" t="s">
        <v>30</v>
      </c>
      <c r="C165">
        <v>69</v>
      </c>
      <c r="D165">
        <v>40</v>
      </c>
      <c r="E165" t="s">
        <v>13</v>
      </c>
      <c r="F165" t="s">
        <v>170</v>
      </c>
      <c r="G165">
        <v>420.25</v>
      </c>
      <c r="H165" t="s">
        <v>14</v>
      </c>
      <c r="I165" s="2">
        <v>45111</v>
      </c>
      <c r="J165" s="2">
        <v>45131</v>
      </c>
      <c r="K165" t="s">
        <v>17</v>
      </c>
    </row>
    <row r="166" spans="1:11" x14ac:dyDescent="0.25">
      <c r="A166" t="s">
        <v>36</v>
      </c>
      <c r="B166" t="s">
        <v>28</v>
      </c>
      <c r="C166">
        <v>139</v>
      </c>
      <c r="D166">
        <v>79</v>
      </c>
      <c r="E166" t="s">
        <v>13</v>
      </c>
      <c r="F166" t="s">
        <v>173</v>
      </c>
      <c r="G166">
        <v>159.93</v>
      </c>
      <c r="H166" t="s">
        <v>14</v>
      </c>
      <c r="I166" s="2">
        <v>45063</v>
      </c>
      <c r="J166" s="2">
        <v>45131</v>
      </c>
      <c r="K166" t="s">
        <v>21</v>
      </c>
    </row>
    <row r="167" spans="1:11" x14ac:dyDescent="0.25">
      <c r="A167" t="s">
        <v>27</v>
      </c>
      <c r="B167" t="s">
        <v>30</v>
      </c>
      <c r="C167">
        <v>154</v>
      </c>
      <c r="D167">
        <v>83</v>
      </c>
      <c r="E167" t="s">
        <v>13</v>
      </c>
      <c r="F167" t="s">
        <v>171</v>
      </c>
      <c r="G167">
        <v>76.98</v>
      </c>
      <c r="H167" t="s">
        <v>14</v>
      </c>
      <c r="I167" s="2">
        <v>45157</v>
      </c>
      <c r="J167" s="2">
        <v>45222</v>
      </c>
      <c r="K167" t="s">
        <v>17</v>
      </c>
    </row>
    <row r="168" spans="1:11" x14ac:dyDescent="0.25">
      <c r="A168" t="s">
        <v>48</v>
      </c>
      <c r="B168" t="s">
        <v>23</v>
      </c>
      <c r="C168">
        <v>26</v>
      </c>
      <c r="D168">
        <v>30</v>
      </c>
      <c r="E168" t="s">
        <v>19</v>
      </c>
      <c r="F168" t="s">
        <v>173</v>
      </c>
      <c r="G168">
        <v>431.52</v>
      </c>
      <c r="H168" t="s">
        <v>20</v>
      </c>
      <c r="I168" s="2">
        <v>44933</v>
      </c>
      <c r="J168" s="2">
        <v>45008</v>
      </c>
      <c r="K168" t="s">
        <v>21</v>
      </c>
    </row>
    <row r="169" spans="1:11" x14ac:dyDescent="0.25">
      <c r="A169" t="s">
        <v>58</v>
      </c>
      <c r="B169" t="s">
        <v>28</v>
      </c>
      <c r="C169">
        <v>56</v>
      </c>
      <c r="D169">
        <v>92</v>
      </c>
      <c r="E169" t="s">
        <v>19</v>
      </c>
      <c r="F169" t="s">
        <v>171</v>
      </c>
      <c r="G169">
        <v>33.82</v>
      </c>
      <c r="H169" t="s">
        <v>14</v>
      </c>
      <c r="I169" s="2">
        <v>45069</v>
      </c>
      <c r="J169" s="2">
        <v>45105</v>
      </c>
      <c r="K169" t="s">
        <v>21</v>
      </c>
    </row>
    <row r="170" spans="1:11" x14ac:dyDescent="0.25">
      <c r="A170" t="s">
        <v>42</v>
      </c>
      <c r="B170" t="s">
        <v>16</v>
      </c>
      <c r="C170">
        <v>25</v>
      </c>
      <c r="D170">
        <v>84</v>
      </c>
      <c r="E170" t="s">
        <v>19</v>
      </c>
      <c r="F170" t="s">
        <v>173</v>
      </c>
      <c r="G170">
        <v>398.68</v>
      </c>
      <c r="H170" t="s">
        <v>26</v>
      </c>
      <c r="I170" s="2">
        <v>45068</v>
      </c>
      <c r="J170" s="2">
        <v>45144</v>
      </c>
      <c r="K170" t="s">
        <v>172</v>
      </c>
    </row>
    <row r="171" spans="1:11" x14ac:dyDescent="0.25">
      <c r="A171" t="s">
        <v>46</v>
      </c>
      <c r="B171" t="s">
        <v>28</v>
      </c>
      <c r="C171">
        <v>112</v>
      </c>
      <c r="D171">
        <v>27</v>
      </c>
      <c r="E171" t="s">
        <v>13</v>
      </c>
      <c r="F171" t="s">
        <v>170</v>
      </c>
      <c r="G171">
        <v>238.12</v>
      </c>
      <c r="H171" t="s">
        <v>20</v>
      </c>
      <c r="I171" s="2">
        <v>45025</v>
      </c>
      <c r="J171" s="2">
        <v>45100</v>
      </c>
      <c r="K171" t="s">
        <v>172</v>
      </c>
    </row>
    <row r="172" spans="1:11" x14ac:dyDescent="0.25">
      <c r="A172" t="s">
        <v>70</v>
      </c>
      <c r="B172" t="s">
        <v>28</v>
      </c>
      <c r="C172">
        <v>56</v>
      </c>
      <c r="D172">
        <v>85</v>
      </c>
      <c r="E172" t="s">
        <v>19</v>
      </c>
      <c r="F172" t="s">
        <v>170</v>
      </c>
      <c r="G172">
        <v>81.41</v>
      </c>
      <c r="H172" t="s">
        <v>26</v>
      </c>
      <c r="I172" s="2">
        <v>45107</v>
      </c>
      <c r="J172" s="2">
        <v>45167</v>
      </c>
      <c r="K172" t="s">
        <v>172</v>
      </c>
    </row>
    <row r="173" spans="1:11" x14ac:dyDescent="0.25">
      <c r="A173" t="s">
        <v>24</v>
      </c>
      <c r="B173" t="s">
        <v>23</v>
      </c>
      <c r="C173">
        <v>129</v>
      </c>
      <c r="D173">
        <v>89</v>
      </c>
      <c r="E173" t="s">
        <v>13</v>
      </c>
      <c r="F173" t="s">
        <v>170</v>
      </c>
      <c r="G173">
        <v>92.15</v>
      </c>
      <c r="H173" t="s">
        <v>26</v>
      </c>
      <c r="I173" s="2">
        <v>44941</v>
      </c>
      <c r="J173" s="2">
        <v>45027</v>
      </c>
      <c r="K173" t="s">
        <v>172</v>
      </c>
    </row>
    <row r="174" spans="1:11" x14ac:dyDescent="0.25">
      <c r="A174" t="s">
        <v>57</v>
      </c>
      <c r="B174" t="s">
        <v>16</v>
      </c>
      <c r="C174">
        <v>82</v>
      </c>
      <c r="D174">
        <v>48</v>
      </c>
      <c r="E174" t="s">
        <v>13</v>
      </c>
      <c r="F174" t="s">
        <v>171</v>
      </c>
      <c r="G174">
        <v>400.18</v>
      </c>
      <c r="H174" t="s">
        <v>26</v>
      </c>
      <c r="I174" s="2">
        <v>45055</v>
      </c>
      <c r="J174" s="2">
        <v>45129</v>
      </c>
    </row>
    <row r="175" spans="1:11" x14ac:dyDescent="0.25">
      <c r="A175" t="s">
        <v>22</v>
      </c>
      <c r="B175" t="s">
        <v>28</v>
      </c>
      <c r="C175">
        <v>39</v>
      </c>
      <c r="D175">
        <v>75</v>
      </c>
      <c r="E175" t="s">
        <v>19</v>
      </c>
      <c r="F175" t="s">
        <v>170</v>
      </c>
      <c r="G175">
        <v>182.46</v>
      </c>
      <c r="H175" t="s">
        <v>20</v>
      </c>
      <c r="I175" s="2">
        <v>45167</v>
      </c>
      <c r="J175" s="2">
        <v>45211</v>
      </c>
      <c r="K175" t="s">
        <v>21</v>
      </c>
    </row>
    <row r="176" spans="1:11" x14ac:dyDescent="0.25">
      <c r="A176" t="s">
        <v>54</v>
      </c>
      <c r="B176" t="s">
        <v>12</v>
      </c>
      <c r="C176">
        <v>103</v>
      </c>
      <c r="D176">
        <v>70</v>
      </c>
      <c r="E176" t="s">
        <v>13</v>
      </c>
      <c r="F176" t="s">
        <v>173</v>
      </c>
      <c r="G176">
        <v>50.7</v>
      </c>
      <c r="H176" t="s">
        <v>20</v>
      </c>
      <c r="I176" s="2">
        <v>45107</v>
      </c>
      <c r="J176" s="2">
        <v>45194</v>
      </c>
      <c r="K176" t="s">
        <v>17</v>
      </c>
    </row>
    <row r="177" spans="1:11" x14ac:dyDescent="0.25">
      <c r="A177" t="s">
        <v>22</v>
      </c>
      <c r="B177" t="s">
        <v>16</v>
      </c>
      <c r="C177">
        <v>47</v>
      </c>
      <c r="D177">
        <v>46</v>
      </c>
      <c r="E177" t="s">
        <v>13</v>
      </c>
      <c r="F177" t="s">
        <v>171</v>
      </c>
      <c r="G177">
        <v>137.32</v>
      </c>
      <c r="H177" t="s">
        <v>20</v>
      </c>
      <c r="I177" s="2">
        <v>45186</v>
      </c>
      <c r="J177" s="2">
        <v>45265</v>
      </c>
      <c r="K177" t="s">
        <v>17</v>
      </c>
    </row>
    <row r="178" spans="1:11" x14ac:dyDescent="0.25">
      <c r="A178" t="s">
        <v>55</v>
      </c>
      <c r="B178" t="s">
        <v>16</v>
      </c>
      <c r="C178">
        <v>10</v>
      </c>
      <c r="D178">
        <v>96</v>
      </c>
      <c r="E178" t="s">
        <v>19</v>
      </c>
      <c r="F178" t="s">
        <v>171</v>
      </c>
      <c r="G178">
        <v>282.16000000000003</v>
      </c>
      <c r="H178" t="s">
        <v>26</v>
      </c>
      <c r="I178" s="2">
        <v>44958</v>
      </c>
      <c r="J178" s="2">
        <v>45007</v>
      </c>
      <c r="K178" t="s">
        <v>172</v>
      </c>
    </row>
    <row r="179" spans="1:11" x14ac:dyDescent="0.25">
      <c r="A179" t="s">
        <v>47</v>
      </c>
      <c r="B179" t="s">
        <v>23</v>
      </c>
      <c r="C179">
        <v>87</v>
      </c>
      <c r="D179">
        <v>69</v>
      </c>
      <c r="E179" t="s">
        <v>13</v>
      </c>
      <c r="F179" t="s">
        <v>170</v>
      </c>
      <c r="G179">
        <v>195.38</v>
      </c>
      <c r="H179" t="s">
        <v>20</v>
      </c>
      <c r="I179" s="2">
        <v>44971</v>
      </c>
      <c r="J179" s="2">
        <v>45028</v>
      </c>
      <c r="K179" t="s">
        <v>17</v>
      </c>
    </row>
    <row r="180" spans="1:11" x14ac:dyDescent="0.25">
      <c r="A180" t="s">
        <v>24</v>
      </c>
      <c r="B180" t="s">
        <v>12</v>
      </c>
      <c r="C180">
        <v>45</v>
      </c>
      <c r="D180">
        <v>26</v>
      </c>
      <c r="E180" t="s">
        <v>13</v>
      </c>
      <c r="F180" t="s">
        <v>171</v>
      </c>
      <c r="G180">
        <v>471.74</v>
      </c>
      <c r="H180" t="s">
        <v>20</v>
      </c>
      <c r="I180" s="2">
        <v>44936</v>
      </c>
      <c r="J180" s="2">
        <v>44980</v>
      </c>
      <c r="K180" t="s">
        <v>17</v>
      </c>
    </row>
    <row r="181" spans="1:11" x14ac:dyDescent="0.25">
      <c r="A181" t="s">
        <v>62</v>
      </c>
      <c r="B181" t="s">
        <v>23</v>
      </c>
      <c r="C181">
        <v>31</v>
      </c>
      <c r="D181">
        <v>54</v>
      </c>
      <c r="E181" t="s">
        <v>19</v>
      </c>
      <c r="F181" t="s">
        <v>173</v>
      </c>
      <c r="G181">
        <v>499.45</v>
      </c>
      <c r="H181" t="s">
        <v>14</v>
      </c>
      <c r="I181" s="2">
        <v>45112</v>
      </c>
      <c r="J181" s="2">
        <v>45149</v>
      </c>
    </row>
    <row r="182" spans="1:11" x14ac:dyDescent="0.25">
      <c r="A182" t="s">
        <v>49</v>
      </c>
      <c r="B182" t="s">
        <v>30</v>
      </c>
      <c r="C182">
        <v>193</v>
      </c>
      <c r="D182">
        <v>49</v>
      </c>
      <c r="E182" t="s">
        <v>13</v>
      </c>
      <c r="F182" t="s">
        <v>171</v>
      </c>
      <c r="G182">
        <v>366.38</v>
      </c>
      <c r="H182" t="s">
        <v>20</v>
      </c>
      <c r="I182" s="2">
        <v>44973</v>
      </c>
      <c r="J182" s="2">
        <v>45016</v>
      </c>
    </row>
    <row r="183" spans="1:11" x14ac:dyDescent="0.25">
      <c r="A183" t="s">
        <v>61</v>
      </c>
      <c r="B183" t="s">
        <v>16</v>
      </c>
      <c r="C183">
        <v>163</v>
      </c>
      <c r="D183">
        <v>86</v>
      </c>
      <c r="E183" t="s">
        <v>13</v>
      </c>
      <c r="F183" t="s">
        <v>170</v>
      </c>
      <c r="G183">
        <v>164.78</v>
      </c>
      <c r="H183" t="s">
        <v>26</v>
      </c>
      <c r="I183" s="2">
        <v>45220</v>
      </c>
      <c r="J183" s="2">
        <v>45262</v>
      </c>
      <c r="K183" t="s">
        <v>17</v>
      </c>
    </row>
    <row r="184" spans="1:11" x14ac:dyDescent="0.25">
      <c r="A184" t="s">
        <v>57</v>
      </c>
      <c r="B184" t="s">
        <v>12</v>
      </c>
      <c r="C184">
        <v>165</v>
      </c>
      <c r="D184">
        <v>46</v>
      </c>
      <c r="E184" t="s">
        <v>13</v>
      </c>
      <c r="F184" t="s">
        <v>173</v>
      </c>
      <c r="G184">
        <v>66.86</v>
      </c>
      <c r="H184" t="s">
        <v>26</v>
      </c>
      <c r="I184" s="2">
        <v>45036</v>
      </c>
      <c r="J184" s="2">
        <v>45101</v>
      </c>
      <c r="K184" t="s">
        <v>172</v>
      </c>
    </row>
    <row r="185" spans="1:11" x14ac:dyDescent="0.25">
      <c r="A185" t="s">
        <v>61</v>
      </c>
      <c r="B185" t="s">
        <v>28</v>
      </c>
      <c r="C185">
        <v>198</v>
      </c>
      <c r="D185">
        <v>46</v>
      </c>
      <c r="E185" t="s">
        <v>13</v>
      </c>
      <c r="F185" t="s">
        <v>170</v>
      </c>
      <c r="G185">
        <v>285.77999999999997</v>
      </c>
      <c r="H185" t="s">
        <v>26</v>
      </c>
      <c r="I185" s="2">
        <v>45227</v>
      </c>
      <c r="J185" s="2">
        <v>45296</v>
      </c>
      <c r="K185" t="s">
        <v>21</v>
      </c>
    </row>
    <row r="186" spans="1:11" x14ac:dyDescent="0.25">
      <c r="A186" t="s">
        <v>50</v>
      </c>
      <c r="B186" t="s">
        <v>16</v>
      </c>
      <c r="C186">
        <v>133</v>
      </c>
      <c r="D186">
        <v>72</v>
      </c>
      <c r="E186" t="s">
        <v>13</v>
      </c>
      <c r="F186" t="s">
        <v>173</v>
      </c>
      <c r="G186">
        <v>433.84</v>
      </c>
      <c r="H186" t="s">
        <v>20</v>
      </c>
      <c r="I186" s="2">
        <v>45289</v>
      </c>
      <c r="J186" s="2">
        <v>45344</v>
      </c>
      <c r="K186" t="s">
        <v>21</v>
      </c>
    </row>
    <row r="187" spans="1:11" x14ac:dyDescent="0.25">
      <c r="A187" t="s">
        <v>60</v>
      </c>
      <c r="B187" t="s">
        <v>28</v>
      </c>
      <c r="C187">
        <v>39</v>
      </c>
      <c r="D187">
        <v>42</v>
      </c>
      <c r="E187" t="s">
        <v>19</v>
      </c>
      <c r="F187" t="s">
        <v>173</v>
      </c>
      <c r="G187">
        <v>299.27999999999997</v>
      </c>
      <c r="H187" t="s">
        <v>20</v>
      </c>
      <c r="I187" s="2">
        <v>45153</v>
      </c>
      <c r="J187" s="2">
        <v>45181</v>
      </c>
      <c r="K187" t="s">
        <v>17</v>
      </c>
    </row>
    <row r="188" spans="1:11" x14ac:dyDescent="0.25">
      <c r="A188" t="s">
        <v>54</v>
      </c>
      <c r="B188" t="s">
        <v>28</v>
      </c>
      <c r="C188">
        <v>28</v>
      </c>
      <c r="D188">
        <v>34</v>
      </c>
      <c r="E188" t="s">
        <v>19</v>
      </c>
      <c r="F188" t="s">
        <v>170</v>
      </c>
      <c r="G188">
        <v>79.05</v>
      </c>
      <c r="H188" t="s">
        <v>14</v>
      </c>
      <c r="I188" s="2">
        <v>44946</v>
      </c>
      <c r="J188" s="2">
        <v>44976</v>
      </c>
      <c r="K188" t="s">
        <v>172</v>
      </c>
    </row>
    <row r="189" spans="1:11" x14ac:dyDescent="0.25">
      <c r="A189" t="s">
        <v>49</v>
      </c>
      <c r="B189" t="s">
        <v>23</v>
      </c>
      <c r="C189">
        <v>149</v>
      </c>
      <c r="D189">
        <v>97</v>
      </c>
      <c r="E189" t="s">
        <v>13</v>
      </c>
      <c r="F189" t="s">
        <v>170</v>
      </c>
      <c r="G189">
        <v>32.92</v>
      </c>
      <c r="H189" t="s">
        <v>14</v>
      </c>
      <c r="I189" s="2">
        <v>45280</v>
      </c>
      <c r="J189" s="2">
        <v>45299</v>
      </c>
      <c r="K189" t="s">
        <v>172</v>
      </c>
    </row>
    <row r="190" spans="1:11" x14ac:dyDescent="0.25">
      <c r="A190" t="s">
        <v>68</v>
      </c>
      <c r="B190" t="s">
        <v>16</v>
      </c>
      <c r="C190">
        <v>134</v>
      </c>
      <c r="D190">
        <v>35</v>
      </c>
      <c r="E190" t="s">
        <v>13</v>
      </c>
      <c r="F190" t="s">
        <v>173</v>
      </c>
      <c r="G190">
        <v>199.79</v>
      </c>
      <c r="H190" t="s">
        <v>20</v>
      </c>
      <c r="I190" s="2">
        <v>45184</v>
      </c>
      <c r="J190" s="2">
        <v>45260</v>
      </c>
      <c r="K190" t="s">
        <v>172</v>
      </c>
    </row>
    <row r="191" spans="1:11" x14ac:dyDescent="0.25">
      <c r="A191" t="s">
        <v>61</v>
      </c>
      <c r="B191" t="s">
        <v>12</v>
      </c>
      <c r="C191">
        <v>26</v>
      </c>
      <c r="D191">
        <v>36</v>
      </c>
      <c r="E191" t="s">
        <v>19</v>
      </c>
      <c r="F191" t="s">
        <v>171</v>
      </c>
      <c r="G191">
        <v>86.67</v>
      </c>
      <c r="H191" t="s">
        <v>26</v>
      </c>
      <c r="I191" s="2">
        <v>45039</v>
      </c>
      <c r="J191" s="2">
        <v>45124</v>
      </c>
      <c r="K191" t="s">
        <v>17</v>
      </c>
    </row>
    <row r="192" spans="1:11" x14ac:dyDescent="0.25">
      <c r="A192" t="s">
        <v>51</v>
      </c>
      <c r="B192" t="s">
        <v>28</v>
      </c>
      <c r="C192">
        <v>188</v>
      </c>
      <c r="D192">
        <v>88</v>
      </c>
      <c r="E192" t="s">
        <v>13</v>
      </c>
      <c r="F192" t="s">
        <v>170</v>
      </c>
      <c r="G192">
        <v>248.71</v>
      </c>
      <c r="H192" t="s">
        <v>14</v>
      </c>
      <c r="I192" s="2">
        <v>45132</v>
      </c>
      <c r="J192" s="2">
        <v>45167</v>
      </c>
      <c r="K192" t="s">
        <v>172</v>
      </c>
    </row>
    <row r="193" spans="1:11" x14ac:dyDescent="0.25">
      <c r="A193" t="s">
        <v>54</v>
      </c>
      <c r="B193" t="s">
        <v>12</v>
      </c>
      <c r="C193">
        <v>119</v>
      </c>
      <c r="D193">
        <v>26</v>
      </c>
      <c r="E193" t="s">
        <v>13</v>
      </c>
      <c r="F193" t="s">
        <v>171</v>
      </c>
      <c r="G193">
        <v>235.9</v>
      </c>
      <c r="H193" t="s">
        <v>26</v>
      </c>
      <c r="I193" s="2">
        <v>45182</v>
      </c>
      <c r="J193" s="2">
        <v>45263</v>
      </c>
      <c r="K193" t="s">
        <v>17</v>
      </c>
    </row>
    <row r="194" spans="1:11" x14ac:dyDescent="0.25">
      <c r="A194" t="s">
        <v>24</v>
      </c>
      <c r="B194" t="s">
        <v>12</v>
      </c>
      <c r="C194">
        <v>148</v>
      </c>
      <c r="D194">
        <v>78</v>
      </c>
      <c r="E194" t="s">
        <v>13</v>
      </c>
      <c r="F194" t="s">
        <v>171</v>
      </c>
      <c r="G194">
        <v>83.41</v>
      </c>
      <c r="H194" t="s">
        <v>14</v>
      </c>
      <c r="I194" s="2">
        <v>45001</v>
      </c>
      <c r="J194" s="2">
        <v>45082</v>
      </c>
      <c r="K194" t="s">
        <v>21</v>
      </c>
    </row>
    <row r="195" spans="1:11" x14ac:dyDescent="0.25">
      <c r="A195" t="s">
        <v>48</v>
      </c>
      <c r="B195" t="s">
        <v>23</v>
      </c>
      <c r="C195">
        <v>6</v>
      </c>
      <c r="D195">
        <v>83</v>
      </c>
      <c r="E195" t="s">
        <v>19</v>
      </c>
      <c r="F195" t="s">
        <v>173</v>
      </c>
      <c r="G195">
        <v>55.23</v>
      </c>
      <c r="H195" t="s">
        <v>26</v>
      </c>
      <c r="I195" s="2">
        <v>45130</v>
      </c>
      <c r="J195" s="2">
        <v>45218</v>
      </c>
      <c r="K195" t="s">
        <v>17</v>
      </c>
    </row>
    <row r="196" spans="1:11" x14ac:dyDescent="0.25">
      <c r="A196" t="s">
        <v>56</v>
      </c>
      <c r="B196" t="s">
        <v>23</v>
      </c>
      <c r="C196">
        <v>47</v>
      </c>
      <c r="D196">
        <v>50</v>
      </c>
      <c r="E196" t="s">
        <v>19</v>
      </c>
      <c r="F196" t="s">
        <v>171</v>
      </c>
      <c r="G196">
        <v>208.85</v>
      </c>
      <c r="H196" t="s">
        <v>14</v>
      </c>
      <c r="I196" s="2">
        <v>45065</v>
      </c>
      <c r="J196" s="2">
        <v>45152</v>
      </c>
      <c r="K196" t="s">
        <v>21</v>
      </c>
    </row>
    <row r="197" spans="1:11" x14ac:dyDescent="0.25">
      <c r="A197" t="s">
        <v>58</v>
      </c>
      <c r="B197" t="s">
        <v>28</v>
      </c>
      <c r="C197">
        <v>9</v>
      </c>
      <c r="D197">
        <v>58</v>
      </c>
      <c r="E197" t="s">
        <v>19</v>
      </c>
      <c r="F197" t="s">
        <v>170</v>
      </c>
      <c r="G197">
        <v>359.7</v>
      </c>
      <c r="H197" t="s">
        <v>14</v>
      </c>
      <c r="I197" s="2">
        <v>44934</v>
      </c>
      <c r="J197" s="2">
        <v>44962</v>
      </c>
    </row>
    <row r="198" spans="1:11" x14ac:dyDescent="0.25">
      <c r="A198" t="s">
        <v>11</v>
      </c>
      <c r="B198" t="s">
        <v>23</v>
      </c>
      <c r="C198">
        <v>43</v>
      </c>
      <c r="D198">
        <v>83</v>
      </c>
      <c r="E198" t="s">
        <v>19</v>
      </c>
      <c r="F198" t="s">
        <v>173</v>
      </c>
      <c r="G198">
        <v>365.67</v>
      </c>
      <c r="H198" t="s">
        <v>26</v>
      </c>
      <c r="I198" s="2">
        <v>45109</v>
      </c>
      <c r="J198" s="2">
        <v>45198</v>
      </c>
      <c r="K198" t="s">
        <v>172</v>
      </c>
    </row>
    <row r="199" spans="1:11" x14ac:dyDescent="0.25">
      <c r="A199" t="s">
        <v>71</v>
      </c>
      <c r="B199" t="s">
        <v>30</v>
      </c>
      <c r="C199">
        <v>112</v>
      </c>
      <c r="D199">
        <v>40</v>
      </c>
      <c r="E199" t="s">
        <v>13</v>
      </c>
      <c r="F199" t="s">
        <v>170</v>
      </c>
      <c r="G199">
        <v>6.65</v>
      </c>
      <c r="H199" t="s">
        <v>20</v>
      </c>
      <c r="I199" s="2">
        <v>45188</v>
      </c>
      <c r="J199" s="2">
        <v>45219</v>
      </c>
    </row>
    <row r="200" spans="1:11" x14ac:dyDescent="0.25">
      <c r="A200" t="s">
        <v>69</v>
      </c>
      <c r="B200" t="s">
        <v>16</v>
      </c>
      <c r="C200">
        <v>148</v>
      </c>
      <c r="D200">
        <v>24</v>
      </c>
      <c r="E200" t="s">
        <v>13</v>
      </c>
      <c r="F200" t="s">
        <v>170</v>
      </c>
      <c r="G200">
        <v>399.24</v>
      </c>
      <c r="H200" t="s">
        <v>20</v>
      </c>
      <c r="I200" s="2">
        <v>45275</v>
      </c>
      <c r="J200" s="2">
        <v>45293</v>
      </c>
      <c r="K200" t="s">
        <v>21</v>
      </c>
    </row>
    <row r="201" spans="1:11" x14ac:dyDescent="0.25">
      <c r="A201" t="s">
        <v>71</v>
      </c>
      <c r="B201" t="s">
        <v>23</v>
      </c>
      <c r="C201">
        <v>108</v>
      </c>
      <c r="D201">
        <v>58</v>
      </c>
      <c r="E201" t="s">
        <v>13</v>
      </c>
      <c r="F201" t="s">
        <v>173</v>
      </c>
      <c r="G201">
        <v>89.51</v>
      </c>
      <c r="H201" t="s">
        <v>20</v>
      </c>
      <c r="I201" s="2">
        <v>45166</v>
      </c>
      <c r="J201" s="2">
        <v>45226</v>
      </c>
      <c r="K201" t="s">
        <v>17</v>
      </c>
    </row>
    <row r="202" spans="1:11" x14ac:dyDescent="0.25">
      <c r="A202" t="s">
        <v>11</v>
      </c>
      <c r="B202" t="s">
        <v>30</v>
      </c>
      <c r="C202">
        <v>166</v>
      </c>
      <c r="D202">
        <v>51</v>
      </c>
      <c r="E202" t="s">
        <v>13</v>
      </c>
      <c r="F202" t="s">
        <v>170</v>
      </c>
      <c r="G202">
        <v>209.1</v>
      </c>
      <c r="H202" t="s">
        <v>14</v>
      </c>
      <c r="I202" s="2">
        <v>44974</v>
      </c>
      <c r="J202" s="2">
        <v>45057</v>
      </c>
    </row>
    <row r="203" spans="1:11" x14ac:dyDescent="0.25">
      <c r="A203" t="s">
        <v>42</v>
      </c>
      <c r="B203" t="s">
        <v>16</v>
      </c>
      <c r="C203">
        <v>52</v>
      </c>
      <c r="D203">
        <v>87</v>
      </c>
      <c r="E203" t="s">
        <v>19</v>
      </c>
      <c r="F203" t="s">
        <v>171</v>
      </c>
      <c r="G203">
        <v>424.33</v>
      </c>
      <c r="H203" t="s">
        <v>20</v>
      </c>
      <c r="I203" s="2">
        <v>45285</v>
      </c>
      <c r="J203" s="2">
        <v>45310</v>
      </c>
      <c r="K203" t="s">
        <v>17</v>
      </c>
    </row>
    <row r="204" spans="1:11" x14ac:dyDescent="0.25">
      <c r="A204" t="s">
        <v>42</v>
      </c>
      <c r="B204" t="s">
        <v>12</v>
      </c>
      <c r="C204">
        <v>86</v>
      </c>
      <c r="D204">
        <v>29</v>
      </c>
      <c r="E204" t="s">
        <v>13</v>
      </c>
      <c r="F204" t="s">
        <v>171</v>
      </c>
      <c r="G204">
        <v>493.72</v>
      </c>
      <c r="H204" t="s">
        <v>20</v>
      </c>
      <c r="I204" s="2">
        <v>45170</v>
      </c>
      <c r="J204" s="2">
        <v>45216</v>
      </c>
      <c r="K204" t="s">
        <v>21</v>
      </c>
    </row>
    <row r="205" spans="1:11" x14ac:dyDescent="0.25">
      <c r="A205" t="s">
        <v>44</v>
      </c>
      <c r="B205" t="s">
        <v>28</v>
      </c>
      <c r="C205">
        <v>105</v>
      </c>
      <c r="D205">
        <v>53</v>
      </c>
      <c r="E205" t="s">
        <v>13</v>
      </c>
      <c r="F205" t="s">
        <v>173</v>
      </c>
      <c r="G205">
        <v>52.62</v>
      </c>
      <c r="H205" t="s">
        <v>14</v>
      </c>
      <c r="I205" s="2">
        <v>45118</v>
      </c>
      <c r="J205" s="2">
        <v>45163</v>
      </c>
      <c r="K205" t="s">
        <v>21</v>
      </c>
    </row>
    <row r="206" spans="1:11" x14ac:dyDescent="0.25">
      <c r="A206" t="s">
        <v>29</v>
      </c>
      <c r="B206" t="s">
        <v>30</v>
      </c>
      <c r="C206">
        <v>110</v>
      </c>
      <c r="D206">
        <v>52</v>
      </c>
      <c r="E206" t="s">
        <v>13</v>
      </c>
      <c r="F206" t="s">
        <v>171</v>
      </c>
      <c r="G206">
        <v>116.75</v>
      </c>
      <c r="H206" t="s">
        <v>26</v>
      </c>
      <c r="I206" s="2">
        <v>45119</v>
      </c>
      <c r="J206" s="2">
        <v>45179</v>
      </c>
    </row>
    <row r="207" spans="1:11" x14ac:dyDescent="0.25">
      <c r="A207" t="s">
        <v>25</v>
      </c>
      <c r="B207" t="s">
        <v>16</v>
      </c>
      <c r="C207">
        <v>29</v>
      </c>
      <c r="D207">
        <v>98</v>
      </c>
      <c r="E207" t="s">
        <v>19</v>
      </c>
      <c r="F207" t="s">
        <v>171</v>
      </c>
      <c r="G207">
        <v>423.97</v>
      </c>
      <c r="H207" t="s">
        <v>14</v>
      </c>
      <c r="I207" s="2">
        <v>45209</v>
      </c>
      <c r="J207" s="2">
        <v>45225</v>
      </c>
    </row>
    <row r="208" spans="1:11" x14ac:dyDescent="0.25">
      <c r="A208" t="s">
        <v>53</v>
      </c>
      <c r="B208" t="s">
        <v>12</v>
      </c>
      <c r="C208">
        <v>194</v>
      </c>
      <c r="D208">
        <v>43</v>
      </c>
      <c r="E208" t="s">
        <v>13</v>
      </c>
      <c r="F208" t="s">
        <v>173</v>
      </c>
      <c r="G208">
        <v>79.81</v>
      </c>
      <c r="H208" t="s">
        <v>20</v>
      </c>
      <c r="I208" s="2">
        <v>44946</v>
      </c>
      <c r="J208" s="2">
        <v>44967</v>
      </c>
    </row>
    <row r="209" spans="1:11" x14ac:dyDescent="0.25">
      <c r="A209" t="s">
        <v>38</v>
      </c>
      <c r="B209" t="s">
        <v>12</v>
      </c>
      <c r="C209">
        <v>57</v>
      </c>
      <c r="D209">
        <v>39</v>
      </c>
      <c r="E209" t="s">
        <v>13</v>
      </c>
      <c r="F209" t="s">
        <v>173</v>
      </c>
      <c r="G209">
        <v>99.64</v>
      </c>
      <c r="H209" t="s">
        <v>20</v>
      </c>
      <c r="I209" s="2">
        <v>45119</v>
      </c>
      <c r="J209" s="2">
        <v>45142</v>
      </c>
      <c r="K209" t="s">
        <v>21</v>
      </c>
    </row>
    <row r="210" spans="1:11" x14ac:dyDescent="0.25">
      <c r="A210" t="s">
        <v>24</v>
      </c>
      <c r="B210" t="s">
        <v>30</v>
      </c>
      <c r="C210">
        <v>75</v>
      </c>
      <c r="D210">
        <v>62</v>
      </c>
      <c r="E210" t="s">
        <v>13</v>
      </c>
      <c r="F210" t="s">
        <v>171</v>
      </c>
      <c r="G210">
        <v>361.35</v>
      </c>
      <c r="H210" t="s">
        <v>14</v>
      </c>
      <c r="I210" s="2">
        <v>45191</v>
      </c>
      <c r="J210" s="2">
        <v>45273</v>
      </c>
      <c r="K210" t="s">
        <v>21</v>
      </c>
    </row>
    <row r="211" spans="1:11" x14ac:dyDescent="0.25">
      <c r="A211" t="s">
        <v>68</v>
      </c>
      <c r="B211" t="s">
        <v>30</v>
      </c>
      <c r="C211">
        <v>93</v>
      </c>
      <c r="D211">
        <v>42</v>
      </c>
      <c r="E211" t="s">
        <v>13</v>
      </c>
      <c r="F211" t="s">
        <v>171</v>
      </c>
      <c r="G211">
        <v>143.91</v>
      </c>
      <c r="H211" t="s">
        <v>14</v>
      </c>
      <c r="I211" s="2">
        <v>45002</v>
      </c>
      <c r="J211" s="2">
        <v>45023</v>
      </c>
      <c r="K211" t="s">
        <v>21</v>
      </c>
    </row>
    <row r="212" spans="1:11" x14ac:dyDescent="0.25">
      <c r="A212" t="s">
        <v>70</v>
      </c>
      <c r="B212" t="s">
        <v>23</v>
      </c>
      <c r="C212">
        <v>36</v>
      </c>
      <c r="D212">
        <v>53</v>
      </c>
      <c r="E212" t="s">
        <v>19</v>
      </c>
      <c r="F212" t="s">
        <v>170</v>
      </c>
      <c r="G212">
        <v>112.35</v>
      </c>
      <c r="H212" t="s">
        <v>20</v>
      </c>
      <c r="I212" s="2">
        <v>45135</v>
      </c>
      <c r="J212" s="2">
        <v>45208</v>
      </c>
    </row>
    <row r="213" spans="1:11" x14ac:dyDescent="0.25">
      <c r="A213" t="s">
        <v>40</v>
      </c>
      <c r="B213" t="s">
        <v>12</v>
      </c>
      <c r="C213">
        <v>87</v>
      </c>
      <c r="D213">
        <v>87</v>
      </c>
      <c r="E213" t="s">
        <v>13</v>
      </c>
      <c r="F213" t="s">
        <v>173</v>
      </c>
      <c r="G213">
        <v>430.34</v>
      </c>
      <c r="H213" t="s">
        <v>20</v>
      </c>
      <c r="I213" s="2">
        <v>44971</v>
      </c>
      <c r="J213" s="2">
        <v>45002</v>
      </c>
      <c r="K213" t="s">
        <v>172</v>
      </c>
    </row>
    <row r="214" spans="1:11" x14ac:dyDescent="0.25">
      <c r="A214" t="s">
        <v>45</v>
      </c>
      <c r="B214" t="s">
        <v>23</v>
      </c>
      <c r="C214">
        <v>180</v>
      </c>
      <c r="D214">
        <v>94</v>
      </c>
      <c r="E214" t="s">
        <v>13</v>
      </c>
      <c r="F214" t="s">
        <v>171</v>
      </c>
      <c r="G214">
        <v>226.44</v>
      </c>
      <c r="H214" t="s">
        <v>20</v>
      </c>
      <c r="I214" s="2">
        <v>45013</v>
      </c>
      <c r="J214" s="2">
        <v>45049</v>
      </c>
      <c r="K214" t="s">
        <v>21</v>
      </c>
    </row>
    <row r="215" spans="1:11" x14ac:dyDescent="0.25">
      <c r="A215" t="s">
        <v>65</v>
      </c>
      <c r="B215" t="s">
        <v>12</v>
      </c>
      <c r="C215">
        <v>181</v>
      </c>
      <c r="D215">
        <v>38</v>
      </c>
      <c r="E215" t="s">
        <v>13</v>
      </c>
      <c r="F215" t="s">
        <v>173</v>
      </c>
      <c r="G215">
        <v>297.18</v>
      </c>
      <c r="H215" t="s">
        <v>26</v>
      </c>
      <c r="I215" s="2">
        <v>45214</v>
      </c>
      <c r="J215" s="2">
        <v>45230</v>
      </c>
      <c r="K215" t="s">
        <v>17</v>
      </c>
    </row>
    <row r="216" spans="1:11" x14ac:dyDescent="0.25">
      <c r="A216" t="s">
        <v>52</v>
      </c>
      <c r="B216" t="s">
        <v>16</v>
      </c>
      <c r="C216">
        <v>122</v>
      </c>
      <c r="D216">
        <v>33</v>
      </c>
      <c r="E216" t="s">
        <v>13</v>
      </c>
      <c r="F216" t="s">
        <v>171</v>
      </c>
      <c r="G216">
        <v>354.79</v>
      </c>
      <c r="H216" t="s">
        <v>20</v>
      </c>
      <c r="I216" s="2">
        <v>45275</v>
      </c>
      <c r="J216" s="2">
        <v>45339</v>
      </c>
      <c r="K216" t="s">
        <v>172</v>
      </c>
    </row>
    <row r="217" spans="1:11" x14ac:dyDescent="0.25">
      <c r="A217" t="s">
        <v>66</v>
      </c>
      <c r="B217" t="s">
        <v>12</v>
      </c>
      <c r="C217">
        <v>28</v>
      </c>
      <c r="D217">
        <v>39</v>
      </c>
      <c r="E217" t="s">
        <v>19</v>
      </c>
      <c r="F217" t="s">
        <v>170</v>
      </c>
      <c r="G217">
        <v>274.62</v>
      </c>
      <c r="H217" t="s">
        <v>20</v>
      </c>
      <c r="I217" s="2">
        <v>44937</v>
      </c>
      <c r="J217" s="2">
        <v>44966</v>
      </c>
      <c r="K217" t="s">
        <v>21</v>
      </c>
    </row>
    <row r="218" spans="1:11" x14ac:dyDescent="0.25">
      <c r="A218" t="s">
        <v>66</v>
      </c>
      <c r="B218" t="s">
        <v>12</v>
      </c>
      <c r="C218">
        <v>185</v>
      </c>
      <c r="D218">
        <v>35</v>
      </c>
      <c r="E218" t="s">
        <v>13</v>
      </c>
      <c r="F218" t="s">
        <v>171</v>
      </c>
      <c r="G218">
        <v>16.66</v>
      </c>
      <c r="H218" t="s">
        <v>14</v>
      </c>
      <c r="I218" s="2">
        <v>45070</v>
      </c>
      <c r="J218" s="2">
        <v>45149</v>
      </c>
      <c r="K218" t="s">
        <v>17</v>
      </c>
    </row>
    <row r="219" spans="1:11" x14ac:dyDescent="0.25">
      <c r="A219" t="s">
        <v>43</v>
      </c>
      <c r="B219" t="s">
        <v>12</v>
      </c>
      <c r="C219">
        <v>170</v>
      </c>
      <c r="D219">
        <v>61</v>
      </c>
      <c r="E219" t="s">
        <v>13</v>
      </c>
      <c r="F219" t="s">
        <v>173</v>
      </c>
      <c r="G219">
        <v>231.31</v>
      </c>
      <c r="H219" t="s">
        <v>20</v>
      </c>
      <c r="I219" s="2">
        <v>45276</v>
      </c>
      <c r="J219" s="2">
        <v>45351</v>
      </c>
    </row>
    <row r="220" spans="1:11" x14ac:dyDescent="0.25">
      <c r="A220" t="s">
        <v>45</v>
      </c>
      <c r="B220" t="s">
        <v>16</v>
      </c>
      <c r="C220">
        <v>19</v>
      </c>
      <c r="D220">
        <v>75</v>
      </c>
      <c r="E220" t="s">
        <v>19</v>
      </c>
      <c r="F220" t="s">
        <v>170</v>
      </c>
      <c r="G220">
        <v>84.18</v>
      </c>
      <c r="H220" t="s">
        <v>14</v>
      </c>
      <c r="I220" s="2">
        <v>44930</v>
      </c>
      <c r="J220" s="2">
        <v>45018</v>
      </c>
      <c r="K220" t="s">
        <v>21</v>
      </c>
    </row>
    <row r="221" spans="1:11" x14ac:dyDescent="0.25">
      <c r="A221" t="s">
        <v>64</v>
      </c>
      <c r="B221" t="s">
        <v>16</v>
      </c>
      <c r="C221">
        <v>101</v>
      </c>
      <c r="D221">
        <v>64</v>
      </c>
      <c r="E221" t="s">
        <v>13</v>
      </c>
      <c r="F221" t="s">
        <v>173</v>
      </c>
      <c r="G221">
        <v>246.16</v>
      </c>
      <c r="H221" t="s">
        <v>20</v>
      </c>
      <c r="I221" s="2">
        <v>45228</v>
      </c>
      <c r="J221" s="2">
        <v>45305</v>
      </c>
      <c r="K221" t="s">
        <v>21</v>
      </c>
    </row>
    <row r="222" spans="1:11" x14ac:dyDescent="0.25">
      <c r="A222" t="s">
        <v>49</v>
      </c>
      <c r="B222" t="s">
        <v>23</v>
      </c>
      <c r="C222">
        <v>146</v>
      </c>
      <c r="D222">
        <v>58</v>
      </c>
      <c r="E222" t="s">
        <v>13</v>
      </c>
      <c r="F222" t="s">
        <v>171</v>
      </c>
      <c r="G222">
        <v>495.3</v>
      </c>
      <c r="H222" t="s">
        <v>20</v>
      </c>
      <c r="I222" s="2">
        <v>45270</v>
      </c>
      <c r="J222" s="2">
        <v>45289</v>
      </c>
    </row>
    <row r="223" spans="1:11" x14ac:dyDescent="0.25">
      <c r="A223" t="s">
        <v>40</v>
      </c>
      <c r="B223" t="s">
        <v>23</v>
      </c>
      <c r="C223">
        <v>199</v>
      </c>
      <c r="D223">
        <v>23</v>
      </c>
      <c r="E223" t="s">
        <v>13</v>
      </c>
      <c r="F223" t="s">
        <v>173</v>
      </c>
      <c r="G223">
        <v>248.66</v>
      </c>
      <c r="H223" t="s">
        <v>14</v>
      </c>
      <c r="I223" s="2">
        <v>45034</v>
      </c>
      <c r="J223" s="2">
        <v>45085</v>
      </c>
    </row>
    <row r="224" spans="1:11" x14ac:dyDescent="0.25">
      <c r="A224" t="s">
        <v>44</v>
      </c>
      <c r="B224" t="s">
        <v>16</v>
      </c>
      <c r="C224">
        <v>92</v>
      </c>
      <c r="D224">
        <v>52</v>
      </c>
      <c r="E224" t="s">
        <v>13</v>
      </c>
      <c r="F224" t="s">
        <v>173</v>
      </c>
      <c r="G224">
        <v>134.58000000000001</v>
      </c>
      <c r="H224" t="s">
        <v>20</v>
      </c>
      <c r="I224" s="2">
        <v>45241</v>
      </c>
      <c r="J224" s="2">
        <v>45282</v>
      </c>
      <c r="K224" t="s">
        <v>172</v>
      </c>
    </row>
    <row r="225" spans="1:11" x14ac:dyDescent="0.25">
      <c r="A225" t="s">
        <v>62</v>
      </c>
      <c r="B225" t="s">
        <v>16</v>
      </c>
      <c r="C225">
        <v>120</v>
      </c>
      <c r="D225">
        <v>50</v>
      </c>
      <c r="E225" t="s">
        <v>13</v>
      </c>
      <c r="F225" t="s">
        <v>171</v>
      </c>
      <c r="G225">
        <v>471.42</v>
      </c>
      <c r="H225" t="s">
        <v>14</v>
      </c>
      <c r="I225" s="2">
        <v>45032</v>
      </c>
      <c r="J225" s="2">
        <v>45098</v>
      </c>
      <c r="K225" t="s">
        <v>172</v>
      </c>
    </row>
    <row r="226" spans="1:11" x14ac:dyDescent="0.25">
      <c r="A226" t="s">
        <v>49</v>
      </c>
      <c r="B226" t="s">
        <v>23</v>
      </c>
      <c r="C226">
        <v>33</v>
      </c>
      <c r="D226">
        <v>37</v>
      </c>
      <c r="E226" t="s">
        <v>19</v>
      </c>
      <c r="F226" t="s">
        <v>171</v>
      </c>
      <c r="G226">
        <v>389.68</v>
      </c>
      <c r="H226" t="s">
        <v>26</v>
      </c>
      <c r="I226" s="2">
        <v>45106</v>
      </c>
      <c r="J226" s="2">
        <v>45160</v>
      </c>
    </row>
    <row r="227" spans="1:11" x14ac:dyDescent="0.25">
      <c r="A227" t="s">
        <v>22</v>
      </c>
      <c r="B227" t="s">
        <v>16</v>
      </c>
      <c r="C227">
        <v>81</v>
      </c>
      <c r="D227">
        <v>51</v>
      </c>
      <c r="E227" t="s">
        <v>13</v>
      </c>
      <c r="F227" t="s">
        <v>171</v>
      </c>
      <c r="G227">
        <v>233.87</v>
      </c>
      <c r="H227" t="s">
        <v>26</v>
      </c>
      <c r="I227" s="2">
        <v>44960</v>
      </c>
      <c r="J227" s="2">
        <v>45009</v>
      </c>
    </row>
    <row r="228" spans="1:11" x14ac:dyDescent="0.25">
      <c r="A228" t="s">
        <v>60</v>
      </c>
      <c r="B228" t="s">
        <v>12</v>
      </c>
      <c r="C228">
        <v>111</v>
      </c>
      <c r="D228">
        <v>93</v>
      </c>
      <c r="E228" t="s">
        <v>13</v>
      </c>
      <c r="F228" t="s">
        <v>171</v>
      </c>
      <c r="G228">
        <v>78.53</v>
      </c>
      <c r="H228" t="s">
        <v>26</v>
      </c>
      <c r="I228" s="2">
        <v>45273</v>
      </c>
      <c r="J228" s="2">
        <v>45312</v>
      </c>
      <c r="K228" t="s">
        <v>21</v>
      </c>
    </row>
    <row r="229" spans="1:11" x14ac:dyDescent="0.25">
      <c r="A229" t="s">
        <v>70</v>
      </c>
      <c r="B229" t="s">
        <v>30</v>
      </c>
      <c r="C229">
        <v>14</v>
      </c>
      <c r="D229">
        <v>22</v>
      </c>
      <c r="E229" t="s">
        <v>19</v>
      </c>
      <c r="F229" t="s">
        <v>171</v>
      </c>
      <c r="G229">
        <v>452.9</v>
      </c>
      <c r="H229" t="s">
        <v>26</v>
      </c>
      <c r="I229" s="2">
        <v>44986</v>
      </c>
      <c r="J229" s="2">
        <v>45037</v>
      </c>
    </row>
    <row r="230" spans="1:11" x14ac:dyDescent="0.25">
      <c r="A230" t="s">
        <v>60</v>
      </c>
      <c r="B230" t="s">
        <v>30</v>
      </c>
      <c r="C230">
        <v>35</v>
      </c>
      <c r="D230">
        <v>26</v>
      </c>
      <c r="E230" t="s">
        <v>13</v>
      </c>
      <c r="F230" t="s">
        <v>173</v>
      </c>
      <c r="G230">
        <v>373.32</v>
      </c>
      <c r="H230" t="s">
        <v>20</v>
      </c>
      <c r="I230" s="2">
        <v>45173</v>
      </c>
      <c r="J230" s="2">
        <v>45231</v>
      </c>
      <c r="K230" t="s">
        <v>17</v>
      </c>
    </row>
    <row r="231" spans="1:11" x14ac:dyDescent="0.25">
      <c r="A231" t="s">
        <v>22</v>
      </c>
      <c r="B231" t="s">
        <v>16</v>
      </c>
      <c r="C231">
        <v>74</v>
      </c>
      <c r="D231">
        <v>73</v>
      </c>
      <c r="E231" t="s">
        <v>13</v>
      </c>
      <c r="F231" t="s">
        <v>171</v>
      </c>
      <c r="G231">
        <v>303.83999999999997</v>
      </c>
      <c r="H231" t="s">
        <v>26</v>
      </c>
      <c r="I231" s="2">
        <v>45161</v>
      </c>
      <c r="J231" s="2">
        <v>45196</v>
      </c>
    </row>
    <row r="232" spans="1:11" x14ac:dyDescent="0.25">
      <c r="A232" t="s">
        <v>53</v>
      </c>
      <c r="B232" t="s">
        <v>16</v>
      </c>
      <c r="C232">
        <v>103</v>
      </c>
      <c r="D232">
        <v>74</v>
      </c>
      <c r="E232" t="s">
        <v>13</v>
      </c>
      <c r="F232" t="s">
        <v>171</v>
      </c>
      <c r="G232">
        <v>357.18</v>
      </c>
      <c r="H232" t="s">
        <v>26</v>
      </c>
      <c r="I232" s="2">
        <v>45242</v>
      </c>
      <c r="J232" s="2">
        <v>45314</v>
      </c>
      <c r="K232" t="s">
        <v>172</v>
      </c>
    </row>
    <row r="233" spans="1:11" x14ac:dyDescent="0.25">
      <c r="A233" t="s">
        <v>61</v>
      </c>
      <c r="B233" t="s">
        <v>16</v>
      </c>
      <c r="C233">
        <v>92</v>
      </c>
      <c r="D233">
        <v>36</v>
      </c>
      <c r="E233" t="s">
        <v>13</v>
      </c>
      <c r="F233" t="s">
        <v>170</v>
      </c>
      <c r="G233">
        <v>257.8</v>
      </c>
      <c r="H233" t="s">
        <v>26</v>
      </c>
      <c r="I233" s="2">
        <v>45030</v>
      </c>
      <c r="J233" s="2">
        <v>45085</v>
      </c>
    </row>
    <row r="234" spans="1:11" x14ac:dyDescent="0.25">
      <c r="A234" t="s">
        <v>56</v>
      </c>
      <c r="B234" t="s">
        <v>30</v>
      </c>
      <c r="C234">
        <v>28</v>
      </c>
      <c r="D234">
        <v>54</v>
      </c>
      <c r="E234" t="s">
        <v>19</v>
      </c>
      <c r="F234" t="s">
        <v>173</v>
      </c>
      <c r="G234">
        <v>447.69</v>
      </c>
      <c r="H234" t="s">
        <v>14</v>
      </c>
      <c r="I234" s="2">
        <v>44981</v>
      </c>
      <c r="J234" s="2">
        <v>45036</v>
      </c>
    </row>
    <row r="235" spans="1:11" x14ac:dyDescent="0.25">
      <c r="A235" t="s">
        <v>67</v>
      </c>
      <c r="B235" t="s">
        <v>23</v>
      </c>
      <c r="C235">
        <v>189</v>
      </c>
      <c r="D235">
        <v>66</v>
      </c>
      <c r="E235" t="s">
        <v>13</v>
      </c>
      <c r="F235" t="s">
        <v>173</v>
      </c>
      <c r="G235">
        <v>416.78</v>
      </c>
      <c r="H235" t="s">
        <v>14</v>
      </c>
      <c r="I235" s="2">
        <v>45020</v>
      </c>
      <c r="J235" s="2">
        <v>45088</v>
      </c>
      <c r="K235" t="s">
        <v>17</v>
      </c>
    </row>
    <row r="236" spans="1:11" x14ac:dyDescent="0.25">
      <c r="A236" t="s">
        <v>49</v>
      </c>
      <c r="B236" t="s">
        <v>12</v>
      </c>
      <c r="C236">
        <v>90</v>
      </c>
      <c r="D236">
        <v>52</v>
      </c>
      <c r="E236" t="s">
        <v>13</v>
      </c>
      <c r="F236" t="s">
        <v>173</v>
      </c>
      <c r="G236">
        <v>70.87</v>
      </c>
      <c r="H236" t="s">
        <v>14</v>
      </c>
      <c r="I236" s="2">
        <v>44967</v>
      </c>
      <c r="J236" s="2">
        <v>45017</v>
      </c>
      <c r="K236" t="s">
        <v>21</v>
      </c>
    </row>
    <row r="237" spans="1:11" x14ac:dyDescent="0.25">
      <c r="A237" t="s">
        <v>47</v>
      </c>
      <c r="B237" t="s">
        <v>12</v>
      </c>
      <c r="C237">
        <v>20</v>
      </c>
      <c r="D237">
        <v>43</v>
      </c>
      <c r="E237" t="s">
        <v>19</v>
      </c>
      <c r="F237" t="s">
        <v>170</v>
      </c>
      <c r="G237">
        <v>237.18</v>
      </c>
      <c r="H237" t="s">
        <v>14</v>
      </c>
      <c r="I237" s="2">
        <v>45140</v>
      </c>
      <c r="J237" s="2">
        <v>45175</v>
      </c>
    </row>
    <row r="238" spans="1:11" x14ac:dyDescent="0.25">
      <c r="A238" t="s">
        <v>66</v>
      </c>
      <c r="B238" t="s">
        <v>28</v>
      </c>
      <c r="C238">
        <v>45</v>
      </c>
      <c r="D238">
        <v>86</v>
      </c>
      <c r="E238" t="s">
        <v>19</v>
      </c>
      <c r="F238" t="s">
        <v>170</v>
      </c>
      <c r="G238">
        <v>120.06</v>
      </c>
      <c r="H238" t="s">
        <v>26</v>
      </c>
      <c r="I238" s="2">
        <v>45279</v>
      </c>
      <c r="J238" s="2">
        <v>45346</v>
      </c>
      <c r="K238" t="s">
        <v>21</v>
      </c>
    </row>
    <row r="239" spans="1:11" x14ac:dyDescent="0.25">
      <c r="A239" t="s">
        <v>56</v>
      </c>
      <c r="B239" t="s">
        <v>28</v>
      </c>
      <c r="C239">
        <v>45</v>
      </c>
      <c r="D239">
        <v>55</v>
      </c>
      <c r="E239" t="s">
        <v>19</v>
      </c>
      <c r="F239" t="s">
        <v>170</v>
      </c>
      <c r="G239">
        <v>26.45</v>
      </c>
      <c r="H239" t="s">
        <v>14</v>
      </c>
      <c r="I239" s="2">
        <v>45059</v>
      </c>
      <c r="J239" s="2">
        <v>45146</v>
      </c>
      <c r="K239" t="s">
        <v>172</v>
      </c>
    </row>
    <row r="240" spans="1:11" x14ac:dyDescent="0.25">
      <c r="A240" t="s">
        <v>50</v>
      </c>
      <c r="B240" t="s">
        <v>16</v>
      </c>
      <c r="C240">
        <v>19</v>
      </c>
      <c r="D240">
        <v>64</v>
      </c>
      <c r="E240" t="s">
        <v>19</v>
      </c>
      <c r="F240" t="s">
        <v>170</v>
      </c>
      <c r="G240">
        <v>485.69</v>
      </c>
      <c r="H240" t="s">
        <v>14</v>
      </c>
      <c r="I240" s="2">
        <v>45258</v>
      </c>
      <c r="J240" s="2">
        <v>45291</v>
      </c>
      <c r="K240" t="s">
        <v>172</v>
      </c>
    </row>
    <row r="241" spans="1:11" x14ac:dyDescent="0.25">
      <c r="A241" t="s">
        <v>58</v>
      </c>
      <c r="B241" t="s">
        <v>23</v>
      </c>
      <c r="C241">
        <v>117</v>
      </c>
      <c r="D241">
        <v>69</v>
      </c>
      <c r="E241" t="s">
        <v>13</v>
      </c>
      <c r="F241" t="s">
        <v>171</v>
      </c>
      <c r="G241">
        <v>489.9</v>
      </c>
      <c r="H241" t="s">
        <v>26</v>
      </c>
      <c r="I241" s="2">
        <v>45274</v>
      </c>
      <c r="J241" s="2">
        <v>45335</v>
      </c>
      <c r="K241" t="s">
        <v>172</v>
      </c>
    </row>
    <row r="242" spans="1:11" x14ac:dyDescent="0.25">
      <c r="A242" t="s">
        <v>22</v>
      </c>
      <c r="B242" t="s">
        <v>16</v>
      </c>
      <c r="C242">
        <v>2</v>
      </c>
      <c r="D242">
        <v>96</v>
      </c>
      <c r="E242" t="s">
        <v>19</v>
      </c>
      <c r="F242" t="s">
        <v>170</v>
      </c>
      <c r="G242">
        <v>44.89</v>
      </c>
      <c r="H242" t="s">
        <v>14</v>
      </c>
      <c r="I242" s="2">
        <v>45283</v>
      </c>
      <c r="J242" s="2">
        <v>45308</v>
      </c>
    </row>
    <row r="243" spans="1:11" x14ac:dyDescent="0.25">
      <c r="A243" t="s">
        <v>51</v>
      </c>
      <c r="B243" t="s">
        <v>23</v>
      </c>
      <c r="C243">
        <v>180</v>
      </c>
      <c r="D243">
        <v>23</v>
      </c>
      <c r="E243" t="s">
        <v>13</v>
      </c>
      <c r="F243" t="s">
        <v>170</v>
      </c>
      <c r="G243">
        <v>172.54</v>
      </c>
      <c r="H243" t="s">
        <v>20</v>
      </c>
      <c r="I243" s="2">
        <v>45058</v>
      </c>
      <c r="J243" s="2">
        <v>45086</v>
      </c>
      <c r="K243" t="s">
        <v>172</v>
      </c>
    </row>
    <row r="244" spans="1:11" x14ac:dyDescent="0.25">
      <c r="A244" t="s">
        <v>53</v>
      </c>
      <c r="B244" t="s">
        <v>16</v>
      </c>
      <c r="C244">
        <v>42</v>
      </c>
      <c r="D244">
        <v>85</v>
      </c>
      <c r="E244" t="s">
        <v>19</v>
      </c>
      <c r="F244" t="s">
        <v>171</v>
      </c>
      <c r="G244">
        <v>370.08</v>
      </c>
      <c r="H244" t="s">
        <v>20</v>
      </c>
      <c r="I244" s="2">
        <v>44980</v>
      </c>
      <c r="J244" s="2">
        <v>45004</v>
      </c>
    </row>
    <row r="245" spans="1:11" x14ac:dyDescent="0.25">
      <c r="A245" t="s">
        <v>72</v>
      </c>
      <c r="B245" t="s">
        <v>30</v>
      </c>
      <c r="C245">
        <v>105</v>
      </c>
      <c r="D245">
        <v>72</v>
      </c>
      <c r="E245" t="s">
        <v>13</v>
      </c>
      <c r="F245" t="s">
        <v>171</v>
      </c>
      <c r="G245">
        <v>52.54</v>
      </c>
      <c r="H245" t="s">
        <v>14</v>
      </c>
      <c r="I245" s="2">
        <v>44980</v>
      </c>
      <c r="J245" s="2">
        <v>45050</v>
      </c>
      <c r="K245" t="s">
        <v>21</v>
      </c>
    </row>
    <row r="246" spans="1:11" x14ac:dyDescent="0.25">
      <c r="A246" t="s">
        <v>51</v>
      </c>
      <c r="B246" t="s">
        <v>28</v>
      </c>
      <c r="C246">
        <v>77</v>
      </c>
      <c r="D246">
        <v>51</v>
      </c>
      <c r="E246" t="s">
        <v>13</v>
      </c>
      <c r="F246" t="s">
        <v>173</v>
      </c>
      <c r="G246">
        <v>111.48</v>
      </c>
      <c r="H246" t="s">
        <v>20</v>
      </c>
      <c r="I246" s="2">
        <v>45168</v>
      </c>
      <c r="J246" s="2">
        <v>45242</v>
      </c>
    </row>
    <row r="247" spans="1:11" x14ac:dyDescent="0.25">
      <c r="A247" t="s">
        <v>53</v>
      </c>
      <c r="B247" t="s">
        <v>16</v>
      </c>
      <c r="C247">
        <v>126</v>
      </c>
      <c r="D247">
        <v>62</v>
      </c>
      <c r="E247" t="s">
        <v>13</v>
      </c>
      <c r="F247" t="s">
        <v>173</v>
      </c>
      <c r="G247">
        <v>336.11</v>
      </c>
      <c r="H247" t="s">
        <v>14</v>
      </c>
      <c r="I247" s="2">
        <v>45090</v>
      </c>
      <c r="J247" s="2">
        <v>45107</v>
      </c>
      <c r="K247" t="s">
        <v>17</v>
      </c>
    </row>
    <row r="248" spans="1:11" x14ac:dyDescent="0.25">
      <c r="A248" t="s">
        <v>32</v>
      </c>
      <c r="B248" t="s">
        <v>30</v>
      </c>
      <c r="C248">
        <v>52</v>
      </c>
      <c r="D248">
        <v>49</v>
      </c>
      <c r="E248" t="s">
        <v>13</v>
      </c>
      <c r="F248" t="s">
        <v>170</v>
      </c>
      <c r="G248">
        <v>131.52000000000001</v>
      </c>
      <c r="H248" t="s">
        <v>20</v>
      </c>
      <c r="I248" s="2">
        <v>45182</v>
      </c>
      <c r="J248" s="2">
        <v>45256</v>
      </c>
      <c r="K248" t="s">
        <v>17</v>
      </c>
    </row>
    <row r="249" spans="1:11" x14ac:dyDescent="0.25">
      <c r="A249" t="s">
        <v>43</v>
      </c>
      <c r="B249" t="s">
        <v>23</v>
      </c>
      <c r="C249">
        <v>55</v>
      </c>
      <c r="D249">
        <v>66</v>
      </c>
      <c r="E249" t="s">
        <v>19</v>
      </c>
      <c r="F249" t="s">
        <v>173</v>
      </c>
      <c r="G249">
        <v>476.25</v>
      </c>
      <c r="H249" t="s">
        <v>14</v>
      </c>
      <c r="I249" s="2">
        <v>44997</v>
      </c>
      <c r="J249" s="2">
        <v>45018</v>
      </c>
      <c r="K249" t="s">
        <v>172</v>
      </c>
    </row>
    <row r="250" spans="1:11" x14ac:dyDescent="0.25">
      <c r="A250" t="s">
        <v>56</v>
      </c>
      <c r="B250" t="s">
        <v>12</v>
      </c>
      <c r="C250">
        <v>2</v>
      </c>
      <c r="D250">
        <v>81</v>
      </c>
      <c r="E250" t="s">
        <v>19</v>
      </c>
      <c r="F250" t="s">
        <v>170</v>
      </c>
      <c r="G250">
        <v>488.88</v>
      </c>
      <c r="H250" t="s">
        <v>20</v>
      </c>
      <c r="I250" s="2">
        <v>45251</v>
      </c>
      <c r="J250" s="2">
        <v>45273</v>
      </c>
      <c r="K250" t="s">
        <v>17</v>
      </c>
    </row>
    <row r="251" spans="1:11" x14ac:dyDescent="0.25">
      <c r="A251" t="s">
        <v>22</v>
      </c>
      <c r="B251" t="s">
        <v>12</v>
      </c>
      <c r="C251">
        <v>33</v>
      </c>
      <c r="D251">
        <v>67</v>
      </c>
      <c r="E251" t="s">
        <v>19</v>
      </c>
      <c r="F251" t="s">
        <v>170</v>
      </c>
      <c r="G251">
        <v>53.26</v>
      </c>
      <c r="H251" t="s">
        <v>14</v>
      </c>
      <c r="I251" s="2">
        <v>45090</v>
      </c>
      <c r="J251" s="2">
        <v>45162</v>
      </c>
    </row>
    <row r="252" spans="1:11" x14ac:dyDescent="0.25">
      <c r="A252" t="s">
        <v>34</v>
      </c>
      <c r="B252" t="s">
        <v>30</v>
      </c>
      <c r="C252">
        <v>158</v>
      </c>
      <c r="D252">
        <v>90</v>
      </c>
      <c r="E252" t="s">
        <v>13</v>
      </c>
      <c r="F252" t="s">
        <v>173</v>
      </c>
      <c r="G252">
        <v>386.57</v>
      </c>
      <c r="H252" t="s">
        <v>26</v>
      </c>
      <c r="I252" s="2">
        <v>45220</v>
      </c>
      <c r="J252" s="2">
        <v>45267</v>
      </c>
    </row>
    <row r="253" spans="1:11" x14ac:dyDescent="0.25">
      <c r="A253" t="s">
        <v>34</v>
      </c>
      <c r="B253" t="s">
        <v>28</v>
      </c>
      <c r="C253">
        <v>93</v>
      </c>
      <c r="D253">
        <v>21</v>
      </c>
      <c r="E253" t="s">
        <v>13</v>
      </c>
      <c r="F253" t="s">
        <v>173</v>
      </c>
      <c r="G253">
        <v>486.7</v>
      </c>
      <c r="H253" t="s">
        <v>26</v>
      </c>
      <c r="I253" s="2">
        <v>45085</v>
      </c>
      <c r="J253" s="2">
        <v>45153</v>
      </c>
      <c r="K253" t="s">
        <v>21</v>
      </c>
    </row>
    <row r="254" spans="1:11" x14ac:dyDescent="0.25">
      <c r="A254" t="s">
        <v>24</v>
      </c>
      <c r="B254" t="s">
        <v>30</v>
      </c>
      <c r="C254">
        <v>184</v>
      </c>
      <c r="D254">
        <v>77</v>
      </c>
      <c r="E254" t="s">
        <v>13</v>
      </c>
      <c r="F254" t="s">
        <v>173</v>
      </c>
      <c r="G254">
        <v>242.81</v>
      </c>
      <c r="H254" t="s">
        <v>14</v>
      </c>
      <c r="I254" s="2">
        <v>44929</v>
      </c>
      <c r="J254" s="2">
        <v>44973</v>
      </c>
      <c r="K254" t="s">
        <v>17</v>
      </c>
    </row>
    <row r="255" spans="1:11" x14ac:dyDescent="0.25">
      <c r="A255" t="s">
        <v>54</v>
      </c>
      <c r="B255" t="s">
        <v>23</v>
      </c>
      <c r="C255">
        <v>175</v>
      </c>
      <c r="D255">
        <v>93</v>
      </c>
      <c r="E255" t="s">
        <v>13</v>
      </c>
      <c r="F255" t="s">
        <v>171</v>
      </c>
      <c r="G255">
        <v>278.64</v>
      </c>
      <c r="H255" t="s">
        <v>26</v>
      </c>
      <c r="I255" s="2">
        <v>45202</v>
      </c>
      <c r="J255" s="2">
        <v>45249</v>
      </c>
      <c r="K255" t="s">
        <v>21</v>
      </c>
    </row>
    <row r="256" spans="1:11" x14ac:dyDescent="0.25">
      <c r="A256" t="s">
        <v>31</v>
      </c>
      <c r="B256" t="s">
        <v>23</v>
      </c>
      <c r="C256">
        <v>22</v>
      </c>
      <c r="D256">
        <v>42</v>
      </c>
      <c r="E256" t="s">
        <v>19</v>
      </c>
      <c r="F256" t="s">
        <v>171</v>
      </c>
      <c r="G256">
        <v>277.48</v>
      </c>
      <c r="H256" t="s">
        <v>14</v>
      </c>
      <c r="I256" s="2">
        <v>45144</v>
      </c>
      <c r="J256" s="2">
        <v>45187</v>
      </c>
    </row>
    <row r="257" spans="1:11" x14ac:dyDescent="0.25">
      <c r="A257" t="s">
        <v>53</v>
      </c>
      <c r="B257" t="s">
        <v>12</v>
      </c>
      <c r="C257">
        <v>126</v>
      </c>
      <c r="D257">
        <v>88</v>
      </c>
      <c r="E257" t="s">
        <v>13</v>
      </c>
      <c r="F257" t="s">
        <v>171</v>
      </c>
      <c r="G257">
        <v>62.4</v>
      </c>
      <c r="H257" t="s">
        <v>20</v>
      </c>
      <c r="I257" s="2">
        <v>45168</v>
      </c>
      <c r="J257" s="2">
        <v>45251</v>
      </c>
      <c r="K257" t="s">
        <v>21</v>
      </c>
    </row>
    <row r="258" spans="1:11" x14ac:dyDescent="0.25">
      <c r="A258" t="s">
        <v>70</v>
      </c>
      <c r="B258" t="s">
        <v>16</v>
      </c>
      <c r="C258">
        <v>144</v>
      </c>
      <c r="D258">
        <v>71</v>
      </c>
      <c r="E258" t="s">
        <v>13</v>
      </c>
      <c r="F258" t="s">
        <v>173</v>
      </c>
      <c r="G258">
        <v>233.67</v>
      </c>
      <c r="H258" t="s">
        <v>26</v>
      </c>
      <c r="I258" s="2">
        <v>45271</v>
      </c>
      <c r="J258" s="2">
        <v>45338</v>
      </c>
      <c r="K258" t="s">
        <v>172</v>
      </c>
    </row>
    <row r="259" spans="1:11" x14ac:dyDescent="0.25">
      <c r="A259" t="s">
        <v>53</v>
      </c>
      <c r="B259" t="s">
        <v>16</v>
      </c>
      <c r="C259">
        <v>196</v>
      </c>
      <c r="D259">
        <v>97</v>
      </c>
      <c r="E259" t="s">
        <v>13</v>
      </c>
      <c r="F259" t="s">
        <v>171</v>
      </c>
      <c r="G259">
        <v>91.22</v>
      </c>
      <c r="H259" t="s">
        <v>26</v>
      </c>
      <c r="I259" s="2">
        <v>44935</v>
      </c>
      <c r="J259" s="2">
        <v>44987</v>
      </c>
    </row>
    <row r="260" spans="1:11" x14ac:dyDescent="0.25">
      <c r="A260" t="s">
        <v>66</v>
      </c>
      <c r="B260" t="s">
        <v>23</v>
      </c>
      <c r="C260">
        <v>133</v>
      </c>
      <c r="D260">
        <v>47</v>
      </c>
      <c r="E260" t="s">
        <v>13</v>
      </c>
      <c r="F260" t="s">
        <v>173</v>
      </c>
      <c r="G260">
        <v>95.83</v>
      </c>
      <c r="H260" t="s">
        <v>20</v>
      </c>
      <c r="I260" s="2">
        <v>45082</v>
      </c>
      <c r="J260" s="2">
        <v>45169</v>
      </c>
    </row>
    <row r="261" spans="1:11" x14ac:dyDescent="0.25">
      <c r="A261" t="s">
        <v>32</v>
      </c>
      <c r="B261" t="s">
        <v>23</v>
      </c>
      <c r="C261">
        <v>194</v>
      </c>
      <c r="D261">
        <v>78</v>
      </c>
      <c r="E261" t="s">
        <v>13</v>
      </c>
      <c r="F261" t="s">
        <v>173</v>
      </c>
      <c r="G261">
        <v>489.67</v>
      </c>
      <c r="H261" t="s">
        <v>26</v>
      </c>
      <c r="I261" s="2">
        <v>45182</v>
      </c>
      <c r="J261" s="2">
        <v>45205</v>
      </c>
      <c r="K261" t="s">
        <v>17</v>
      </c>
    </row>
    <row r="262" spans="1:11" x14ac:dyDescent="0.25">
      <c r="A262" t="s">
        <v>27</v>
      </c>
      <c r="B262" t="s">
        <v>23</v>
      </c>
      <c r="C262">
        <v>129</v>
      </c>
      <c r="D262">
        <v>97</v>
      </c>
      <c r="E262" t="s">
        <v>13</v>
      </c>
      <c r="F262" t="s">
        <v>170</v>
      </c>
      <c r="G262">
        <v>270.22000000000003</v>
      </c>
      <c r="H262" t="s">
        <v>14</v>
      </c>
      <c r="I262" s="2">
        <v>45082</v>
      </c>
      <c r="J262" s="2">
        <v>45132</v>
      </c>
    </row>
    <row r="263" spans="1:11" x14ac:dyDescent="0.25">
      <c r="A263" t="s">
        <v>62</v>
      </c>
      <c r="B263" t="s">
        <v>30</v>
      </c>
      <c r="C263">
        <v>29</v>
      </c>
      <c r="D263">
        <v>72</v>
      </c>
      <c r="E263" t="s">
        <v>19</v>
      </c>
      <c r="F263" t="s">
        <v>170</v>
      </c>
      <c r="G263">
        <v>445.21</v>
      </c>
      <c r="H263" t="s">
        <v>26</v>
      </c>
      <c r="I263" s="2">
        <v>44969</v>
      </c>
      <c r="J263" s="2">
        <v>45028</v>
      </c>
      <c r="K263" t="s">
        <v>17</v>
      </c>
    </row>
    <row r="264" spans="1:11" x14ac:dyDescent="0.25">
      <c r="A264" t="s">
        <v>51</v>
      </c>
      <c r="B264" t="s">
        <v>16</v>
      </c>
      <c r="C264">
        <v>121</v>
      </c>
      <c r="D264">
        <v>87</v>
      </c>
      <c r="E264" t="s">
        <v>13</v>
      </c>
      <c r="F264" t="s">
        <v>173</v>
      </c>
      <c r="G264">
        <v>498.18</v>
      </c>
      <c r="H264" t="s">
        <v>26</v>
      </c>
      <c r="I264" s="2">
        <v>44982</v>
      </c>
      <c r="J264" s="2">
        <v>45054</v>
      </c>
      <c r="K264" t="s">
        <v>172</v>
      </c>
    </row>
    <row r="265" spans="1:11" x14ac:dyDescent="0.25">
      <c r="A265" t="s">
        <v>68</v>
      </c>
      <c r="B265" t="s">
        <v>28</v>
      </c>
      <c r="C265">
        <v>17</v>
      </c>
      <c r="D265">
        <v>58</v>
      </c>
      <c r="E265" t="s">
        <v>19</v>
      </c>
      <c r="F265" t="s">
        <v>171</v>
      </c>
      <c r="G265">
        <v>162.68</v>
      </c>
      <c r="H265" t="s">
        <v>26</v>
      </c>
      <c r="I265" s="2">
        <v>45093</v>
      </c>
      <c r="J265" s="2">
        <v>45175</v>
      </c>
      <c r="K265" t="s">
        <v>17</v>
      </c>
    </row>
    <row r="266" spans="1:11" x14ac:dyDescent="0.25">
      <c r="A266" t="s">
        <v>11</v>
      </c>
      <c r="B266" t="s">
        <v>30</v>
      </c>
      <c r="C266">
        <v>72</v>
      </c>
      <c r="D266">
        <v>29</v>
      </c>
      <c r="E266" t="s">
        <v>13</v>
      </c>
      <c r="F266" t="s">
        <v>171</v>
      </c>
      <c r="G266">
        <v>415.44</v>
      </c>
      <c r="H266" t="s">
        <v>26</v>
      </c>
      <c r="I266" s="2">
        <v>45163</v>
      </c>
      <c r="J266" s="2">
        <v>45196</v>
      </c>
      <c r="K266" t="s">
        <v>17</v>
      </c>
    </row>
    <row r="267" spans="1:11" x14ac:dyDescent="0.25">
      <c r="A267" t="s">
        <v>57</v>
      </c>
      <c r="B267" t="s">
        <v>30</v>
      </c>
      <c r="C267">
        <v>193</v>
      </c>
      <c r="D267">
        <v>34</v>
      </c>
      <c r="E267" t="s">
        <v>13</v>
      </c>
      <c r="F267" t="s">
        <v>170</v>
      </c>
      <c r="G267">
        <v>456.33</v>
      </c>
      <c r="H267" t="s">
        <v>14</v>
      </c>
      <c r="I267" s="2">
        <v>45207</v>
      </c>
      <c r="J267" s="2">
        <v>45288</v>
      </c>
      <c r="K267" t="s">
        <v>172</v>
      </c>
    </row>
    <row r="268" spans="1:11" x14ac:dyDescent="0.25">
      <c r="A268" t="s">
        <v>55</v>
      </c>
      <c r="B268" t="s">
        <v>30</v>
      </c>
      <c r="C268">
        <v>130</v>
      </c>
      <c r="D268">
        <v>49</v>
      </c>
      <c r="E268" t="s">
        <v>13</v>
      </c>
      <c r="F268" t="s">
        <v>170</v>
      </c>
      <c r="G268">
        <v>163.83000000000001</v>
      </c>
      <c r="H268" t="s">
        <v>20</v>
      </c>
      <c r="I268" s="2">
        <v>45178</v>
      </c>
      <c r="J268" s="2">
        <v>45221</v>
      </c>
      <c r="K268" t="s">
        <v>21</v>
      </c>
    </row>
    <row r="269" spans="1:11" x14ac:dyDescent="0.25">
      <c r="A269" t="s">
        <v>18</v>
      </c>
      <c r="B269" t="s">
        <v>16</v>
      </c>
      <c r="C269">
        <v>11</v>
      </c>
      <c r="D269">
        <v>72</v>
      </c>
      <c r="E269" t="s">
        <v>19</v>
      </c>
      <c r="F269" t="s">
        <v>171</v>
      </c>
      <c r="G269">
        <v>328.15</v>
      </c>
      <c r="H269" t="s">
        <v>14</v>
      </c>
      <c r="I269" s="2">
        <v>45094</v>
      </c>
      <c r="J269" s="2">
        <v>45165</v>
      </c>
      <c r="K269" t="s">
        <v>172</v>
      </c>
    </row>
    <row r="270" spans="1:11" x14ac:dyDescent="0.25">
      <c r="A270" t="s">
        <v>15</v>
      </c>
      <c r="B270" t="s">
        <v>12</v>
      </c>
      <c r="C270">
        <v>186</v>
      </c>
      <c r="D270">
        <v>56</v>
      </c>
      <c r="E270" t="s">
        <v>13</v>
      </c>
      <c r="F270" t="s">
        <v>171</v>
      </c>
      <c r="G270">
        <v>493.29</v>
      </c>
      <c r="H270" t="s">
        <v>20</v>
      </c>
      <c r="I270" s="2">
        <v>45022</v>
      </c>
      <c r="J270" s="2">
        <v>45046</v>
      </c>
    </row>
    <row r="271" spans="1:11" x14ac:dyDescent="0.25">
      <c r="A271" t="s">
        <v>67</v>
      </c>
      <c r="B271" t="s">
        <v>28</v>
      </c>
      <c r="C271">
        <v>163</v>
      </c>
      <c r="D271">
        <v>32</v>
      </c>
      <c r="E271" t="s">
        <v>13</v>
      </c>
      <c r="F271" t="s">
        <v>170</v>
      </c>
      <c r="G271">
        <v>24.96</v>
      </c>
      <c r="H271" t="s">
        <v>20</v>
      </c>
      <c r="I271" s="2">
        <v>45163</v>
      </c>
      <c r="J271" s="2">
        <v>45207</v>
      </c>
    </row>
    <row r="272" spans="1:11" x14ac:dyDescent="0.25">
      <c r="A272" t="s">
        <v>45</v>
      </c>
      <c r="B272" t="s">
        <v>28</v>
      </c>
      <c r="C272">
        <v>193</v>
      </c>
      <c r="D272">
        <v>41</v>
      </c>
      <c r="E272" t="s">
        <v>13</v>
      </c>
      <c r="F272" t="s">
        <v>170</v>
      </c>
      <c r="G272">
        <v>325.02</v>
      </c>
      <c r="H272" t="s">
        <v>14</v>
      </c>
      <c r="I272" s="2">
        <v>45159</v>
      </c>
      <c r="J272" s="2">
        <v>45197</v>
      </c>
    </row>
    <row r="273" spans="1:11" x14ac:dyDescent="0.25">
      <c r="A273" t="s">
        <v>70</v>
      </c>
      <c r="B273" t="s">
        <v>16</v>
      </c>
      <c r="C273">
        <v>168</v>
      </c>
      <c r="D273">
        <v>55</v>
      </c>
      <c r="E273" t="s">
        <v>13</v>
      </c>
      <c r="F273" t="s">
        <v>170</v>
      </c>
      <c r="G273">
        <v>256.18</v>
      </c>
      <c r="H273" t="s">
        <v>20</v>
      </c>
      <c r="I273" s="2">
        <v>45089</v>
      </c>
      <c r="J273" s="2">
        <v>45128</v>
      </c>
      <c r="K273" t="s">
        <v>21</v>
      </c>
    </row>
    <row r="274" spans="1:11" x14ac:dyDescent="0.25">
      <c r="A274" t="s">
        <v>54</v>
      </c>
      <c r="B274" t="s">
        <v>12</v>
      </c>
      <c r="C274">
        <v>44</v>
      </c>
      <c r="D274">
        <v>28</v>
      </c>
      <c r="E274" t="s">
        <v>13</v>
      </c>
      <c r="F274" t="s">
        <v>170</v>
      </c>
      <c r="G274">
        <v>202.39</v>
      </c>
      <c r="H274" t="s">
        <v>14</v>
      </c>
      <c r="I274" s="2">
        <v>45273</v>
      </c>
      <c r="J274" s="2">
        <v>45305</v>
      </c>
      <c r="K274" t="s">
        <v>17</v>
      </c>
    </row>
    <row r="275" spans="1:11" x14ac:dyDescent="0.25">
      <c r="A275" t="s">
        <v>39</v>
      </c>
      <c r="B275" t="s">
        <v>12</v>
      </c>
      <c r="C275">
        <v>70</v>
      </c>
      <c r="D275">
        <v>59</v>
      </c>
      <c r="E275" t="s">
        <v>13</v>
      </c>
      <c r="F275" t="s">
        <v>171</v>
      </c>
      <c r="G275">
        <v>75.89</v>
      </c>
      <c r="H275" t="s">
        <v>20</v>
      </c>
      <c r="I275" s="2">
        <v>45199</v>
      </c>
      <c r="J275" s="2">
        <v>45221</v>
      </c>
      <c r="K275" t="s">
        <v>172</v>
      </c>
    </row>
    <row r="276" spans="1:11" x14ac:dyDescent="0.25">
      <c r="A276" t="s">
        <v>69</v>
      </c>
      <c r="B276" t="s">
        <v>12</v>
      </c>
      <c r="C276">
        <v>197</v>
      </c>
      <c r="D276">
        <v>84</v>
      </c>
      <c r="E276" t="s">
        <v>13</v>
      </c>
      <c r="F276" t="s">
        <v>170</v>
      </c>
      <c r="G276">
        <v>41.2</v>
      </c>
      <c r="H276" t="s">
        <v>20</v>
      </c>
      <c r="I276" s="2">
        <v>45142</v>
      </c>
      <c r="J276" s="2">
        <v>45211</v>
      </c>
      <c r="K276" t="s">
        <v>172</v>
      </c>
    </row>
    <row r="277" spans="1:11" x14ac:dyDescent="0.25">
      <c r="A277" t="s">
        <v>70</v>
      </c>
      <c r="B277" t="s">
        <v>12</v>
      </c>
      <c r="C277">
        <v>15</v>
      </c>
      <c r="D277">
        <v>32</v>
      </c>
      <c r="E277" t="s">
        <v>19</v>
      </c>
      <c r="F277" t="s">
        <v>173</v>
      </c>
      <c r="G277">
        <v>308.14999999999998</v>
      </c>
      <c r="H277" t="s">
        <v>14</v>
      </c>
      <c r="I277" s="2">
        <v>44999</v>
      </c>
      <c r="J277" s="2">
        <v>45020</v>
      </c>
      <c r="K277" t="s">
        <v>17</v>
      </c>
    </row>
    <row r="278" spans="1:11" x14ac:dyDescent="0.25">
      <c r="A278" t="s">
        <v>64</v>
      </c>
      <c r="B278" t="s">
        <v>12</v>
      </c>
      <c r="C278">
        <v>64</v>
      </c>
      <c r="D278">
        <v>91</v>
      </c>
      <c r="E278" t="s">
        <v>19</v>
      </c>
      <c r="F278" t="s">
        <v>170</v>
      </c>
      <c r="G278">
        <v>379.16</v>
      </c>
      <c r="H278" t="s">
        <v>14</v>
      </c>
      <c r="I278" s="2">
        <v>44966</v>
      </c>
      <c r="J278" s="2">
        <v>44994</v>
      </c>
      <c r="K278" t="s">
        <v>21</v>
      </c>
    </row>
    <row r="279" spans="1:11" x14ac:dyDescent="0.25">
      <c r="A279" t="s">
        <v>55</v>
      </c>
      <c r="B279" t="s">
        <v>28</v>
      </c>
      <c r="C279">
        <v>174</v>
      </c>
      <c r="D279">
        <v>79</v>
      </c>
      <c r="E279" t="s">
        <v>13</v>
      </c>
      <c r="F279" t="s">
        <v>173</v>
      </c>
      <c r="G279">
        <v>197.25</v>
      </c>
      <c r="H279" t="s">
        <v>14</v>
      </c>
      <c r="I279" s="2">
        <v>45202</v>
      </c>
      <c r="J279" s="2">
        <v>45226</v>
      </c>
      <c r="K279" t="s">
        <v>172</v>
      </c>
    </row>
    <row r="280" spans="1:11" x14ac:dyDescent="0.25">
      <c r="A280" t="s">
        <v>56</v>
      </c>
      <c r="B280" t="s">
        <v>23</v>
      </c>
      <c r="C280">
        <v>23</v>
      </c>
      <c r="D280">
        <v>58</v>
      </c>
      <c r="E280" t="s">
        <v>19</v>
      </c>
      <c r="F280" t="s">
        <v>170</v>
      </c>
      <c r="G280">
        <v>483</v>
      </c>
      <c r="H280" t="s">
        <v>14</v>
      </c>
      <c r="I280" s="2">
        <v>45064</v>
      </c>
      <c r="J280" s="2">
        <v>45087</v>
      </c>
      <c r="K280" t="s">
        <v>172</v>
      </c>
    </row>
    <row r="281" spans="1:11" x14ac:dyDescent="0.25">
      <c r="A281" t="s">
        <v>45</v>
      </c>
      <c r="B281" t="s">
        <v>16</v>
      </c>
      <c r="C281">
        <v>23</v>
      </c>
      <c r="D281">
        <v>67</v>
      </c>
      <c r="E281" t="s">
        <v>19</v>
      </c>
      <c r="F281" t="s">
        <v>173</v>
      </c>
      <c r="G281">
        <v>398.06</v>
      </c>
      <c r="H281" t="s">
        <v>20</v>
      </c>
      <c r="I281" s="2">
        <v>45043</v>
      </c>
      <c r="J281" s="2">
        <v>45105</v>
      </c>
      <c r="K281" t="s">
        <v>172</v>
      </c>
    </row>
    <row r="282" spans="1:11" x14ac:dyDescent="0.25">
      <c r="A282" t="s">
        <v>66</v>
      </c>
      <c r="B282" t="s">
        <v>16</v>
      </c>
      <c r="C282">
        <v>165</v>
      </c>
      <c r="D282">
        <v>66</v>
      </c>
      <c r="E282" t="s">
        <v>13</v>
      </c>
      <c r="F282" t="s">
        <v>173</v>
      </c>
      <c r="G282">
        <v>279.39</v>
      </c>
      <c r="H282" t="s">
        <v>14</v>
      </c>
      <c r="I282" s="2">
        <v>45259</v>
      </c>
      <c r="J282" s="2">
        <v>45334</v>
      </c>
      <c r="K282" t="s">
        <v>172</v>
      </c>
    </row>
    <row r="283" spans="1:11" x14ac:dyDescent="0.25">
      <c r="A283" t="s">
        <v>15</v>
      </c>
      <c r="B283" t="s">
        <v>23</v>
      </c>
      <c r="C283">
        <v>97</v>
      </c>
      <c r="D283">
        <v>41</v>
      </c>
      <c r="E283" t="s">
        <v>13</v>
      </c>
      <c r="F283" t="s">
        <v>170</v>
      </c>
      <c r="G283">
        <v>281.75</v>
      </c>
      <c r="H283" t="s">
        <v>14</v>
      </c>
      <c r="I283" s="2">
        <v>45028</v>
      </c>
      <c r="J283" s="2">
        <v>45117</v>
      </c>
      <c r="K283" t="s">
        <v>172</v>
      </c>
    </row>
    <row r="284" spans="1:11" x14ac:dyDescent="0.25">
      <c r="A284" t="s">
        <v>68</v>
      </c>
      <c r="B284" t="s">
        <v>16</v>
      </c>
      <c r="C284">
        <v>192</v>
      </c>
      <c r="D284">
        <v>53</v>
      </c>
      <c r="E284" t="s">
        <v>13</v>
      </c>
      <c r="F284" t="s">
        <v>171</v>
      </c>
      <c r="G284">
        <v>343.1</v>
      </c>
      <c r="H284" t="s">
        <v>20</v>
      </c>
      <c r="I284" s="2">
        <v>45008</v>
      </c>
      <c r="J284" s="2">
        <v>45086</v>
      </c>
      <c r="K284" t="s">
        <v>21</v>
      </c>
    </row>
    <row r="285" spans="1:11" x14ac:dyDescent="0.25">
      <c r="A285" t="s">
        <v>47</v>
      </c>
      <c r="B285" t="s">
        <v>12</v>
      </c>
      <c r="C285">
        <v>132</v>
      </c>
      <c r="D285">
        <v>44</v>
      </c>
      <c r="E285" t="s">
        <v>13</v>
      </c>
      <c r="F285" t="s">
        <v>170</v>
      </c>
      <c r="G285">
        <v>246.66</v>
      </c>
      <c r="H285" t="s">
        <v>14</v>
      </c>
      <c r="I285" s="2">
        <v>45114</v>
      </c>
      <c r="J285" s="2">
        <v>45188</v>
      </c>
      <c r="K285" t="s">
        <v>172</v>
      </c>
    </row>
    <row r="286" spans="1:11" x14ac:dyDescent="0.25">
      <c r="A286" t="s">
        <v>33</v>
      </c>
      <c r="B286" t="s">
        <v>16</v>
      </c>
      <c r="C286">
        <v>122</v>
      </c>
      <c r="D286">
        <v>77</v>
      </c>
      <c r="E286" t="s">
        <v>13</v>
      </c>
      <c r="F286" t="s">
        <v>171</v>
      </c>
      <c r="G286">
        <v>137.63999999999999</v>
      </c>
      <c r="H286" t="s">
        <v>20</v>
      </c>
      <c r="I286" s="2">
        <v>45256</v>
      </c>
      <c r="J286" s="2">
        <v>45294</v>
      </c>
    </row>
    <row r="287" spans="1:11" x14ac:dyDescent="0.25">
      <c r="A287" t="s">
        <v>11</v>
      </c>
      <c r="B287" t="s">
        <v>28</v>
      </c>
      <c r="C287">
        <v>141</v>
      </c>
      <c r="D287">
        <v>59</v>
      </c>
      <c r="E287" t="s">
        <v>13</v>
      </c>
      <c r="F287" t="s">
        <v>170</v>
      </c>
      <c r="G287">
        <v>362.84</v>
      </c>
      <c r="H287" t="s">
        <v>26</v>
      </c>
      <c r="I287" s="2">
        <v>45027</v>
      </c>
      <c r="J287" s="2">
        <v>45072</v>
      </c>
    </row>
    <row r="288" spans="1:11" x14ac:dyDescent="0.25">
      <c r="A288" t="s">
        <v>56</v>
      </c>
      <c r="B288" t="s">
        <v>30</v>
      </c>
      <c r="C288">
        <v>192</v>
      </c>
      <c r="D288">
        <v>93</v>
      </c>
      <c r="E288" t="s">
        <v>13</v>
      </c>
      <c r="F288" t="s">
        <v>170</v>
      </c>
      <c r="G288">
        <v>312.18</v>
      </c>
      <c r="H288" t="s">
        <v>20</v>
      </c>
      <c r="I288" s="2">
        <v>45212</v>
      </c>
      <c r="J288" s="2">
        <v>45270</v>
      </c>
      <c r="K288" t="s">
        <v>21</v>
      </c>
    </row>
    <row r="289" spans="1:11" x14ac:dyDescent="0.25">
      <c r="A289" t="s">
        <v>44</v>
      </c>
      <c r="B289" t="s">
        <v>30</v>
      </c>
      <c r="C289">
        <v>44</v>
      </c>
      <c r="D289">
        <v>30</v>
      </c>
      <c r="E289" t="s">
        <v>13</v>
      </c>
      <c r="F289" t="s">
        <v>170</v>
      </c>
      <c r="G289">
        <v>49.13</v>
      </c>
      <c r="H289" t="s">
        <v>20</v>
      </c>
      <c r="I289" s="2">
        <v>45113</v>
      </c>
      <c r="J289" s="2">
        <v>45192</v>
      </c>
      <c r="K289" t="s">
        <v>21</v>
      </c>
    </row>
    <row r="290" spans="1:11" x14ac:dyDescent="0.25">
      <c r="A290" t="s">
        <v>33</v>
      </c>
      <c r="B290" t="s">
        <v>23</v>
      </c>
      <c r="C290">
        <v>106</v>
      </c>
      <c r="D290">
        <v>71</v>
      </c>
      <c r="E290" t="s">
        <v>13</v>
      </c>
      <c r="F290" t="s">
        <v>173</v>
      </c>
      <c r="G290">
        <v>178.39</v>
      </c>
      <c r="H290" t="s">
        <v>14</v>
      </c>
      <c r="I290" s="2">
        <v>45119</v>
      </c>
      <c r="J290" s="2">
        <v>45134</v>
      </c>
      <c r="K290" t="s">
        <v>172</v>
      </c>
    </row>
    <row r="291" spans="1:11" x14ac:dyDescent="0.25">
      <c r="A291" t="s">
        <v>62</v>
      </c>
      <c r="B291" t="s">
        <v>23</v>
      </c>
      <c r="C291">
        <v>9</v>
      </c>
      <c r="D291">
        <v>27</v>
      </c>
      <c r="E291" t="s">
        <v>19</v>
      </c>
      <c r="F291" t="s">
        <v>171</v>
      </c>
      <c r="G291">
        <v>258.52</v>
      </c>
      <c r="H291" t="s">
        <v>14</v>
      </c>
      <c r="I291" s="2">
        <v>45262</v>
      </c>
      <c r="J291" s="2">
        <v>45347</v>
      </c>
      <c r="K291" t="s">
        <v>21</v>
      </c>
    </row>
    <row r="292" spans="1:11" x14ac:dyDescent="0.25">
      <c r="A292" t="s">
        <v>58</v>
      </c>
      <c r="B292" t="s">
        <v>23</v>
      </c>
      <c r="C292">
        <v>119</v>
      </c>
      <c r="D292">
        <v>88</v>
      </c>
      <c r="E292" t="s">
        <v>13</v>
      </c>
      <c r="F292" t="s">
        <v>171</v>
      </c>
      <c r="G292">
        <v>57.71</v>
      </c>
      <c r="H292" t="s">
        <v>20</v>
      </c>
      <c r="I292" s="2">
        <v>45209</v>
      </c>
      <c r="J292" s="2">
        <v>45291</v>
      </c>
      <c r="K292" t="s">
        <v>172</v>
      </c>
    </row>
    <row r="293" spans="1:11" x14ac:dyDescent="0.25">
      <c r="A293" t="s">
        <v>22</v>
      </c>
      <c r="B293" t="s">
        <v>12</v>
      </c>
      <c r="C293">
        <v>13</v>
      </c>
      <c r="D293">
        <v>62</v>
      </c>
      <c r="E293" t="s">
        <v>19</v>
      </c>
      <c r="F293" t="s">
        <v>171</v>
      </c>
      <c r="G293">
        <v>342.7</v>
      </c>
      <c r="H293" t="s">
        <v>26</v>
      </c>
      <c r="I293" s="2">
        <v>44962</v>
      </c>
      <c r="J293" s="2">
        <v>45050</v>
      </c>
      <c r="K293" t="s">
        <v>172</v>
      </c>
    </row>
    <row r="294" spans="1:11" x14ac:dyDescent="0.25">
      <c r="A294" t="s">
        <v>60</v>
      </c>
      <c r="B294" t="s">
        <v>12</v>
      </c>
      <c r="C294">
        <v>129</v>
      </c>
      <c r="D294">
        <v>87</v>
      </c>
      <c r="E294" t="s">
        <v>13</v>
      </c>
      <c r="F294" t="s">
        <v>173</v>
      </c>
      <c r="G294">
        <v>206.33</v>
      </c>
      <c r="H294" t="s">
        <v>14</v>
      </c>
      <c r="I294" s="2">
        <v>44970</v>
      </c>
      <c r="J294" s="2">
        <v>45053</v>
      </c>
      <c r="K294" t="s">
        <v>172</v>
      </c>
    </row>
    <row r="295" spans="1:11" x14ac:dyDescent="0.25">
      <c r="A295" t="s">
        <v>15</v>
      </c>
      <c r="B295" t="s">
        <v>30</v>
      </c>
      <c r="C295">
        <v>44</v>
      </c>
      <c r="D295">
        <v>78</v>
      </c>
      <c r="E295" t="s">
        <v>19</v>
      </c>
      <c r="F295" t="s">
        <v>171</v>
      </c>
      <c r="G295">
        <v>43</v>
      </c>
      <c r="H295" t="s">
        <v>14</v>
      </c>
      <c r="I295" s="2">
        <v>45046</v>
      </c>
      <c r="J295" s="2">
        <v>45124</v>
      </c>
      <c r="K295" t="s">
        <v>17</v>
      </c>
    </row>
    <row r="296" spans="1:11" x14ac:dyDescent="0.25">
      <c r="A296" t="s">
        <v>53</v>
      </c>
      <c r="B296" t="s">
        <v>12</v>
      </c>
      <c r="C296">
        <v>86</v>
      </c>
      <c r="D296">
        <v>57</v>
      </c>
      <c r="E296" t="s">
        <v>13</v>
      </c>
      <c r="F296" t="s">
        <v>170</v>
      </c>
      <c r="G296">
        <v>472.05</v>
      </c>
      <c r="H296" t="s">
        <v>20</v>
      </c>
      <c r="I296" s="2">
        <v>45155</v>
      </c>
      <c r="J296" s="2">
        <v>45213</v>
      </c>
      <c r="K296" t="s">
        <v>17</v>
      </c>
    </row>
    <row r="297" spans="1:11" x14ac:dyDescent="0.25">
      <c r="A297" t="s">
        <v>47</v>
      </c>
      <c r="B297" t="s">
        <v>28</v>
      </c>
      <c r="C297">
        <v>69</v>
      </c>
      <c r="D297">
        <v>95</v>
      </c>
      <c r="E297" t="s">
        <v>19</v>
      </c>
      <c r="F297" t="s">
        <v>171</v>
      </c>
      <c r="G297">
        <v>144.25</v>
      </c>
      <c r="H297" t="s">
        <v>14</v>
      </c>
      <c r="I297" s="2">
        <v>45023</v>
      </c>
      <c r="J297" s="2">
        <v>45056</v>
      </c>
      <c r="K297" t="s">
        <v>172</v>
      </c>
    </row>
    <row r="298" spans="1:11" x14ac:dyDescent="0.25">
      <c r="A298" t="s">
        <v>34</v>
      </c>
      <c r="B298" t="s">
        <v>28</v>
      </c>
      <c r="C298">
        <v>174</v>
      </c>
      <c r="D298">
        <v>60</v>
      </c>
      <c r="E298" t="s">
        <v>13</v>
      </c>
      <c r="F298" t="s">
        <v>173</v>
      </c>
      <c r="G298">
        <v>157.22</v>
      </c>
      <c r="H298" t="s">
        <v>26</v>
      </c>
      <c r="I298" s="2">
        <v>45274</v>
      </c>
      <c r="J298" s="2">
        <v>45318</v>
      </c>
    </row>
    <row r="299" spans="1:11" x14ac:dyDescent="0.25">
      <c r="A299" t="s">
        <v>64</v>
      </c>
      <c r="B299" t="s">
        <v>28</v>
      </c>
      <c r="C299">
        <v>198</v>
      </c>
      <c r="D299">
        <v>52</v>
      </c>
      <c r="E299" t="s">
        <v>13</v>
      </c>
      <c r="F299" t="s">
        <v>170</v>
      </c>
      <c r="G299">
        <v>426.87</v>
      </c>
      <c r="H299" t="s">
        <v>20</v>
      </c>
      <c r="I299" s="2">
        <v>44929</v>
      </c>
      <c r="J299" s="2">
        <v>44960</v>
      </c>
      <c r="K299" t="s">
        <v>21</v>
      </c>
    </row>
    <row r="300" spans="1:11" x14ac:dyDescent="0.25">
      <c r="A300" t="s">
        <v>44</v>
      </c>
      <c r="B300" t="s">
        <v>28</v>
      </c>
      <c r="C300">
        <v>68</v>
      </c>
      <c r="D300">
        <v>61</v>
      </c>
      <c r="E300" t="s">
        <v>13</v>
      </c>
      <c r="F300" t="s">
        <v>173</v>
      </c>
      <c r="G300">
        <v>184.12</v>
      </c>
      <c r="H300" t="s">
        <v>20</v>
      </c>
      <c r="I300" s="2">
        <v>45268</v>
      </c>
      <c r="J300" s="2">
        <v>45330</v>
      </c>
      <c r="K300" t="s">
        <v>17</v>
      </c>
    </row>
    <row r="301" spans="1:11" x14ac:dyDescent="0.25">
      <c r="A301" t="s">
        <v>38</v>
      </c>
      <c r="B301" t="s">
        <v>16</v>
      </c>
      <c r="C301">
        <v>92</v>
      </c>
      <c r="D301">
        <v>99</v>
      </c>
      <c r="E301" t="s">
        <v>19</v>
      </c>
      <c r="F301" t="s">
        <v>170</v>
      </c>
      <c r="G301">
        <v>52.35</v>
      </c>
      <c r="H301" t="s">
        <v>26</v>
      </c>
      <c r="I301" s="2">
        <v>44944</v>
      </c>
      <c r="J301" s="2">
        <v>45029</v>
      </c>
      <c r="K301" t="s">
        <v>17</v>
      </c>
    </row>
    <row r="302" spans="1:11" x14ac:dyDescent="0.25">
      <c r="A302" t="s">
        <v>39</v>
      </c>
      <c r="B302" t="s">
        <v>28</v>
      </c>
      <c r="C302">
        <v>25</v>
      </c>
      <c r="D302">
        <v>67</v>
      </c>
      <c r="E302" t="s">
        <v>19</v>
      </c>
      <c r="F302" t="s">
        <v>173</v>
      </c>
      <c r="G302">
        <v>199.75</v>
      </c>
      <c r="H302" t="s">
        <v>26</v>
      </c>
      <c r="I302" s="2">
        <v>45186</v>
      </c>
      <c r="J302" s="2">
        <v>45269</v>
      </c>
      <c r="K302" t="s">
        <v>17</v>
      </c>
    </row>
    <row r="303" spans="1:11" x14ac:dyDescent="0.25">
      <c r="A303" t="s">
        <v>49</v>
      </c>
      <c r="B303" t="s">
        <v>28</v>
      </c>
      <c r="C303">
        <v>31</v>
      </c>
      <c r="D303">
        <v>31</v>
      </c>
      <c r="E303" t="s">
        <v>13</v>
      </c>
      <c r="F303" t="s">
        <v>170</v>
      </c>
      <c r="G303">
        <v>14.57</v>
      </c>
      <c r="H303" t="s">
        <v>20</v>
      </c>
      <c r="I303" s="2">
        <v>45260</v>
      </c>
      <c r="J303" s="2">
        <v>45297</v>
      </c>
      <c r="K303" t="s">
        <v>172</v>
      </c>
    </row>
    <row r="304" spans="1:11" x14ac:dyDescent="0.25">
      <c r="A304" t="s">
        <v>48</v>
      </c>
      <c r="B304" t="s">
        <v>30</v>
      </c>
      <c r="C304">
        <v>164</v>
      </c>
      <c r="D304">
        <v>35</v>
      </c>
      <c r="E304" t="s">
        <v>13</v>
      </c>
      <c r="F304" t="s">
        <v>171</v>
      </c>
      <c r="G304">
        <v>138.82</v>
      </c>
      <c r="H304" t="s">
        <v>26</v>
      </c>
      <c r="I304" s="2">
        <v>45263</v>
      </c>
      <c r="J304" s="2">
        <v>45330</v>
      </c>
    </row>
    <row r="305" spans="1:11" x14ac:dyDescent="0.25">
      <c r="A305" t="s">
        <v>29</v>
      </c>
      <c r="B305" t="s">
        <v>16</v>
      </c>
      <c r="C305">
        <v>104</v>
      </c>
      <c r="D305">
        <v>63</v>
      </c>
      <c r="E305" t="s">
        <v>13</v>
      </c>
      <c r="F305" t="s">
        <v>173</v>
      </c>
      <c r="G305">
        <v>16.100000000000001</v>
      </c>
      <c r="H305" t="s">
        <v>14</v>
      </c>
      <c r="I305" s="2">
        <v>45267</v>
      </c>
      <c r="J305" s="2">
        <v>45282</v>
      </c>
    </row>
    <row r="306" spans="1:11" x14ac:dyDescent="0.25">
      <c r="A306" t="s">
        <v>36</v>
      </c>
      <c r="B306" t="s">
        <v>23</v>
      </c>
      <c r="C306">
        <v>131</v>
      </c>
      <c r="D306">
        <v>31</v>
      </c>
      <c r="E306" t="s">
        <v>13</v>
      </c>
      <c r="F306" t="s">
        <v>170</v>
      </c>
      <c r="G306">
        <v>245.48</v>
      </c>
      <c r="H306" t="s">
        <v>14</v>
      </c>
      <c r="I306" s="2">
        <v>45101</v>
      </c>
      <c r="J306" s="2">
        <v>45134</v>
      </c>
      <c r="K306" t="s">
        <v>17</v>
      </c>
    </row>
    <row r="307" spans="1:11" x14ac:dyDescent="0.25">
      <c r="A307" t="s">
        <v>57</v>
      </c>
      <c r="B307" t="s">
        <v>28</v>
      </c>
      <c r="C307">
        <v>34</v>
      </c>
      <c r="D307">
        <v>30</v>
      </c>
      <c r="E307" t="s">
        <v>13</v>
      </c>
      <c r="F307" t="s">
        <v>171</v>
      </c>
      <c r="G307">
        <v>103.34</v>
      </c>
      <c r="H307" t="s">
        <v>14</v>
      </c>
      <c r="I307" s="2">
        <v>45092</v>
      </c>
      <c r="J307" s="2">
        <v>45153</v>
      </c>
      <c r="K307" t="s">
        <v>17</v>
      </c>
    </row>
    <row r="308" spans="1:11" x14ac:dyDescent="0.25">
      <c r="A308" t="s">
        <v>56</v>
      </c>
      <c r="B308" t="s">
        <v>23</v>
      </c>
      <c r="C308">
        <v>12</v>
      </c>
      <c r="D308">
        <v>88</v>
      </c>
      <c r="E308" t="s">
        <v>19</v>
      </c>
      <c r="F308" t="s">
        <v>173</v>
      </c>
      <c r="G308">
        <v>342.56</v>
      </c>
      <c r="H308" t="s">
        <v>20</v>
      </c>
      <c r="I308" s="2">
        <v>45151</v>
      </c>
      <c r="J308" s="2">
        <v>45207</v>
      </c>
    </row>
    <row r="309" spans="1:11" x14ac:dyDescent="0.25">
      <c r="A309" t="s">
        <v>61</v>
      </c>
      <c r="B309" t="s">
        <v>28</v>
      </c>
      <c r="C309">
        <v>108</v>
      </c>
      <c r="D309">
        <v>53</v>
      </c>
      <c r="E309" t="s">
        <v>13</v>
      </c>
      <c r="F309" t="s">
        <v>171</v>
      </c>
      <c r="G309">
        <v>447.12</v>
      </c>
      <c r="H309" t="s">
        <v>20</v>
      </c>
      <c r="I309" s="2">
        <v>45163</v>
      </c>
      <c r="J309" s="2">
        <v>45189</v>
      </c>
      <c r="K309" t="s">
        <v>17</v>
      </c>
    </row>
    <row r="310" spans="1:11" x14ac:dyDescent="0.25">
      <c r="A310" t="s">
        <v>65</v>
      </c>
      <c r="B310" t="s">
        <v>23</v>
      </c>
      <c r="C310">
        <v>44</v>
      </c>
      <c r="D310">
        <v>38</v>
      </c>
      <c r="E310" t="s">
        <v>13</v>
      </c>
      <c r="F310" t="s">
        <v>170</v>
      </c>
      <c r="G310">
        <v>159.53</v>
      </c>
      <c r="H310" t="s">
        <v>14</v>
      </c>
      <c r="I310" s="2">
        <v>45122</v>
      </c>
      <c r="J310" s="2">
        <v>45175</v>
      </c>
    </row>
    <row r="311" spans="1:11" x14ac:dyDescent="0.25">
      <c r="A311" t="s">
        <v>24</v>
      </c>
      <c r="B311" t="s">
        <v>28</v>
      </c>
      <c r="C311">
        <v>92</v>
      </c>
      <c r="D311">
        <v>37</v>
      </c>
      <c r="E311" t="s">
        <v>13</v>
      </c>
      <c r="F311" t="s">
        <v>170</v>
      </c>
      <c r="G311">
        <v>281</v>
      </c>
      <c r="H311" t="s">
        <v>20</v>
      </c>
      <c r="I311" s="2">
        <v>44927</v>
      </c>
      <c r="J311" s="2">
        <v>45002</v>
      </c>
      <c r="K311" t="s">
        <v>172</v>
      </c>
    </row>
    <row r="312" spans="1:11" x14ac:dyDescent="0.25">
      <c r="A312" t="s">
        <v>29</v>
      </c>
      <c r="B312" t="s">
        <v>23</v>
      </c>
      <c r="C312">
        <v>39</v>
      </c>
      <c r="D312">
        <v>30</v>
      </c>
      <c r="E312" t="s">
        <v>13</v>
      </c>
      <c r="F312" t="s">
        <v>173</v>
      </c>
      <c r="G312">
        <v>95.66</v>
      </c>
      <c r="H312" t="s">
        <v>20</v>
      </c>
      <c r="I312" s="2">
        <v>44979</v>
      </c>
      <c r="J312" s="2">
        <v>45050</v>
      </c>
      <c r="K312" t="s">
        <v>172</v>
      </c>
    </row>
    <row r="313" spans="1:11" x14ac:dyDescent="0.25">
      <c r="A313" t="s">
        <v>64</v>
      </c>
      <c r="B313" t="s">
        <v>23</v>
      </c>
      <c r="C313">
        <v>94</v>
      </c>
      <c r="D313">
        <v>96</v>
      </c>
      <c r="E313" t="s">
        <v>19</v>
      </c>
      <c r="F313" t="s">
        <v>173</v>
      </c>
      <c r="G313">
        <v>463.94</v>
      </c>
      <c r="H313" t="s">
        <v>14</v>
      </c>
      <c r="I313" s="2">
        <v>45142</v>
      </c>
      <c r="J313" s="2">
        <v>45186</v>
      </c>
    </row>
    <row r="314" spans="1:11" x14ac:dyDescent="0.25">
      <c r="A314" t="s">
        <v>42</v>
      </c>
      <c r="B314" t="s">
        <v>23</v>
      </c>
      <c r="C314">
        <v>167</v>
      </c>
      <c r="D314">
        <v>98</v>
      </c>
      <c r="E314" t="s">
        <v>13</v>
      </c>
      <c r="F314" t="s">
        <v>173</v>
      </c>
      <c r="G314">
        <v>264.18</v>
      </c>
      <c r="H314" t="s">
        <v>14</v>
      </c>
      <c r="I314" s="2">
        <v>45100</v>
      </c>
      <c r="J314" s="2">
        <v>45175</v>
      </c>
    </row>
    <row r="315" spans="1:11" x14ac:dyDescent="0.25">
      <c r="A315" t="s">
        <v>55</v>
      </c>
      <c r="B315" t="s">
        <v>28</v>
      </c>
      <c r="C315">
        <v>0</v>
      </c>
      <c r="D315">
        <v>96</v>
      </c>
      <c r="E315" t="s">
        <v>19</v>
      </c>
      <c r="F315" t="s">
        <v>173</v>
      </c>
      <c r="G315">
        <v>245.08</v>
      </c>
      <c r="H315" t="s">
        <v>14</v>
      </c>
      <c r="I315" s="2">
        <v>45236</v>
      </c>
      <c r="J315" s="2">
        <v>45294</v>
      </c>
    </row>
    <row r="316" spans="1:11" x14ac:dyDescent="0.25">
      <c r="A316" t="s">
        <v>22</v>
      </c>
      <c r="B316" t="s">
        <v>28</v>
      </c>
      <c r="C316">
        <v>166</v>
      </c>
      <c r="D316">
        <v>85</v>
      </c>
      <c r="E316" t="s">
        <v>13</v>
      </c>
      <c r="F316" t="s">
        <v>173</v>
      </c>
      <c r="G316">
        <v>159.51</v>
      </c>
      <c r="H316" t="s">
        <v>20</v>
      </c>
      <c r="I316" s="2">
        <v>45269</v>
      </c>
      <c r="J316" s="2">
        <v>45314</v>
      </c>
      <c r="K316" t="s">
        <v>172</v>
      </c>
    </row>
    <row r="317" spans="1:11" x14ac:dyDescent="0.25">
      <c r="A317" t="s">
        <v>44</v>
      </c>
      <c r="B317" t="s">
        <v>16</v>
      </c>
      <c r="C317">
        <v>44</v>
      </c>
      <c r="D317">
        <v>30</v>
      </c>
      <c r="E317" t="s">
        <v>13</v>
      </c>
      <c r="F317" t="s">
        <v>170</v>
      </c>
      <c r="G317">
        <v>320.37</v>
      </c>
      <c r="H317" t="s">
        <v>14</v>
      </c>
      <c r="I317" s="2">
        <v>44945</v>
      </c>
      <c r="J317" s="2">
        <v>44980</v>
      </c>
    </row>
    <row r="318" spans="1:11" x14ac:dyDescent="0.25">
      <c r="A318" t="s">
        <v>48</v>
      </c>
      <c r="B318" t="s">
        <v>30</v>
      </c>
      <c r="C318">
        <v>84</v>
      </c>
      <c r="D318">
        <v>72</v>
      </c>
      <c r="E318" t="s">
        <v>13</v>
      </c>
      <c r="F318" t="s">
        <v>171</v>
      </c>
      <c r="G318">
        <v>232.21</v>
      </c>
      <c r="H318" t="s">
        <v>26</v>
      </c>
      <c r="I318" s="2">
        <v>45033</v>
      </c>
      <c r="J318" s="2">
        <v>45075</v>
      </c>
      <c r="K318" t="s">
        <v>172</v>
      </c>
    </row>
    <row r="319" spans="1:11" x14ac:dyDescent="0.25">
      <c r="A319" t="s">
        <v>42</v>
      </c>
      <c r="B319" t="s">
        <v>28</v>
      </c>
      <c r="C319">
        <v>43</v>
      </c>
      <c r="D319">
        <v>75</v>
      </c>
      <c r="E319" t="s">
        <v>19</v>
      </c>
      <c r="F319" t="s">
        <v>170</v>
      </c>
      <c r="G319">
        <v>286.41000000000003</v>
      </c>
      <c r="H319" t="s">
        <v>26</v>
      </c>
      <c r="I319" s="2">
        <v>45120</v>
      </c>
      <c r="J319" s="2">
        <v>45172</v>
      </c>
    </row>
    <row r="320" spans="1:11" x14ac:dyDescent="0.25">
      <c r="A320" t="s">
        <v>22</v>
      </c>
      <c r="B320" t="s">
        <v>23</v>
      </c>
      <c r="C320">
        <v>99</v>
      </c>
      <c r="D320">
        <v>99</v>
      </c>
      <c r="E320" t="s">
        <v>13</v>
      </c>
      <c r="F320" t="s">
        <v>173</v>
      </c>
      <c r="G320">
        <v>444.17</v>
      </c>
      <c r="H320" t="s">
        <v>14</v>
      </c>
      <c r="I320" s="2">
        <v>44987</v>
      </c>
      <c r="J320" s="2">
        <v>45006</v>
      </c>
      <c r="K320" t="s">
        <v>172</v>
      </c>
    </row>
    <row r="321" spans="1:11" x14ac:dyDescent="0.25">
      <c r="A321" t="s">
        <v>66</v>
      </c>
      <c r="B321" t="s">
        <v>16</v>
      </c>
      <c r="C321">
        <v>107</v>
      </c>
      <c r="D321">
        <v>79</v>
      </c>
      <c r="E321" t="s">
        <v>13</v>
      </c>
      <c r="F321" t="s">
        <v>170</v>
      </c>
      <c r="G321">
        <v>142.12</v>
      </c>
      <c r="H321" t="s">
        <v>20</v>
      </c>
      <c r="I321" s="2">
        <v>45263</v>
      </c>
      <c r="J321" s="2">
        <v>45289</v>
      </c>
    </row>
    <row r="322" spans="1:11" x14ac:dyDescent="0.25">
      <c r="A322" t="s">
        <v>45</v>
      </c>
      <c r="B322" t="s">
        <v>28</v>
      </c>
      <c r="C322">
        <v>104</v>
      </c>
      <c r="D322">
        <v>81</v>
      </c>
      <c r="E322" t="s">
        <v>13</v>
      </c>
      <c r="F322" t="s">
        <v>171</v>
      </c>
      <c r="G322">
        <v>115.6</v>
      </c>
      <c r="H322" t="s">
        <v>26</v>
      </c>
      <c r="I322" s="2">
        <v>44980</v>
      </c>
      <c r="J322" s="2">
        <v>45052</v>
      </c>
      <c r="K322" t="s">
        <v>21</v>
      </c>
    </row>
    <row r="323" spans="1:11" x14ac:dyDescent="0.25">
      <c r="A323" t="s">
        <v>61</v>
      </c>
      <c r="B323" t="s">
        <v>23</v>
      </c>
      <c r="C323">
        <v>64</v>
      </c>
      <c r="D323">
        <v>88</v>
      </c>
      <c r="E323" t="s">
        <v>19</v>
      </c>
      <c r="F323" t="s">
        <v>173</v>
      </c>
      <c r="G323">
        <v>196.02</v>
      </c>
      <c r="H323" t="s">
        <v>14</v>
      </c>
      <c r="I323" s="2">
        <v>44964</v>
      </c>
      <c r="J323" s="2">
        <v>44998</v>
      </c>
      <c r="K323" t="s">
        <v>21</v>
      </c>
    </row>
    <row r="324" spans="1:11" x14ac:dyDescent="0.25">
      <c r="A324" t="s">
        <v>46</v>
      </c>
      <c r="B324" t="s">
        <v>23</v>
      </c>
      <c r="C324">
        <v>170</v>
      </c>
      <c r="D324">
        <v>69</v>
      </c>
      <c r="E324" t="s">
        <v>13</v>
      </c>
      <c r="F324" t="s">
        <v>170</v>
      </c>
      <c r="G324">
        <v>63.14</v>
      </c>
      <c r="H324" t="s">
        <v>26</v>
      </c>
      <c r="I324" s="2">
        <v>45286</v>
      </c>
      <c r="J324" s="2">
        <v>45321</v>
      </c>
      <c r="K324" t="s">
        <v>17</v>
      </c>
    </row>
    <row r="325" spans="1:11" x14ac:dyDescent="0.25">
      <c r="A325" t="s">
        <v>40</v>
      </c>
      <c r="B325" t="s">
        <v>28</v>
      </c>
      <c r="C325">
        <v>44</v>
      </c>
      <c r="D325">
        <v>53</v>
      </c>
      <c r="E325" t="s">
        <v>19</v>
      </c>
      <c r="F325" t="s">
        <v>173</v>
      </c>
      <c r="G325">
        <v>29.73</v>
      </c>
      <c r="H325" t="s">
        <v>26</v>
      </c>
      <c r="I325" s="2">
        <v>45055</v>
      </c>
      <c r="J325" s="2">
        <v>45142</v>
      </c>
      <c r="K325" t="s">
        <v>17</v>
      </c>
    </row>
    <row r="326" spans="1:11" x14ac:dyDescent="0.25">
      <c r="A326" t="s">
        <v>42</v>
      </c>
      <c r="B326" t="s">
        <v>23</v>
      </c>
      <c r="C326">
        <v>99</v>
      </c>
      <c r="D326">
        <v>33</v>
      </c>
      <c r="E326" t="s">
        <v>13</v>
      </c>
      <c r="F326" t="s">
        <v>170</v>
      </c>
      <c r="G326">
        <v>108.49</v>
      </c>
      <c r="H326" t="s">
        <v>26</v>
      </c>
      <c r="I326" s="2">
        <v>45027</v>
      </c>
      <c r="J326" s="2">
        <v>45093</v>
      </c>
      <c r="K326" t="s">
        <v>21</v>
      </c>
    </row>
    <row r="327" spans="1:11" x14ac:dyDescent="0.25">
      <c r="A327" t="s">
        <v>42</v>
      </c>
      <c r="B327" t="s">
        <v>28</v>
      </c>
      <c r="C327">
        <v>166</v>
      </c>
      <c r="D327">
        <v>80</v>
      </c>
      <c r="E327" t="s">
        <v>13</v>
      </c>
      <c r="F327" t="s">
        <v>173</v>
      </c>
      <c r="G327">
        <v>392.98</v>
      </c>
      <c r="H327" t="s">
        <v>14</v>
      </c>
      <c r="I327" s="2">
        <v>45243</v>
      </c>
      <c r="J327" s="2">
        <v>45294</v>
      </c>
      <c r="K327" t="s">
        <v>21</v>
      </c>
    </row>
    <row r="328" spans="1:11" x14ac:dyDescent="0.25">
      <c r="A328" t="s">
        <v>52</v>
      </c>
      <c r="B328" t="s">
        <v>16</v>
      </c>
      <c r="C328">
        <v>118</v>
      </c>
      <c r="D328">
        <v>95</v>
      </c>
      <c r="E328" t="s">
        <v>13</v>
      </c>
      <c r="F328" t="s">
        <v>173</v>
      </c>
      <c r="G328">
        <v>43.17</v>
      </c>
      <c r="H328" t="s">
        <v>26</v>
      </c>
      <c r="I328" s="2">
        <v>45217</v>
      </c>
      <c r="J328" s="2">
        <v>45282</v>
      </c>
    </row>
    <row r="329" spans="1:11" x14ac:dyDescent="0.25">
      <c r="A329" t="s">
        <v>24</v>
      </c>
      <c r="B329" t="s">
        <v>12</v>
      </c>
      <c r="C329">
        <v>84</v>
      </c>
      <c r="D329">
        <v>60</v>
      </c>
      <c r="E329" t="s">
        <v>13</v>
      </c>
      <c r="F329" t="s">
        <v>171</v>
      </c>
      <c r="G329">
        <v>369.33</v>
      </c>
      <c r="H329" t="s">
        <v>26</v>
      </c>
      <c r="I329" s="2">
        <v>45082</v>
      </c>
      <c r="J329" s="2">
        <v>45132</v>
      </c>
      <c r="K329" t="s">
        <v>17</v>
      </c>
    </row>
    <row r="330" spans="1:11" x14ac:dyDescent="0.25">
      <c r="A330" t="s">
        <v>71</v>
      </c>
      <c r="B330" t="s">
        <v>28</v>
      </c>
      <c r="C330">
        <v>184</v>
      </c>
      <c r="D330">
        <v>72</v>
      </c>
      <c r="E330" t="s">
        <v>13</v>
      </c>
      <c r="F330" t="s">
        <v>173</v>
      </c>
      <c r="G330">
        <v>170.94</v>
      </c>
      <c r="H330" t="s">
        <v>20</v>
      </c>
      <c r="I330" s="2">
        <v>45232</v>
      </c>
      <c r="J330" s="2">
        <v>45267</v>
      </c>
      <c r="K330" t="s">
        <v>172</v>
      </c>
    </row>
    <row r="331" spans="1:11" x14ac:dyDescent="0.25">
      <c r="A331" t="s">
        <v>47</v>
      </c>
      <c r="B331" t="s">
        <v>23</v>
      </c>
      <c r="C331">
        <v>45</v>
      </c>
      <c r="D331">
        <v>34</v>
      </c>
      <c r="E331" t="s">
        <v>13</v>
      </c>
      <c r="F331" t="s">
        <v>173</v>
      </c>
      <c r="G331">
        <v>254.57</v>
      </c>
      <c r="H331" t="s">
        <v>20</v>
      </c>
      <c r="I331" s="2">
        <v>45036</v>
      </c>
      <c r="J331" s="2">
        <v>45080</v>
      </c>
      <c r="K331" t="s">
        <v>172</v>
      </c>
    </row>
    <row r="332" spans="1:11" x14ac:dyDescent="0.25">
      <c r="A332" t="s">
        <v>57</v>
      </c>
      <c r="B332" t="s">
        <v>30</v>
      </c>
      <c r="C332">
        <v>190</v>
      </c>
      <c r="D332">
        <v>77</v>
      </c>
      <c r="E332" t="s">
        <v>13</v>
      </c>
      <c r="F332" t="s">
        <v>173</v>
      </c>
      <c r="G332">
        <v>137.54</v>
      </c>
      <c r="H332" t="s">
        <v>26</v>
      </c>
      <c r="I332" s="2">
        <v>45038</v>
      </c>
      <c r="J332" s="2">
        <v>45075</v>
      </c>
      <c r="K332" t="s">
        <v>17</v>
      </c>
    </row>
    <row r="333" spans="1:11" x14ac:dyDescent="0.25">
      <c r="A333" t="s">
        <v>44</v>
      </c>
      <c r="B333" t="s">
        <v>16</v>
      </c>
      <c r="C333">
        <v>0</v>
      </c>
      <c r="D333">
        <v>47</v>
      </c>
      <c r="E333" t="s">
        <v>19</v>
      </c>
      <c r="F333" t="s">
        <v>171</v>
      </c>
      <c r="G333">
        <v>10.33</v>
      </c>
      <c r="H333" t="s">
        <v>26</v>
      </c>
      <c r="I333" s="2">
        <v>44944</v>
      </c>
      <c r="J333" s="2">
        <v>44960</v>
      </c>
      <c r="K333" t="s">
        <v>17</v>
      </c>
    </row>
    <row r="334" spans="1:11" x14ac:dyDescent="0.25">
      <c r="A334" t="s">
        <v>50</v>
      </c>
      <c r="B334" t="s">
        <v>16</v>
      </c>
      <c r="C334">
        <v>124</v>
      </c>
      <c r="D334">
        <v>65</v>
      </c>
      <c r="E334" t="s">
        <v>13</v>
      </c>
      <c r="F334" t="s">
        <v>173</v>
      </c>
      <c r="G334">
        <v>62.11</v>
      </c>
      <c r="H334" t="s">
        <v>26</v>
      </c>
      <c r="I334" s="2">
        <v>45124</v>
      </c>
      <c r="J334" s="2">
        <v>45188</v>
      </c>
      <c r="K334" t="s">
        <v>17</v>
      </c>
    </row>
    <row r="335" spans="1:11" x14ac:dyDescent="0.25">
      <c r="A335" t="s">
        <v>32</v>
      </c>
      <c r="B335" t="s">
        <v>12</v>
      </c>
      <c r="C335">
        <v>84</v>
      </c>
      <c r="D335">
        <v>91</v>
      </c>
      <c r="E335" t="s">
        <v>19</v>
      </c>
      <c r="F335" t="s">
        <v>170</v>
      </c>
      <c r="G335">
        <v>217.17</v>
      </c>
      <c r="H335" t="s">
        <v>14</v>
      </c>
      <c r="I335" s="2">
        <v>45027</v>
      </c>
      <c r="J335" s="2">
        <v>45096</v>
      </c>
      <c r="K335" t="s">
        <v>172</v>
      </c>
    </row>
    <row r="336" spans="1:11" x14ac:dyDescent="0.25">
      <c r="A336" t="s">
        <v>55</v>
      </c>
      <c r="B336" t="s">
        <v>16</v>
      </c>
      <c r="C336">
        <v>28</v>
      </c>
      <c r="D336">
        <v>41</v>
      </c>
      <c r="E336" t="s">
        <v>19</v>
      </c>
      <c r="F336" t="s">
        <v>170</v>
      </c>
      <c r="G336">
        <v>54.23</v>
      </c>
      <c r="H336" t="s">
        <v>14</v>
      </c>
      <c r="I336" s="2">
        <v>45119</v>
      </c>
      <c r="J336" s="2">
        <v>45191</v>
      </c>
      <c r="K336" t="s">
        <v>172</v>
      </c>
    </row>
    <row r="337" spans="1:11" x14ac:dyDescent="0.25">
      <c r="A337" t="s">
        <v>45</v>
      </c>
      <c r="B337" t="s">
        <v>30</v>
      </c>
      <c r="C337">
        <v>119</v>
      </c>
      <c r="D337">
        <v>55</v>
      </c>
      <c r="E337" t="s">
        <v>13</v>
      </c>
      <c r="F337" t="s">
        <v>170</v>
      </c>
      <c r="G337">
        <v>415.65</v>
      </c>
      <c r="H337" t="s">
        <v>20</v>
      </c>
      <c r="I337" s="2">
        <v>44992</v>
      </c>
      <c r="J337" s="2">
        <v>45052</v>
      </c>
      <c r="K337" t="s">
        <v>172</v>
      </c>
    </row>
    <row r="338" spans="1:11" x14ac:dyDescent="0.25">
      <c r="A338" t="s">
        <v>36</v>
      </c>
      <c r="B338" t="s">
        <v>23</v>
      </c>
      <c r="C338">
        <v>188</v>
      </c>
      <c r="D338">
        <v>26</v>
      </c>
      <c r="E338" t="s">
        <v>13</v>
      </c>
      <c r="F338" t="s">
        <v>173</v>
      </c>
      <c r="G338">
        <v>81.88</v>
      </c>
      <c r="H338" t="s">
        <v>20</v>
      </c>
      <c r="I338" s="2">
        <v>45277</v>
      </c>
      <c r="J338" s="2">
        <v>45293</v>
      </c>
      <c r="K338" t="s">
        <v>21</v>
      </c>
    </row>
    <row r="339" spans="1:11" x14ac:dyDescent="0.25">
      <c r="A339" t="s">
        <v>52</v>
      </c>
      <c r="B339" t="s">
        <v>30</v>
      </c>
      <c r="C339">
        <v>122</v>
      </c>
      <c r="D339">
        <v>90</v>
      </c>
      <c r="E339" t="s">
        <v>13</v>
      </c>
      <c r="F339" t="s">
        <v>171</v>
      </c>
      <c r="G339">
        <v>359.73</v>
      </c>
      <c r="H339" t="s">
        <v>26</v>
      </c>
      <c r="I339" s="2">
        <v>44930</v>
      </c>
      <c r="J339" s="2">
        <v>44993</v>
      </c>
      <c r="K339" t="s">
        <v>172</v>
      </c>
    </row>
    <row r="340" spans="1:11" x14ac:dyDescent="0.25">
      <c r="A340" t="s">
        <v>63</v>
      </c>
      <c r="B340" t="s">
        <v>28</v>
      </c>
      <c r="C340">
        <v>61</v>
      </c>
      <c r="D340">
        <v>96</v>
      </c>
      <c r="E340" t="s">
        <v>19</v>
      </c>
      <c r="F340" t="s">
        <v>173</v>
      </c>
      <c r="G340">
        <v>77.59</v>
      </c>
      <c r="H340" t="s">
        <v>20</v>
      </c>
      <c r="I340" s="2">
        <v>45288</v>
      </c>
      <c r="J340" s="2">
        <v>45377</v>
      </c>
      <c r="K340" t="s">
        <v>17</v>
      </c>
    </row>
    <row r="341" spans="1:11" x14ac:dyDescent="0.25">
      <c r="A341" t="s">
        <v>64</v>
      </c>
      <c r="B341" t="s">
        <v>12</v>
      </c>
      <c r="C341">
        <v>6</v>
      </c>
      <c r="D341">
        <v>52</v>
      </c>
      <c r="E341" t="s">
        <v>19</v>
      </c>
      <c r="F341" t="s">
        <v>173</v>
      </c>
      <c r="G341">
        <v>341.93</v>
      </c>
      <c r="H341" t="s">
        <v>26</v>
      </c>
      <c r="I341" s="2">
        <v>45042</v>
      </c>
      <c r="J341" s="2">
        <v>45103</v>
      </c>
      <c r="K341" t="s">
        <v>21</v>
      </c>
    </row>
    <row r="342" spans="1:11" x14ac:dyDescent="0.25">
      <c r="A342" t="s">
        <v>58</v>
      </c>
      <c r="B342" t="s">
        <v>16</v>
      </c>
      <c r="C342">
        <v>108</v>
      </c>
      <c r="D342">
        <v>21</v>
      </c>
      <c r="E342" t="s">
        <v>13</v>
      </c>
      <c r="F342" t="s">
        <v>170</v>
      </c>
      <c r="G342">
        <v>113.7</v>
      </c>
      <c r="H342" t="s">
        <v>26</v>
      </c>
      <c r="I342" s="2">
        <v>45251</v>
      </c>
      <c r="J342" s="2">
        <v>45321</v>
      </c>
      <c r="K342" t="s">
        <v>21</v>
      </c>
    </row>
    <row r="343" spans="1:11" x14ac:dyDescent="0.25">
      <c r="A343" t="s">
        <v>43</v>
      </c>
      <c r="B343" t="s">
        <v>12</v>
      </c>
      <c r="C343">
        <v>149</v>
      </c>
      <c r="D343">
        <v>45</v>
      </c>
      <c r="E343" t="s">
        <v>13</v>
      </c>
      <c r="F343" t="s">
        <v>171</v>
      </c>
      <c r="G343">
        <v>69.34</v>
      </c>
      <c r="H343" t="s">
        <v>26</v>
      </c>
      <c r="I343" s="2">
        <v>45191</v>
      </c>
      <c r="J343" s="2">
        <v>45213</v>
      </c>
    </row>
    <row r="344" spans="1:11" x14ac:dyDescent="0.25">
      <c r="A344" t="s">
        <v>32</v>
      </c>
      <c r="B344" t="s">
        <v>12</v>
      </c>
      <c r="C344">
        <v>167</v>
      </c>
      <c r="D344">
        <v>94</v>
      </c>
      <c r="E344" t="s">
        <v>13</v>
      </c>
      <c r="F344" t="s">
        <v>171</v>
      </c>
      <c r="G344">
        <v>137.25</v>
      </c>
      <c r="H344" t="s">
        <v>26</v>
      </c>
      <c r="I344" s="2">
        <v>45000</v>
      </c>
      <c r="J344" s="2">
        <v>45074</v>
      </c>
      <c r="K344" t="s">
        <v>172</v>
      </c>
    </row>
    <row r="345" spans="1:11" x14ac:dyDescent="0.25">
      <c r="A345" t="s">
        <v>37</v>
      </c>
      <c r="B345" t="s">
        <v>28</v>
      </c>
      <c r="C345">
        <v>128</v>
      </c>
      <c r="D345">
        <v>89</v>
      </c>
      <c r="E345" t="s">
        <v>13</v>
      </c>
      <c r="F345" t="s">
        <v>170</v>
      </c>
      <c r="G345">
        <v>200.73</v>
      </c>
      <c r="H345" t="s">
        <v>20</v>
      </c>
      <c r="I345" s="2">
        <v>45026</v>
      </c>
      <c r="J345" s="2">
        <v>45060</v>
      </c>
    </row>
    <row r="346" spans="1:11" x14ac:dyDescent="0.25">
      <c r="A346" t="s">
        <v>51</v>
      </c>
      <c r="B346" t="s">
        <v>12</v>
      </c>
      <c r="C346">
        <v>51</v>
      </c>
      <c r="D346">
        <v>82</v>
      </c>
      <c r="E346" t="s">
        <v>19</v>
      </c>
      <c r="F346" t="s">
        <v>171</v>
      </c>
      <c r="G346">
        <v>411.01</v>
      </c>
      <c r="H346" t="s">
        <v>20</v>
      </c>
      <c r="I346" s="2">
        <v>45258</v>
      </c>
      <c r="J346" s="2">
        <v>45319</v>
      </c>
      <c r="K346" t="s">
        <v>172</v>
      </c>
    </row>
    <row r="347" spans="1:11" x14ac:dyDescent="0.25">
      <c r="A347" t="s">
        <v>60</v>
      </c>
      <c r="B347" t="s">
        <v>23</v>
      </c>
      <c r="C347">
        <v>48</v>
      </c>
      <c r="D347">
        <v>60</v>
      </c>
      <c r="E347" t="s">
        <v>19</v>
      </c>
      <c r="F347" t="s">
        <v>173</v>
      </c>
      <c r="G347">
        <v>157.24</v>
      </c>
      <c r="H347" t="s">
        <v>20</v>
      </c>
      <c r="I347" s="2">
        <v>45191</v>
      </c>
      <c r="J347" s="2">
        <v>45209</v>
      </c>
      <c r="K347" t="s">
        <v>17</v>
      </c>
    </row>
    <row r="348" spans="1:11" x14ac:dyDescent="0.25">
      <c r="A348" t="s">
        <v>35</v>
      </c>
      <c r="B348" t="s">
        <v>12</v>
      </c>
      <c r="C348">
        <v>97</v>
      </c>
      <c r="D348">
        <v>93</v>
      </c>
      <c r="E348" t="s">
        <v>13</v>
      </c>
      <c r="F348" t="s">
        <v>171</v>
      </c>
      <c r="G348">
        <v>400.56</v>
      </c>
      <c r="H348" t="s">
        <v>26</v>
      </c>
      <c r="I348" s="2">
        <v>45149</v>
      </c>
      <c r="J348" s="2">
        <v>45184</v>
      </c>
    </row>
    <row r="349" spans="1:11" x14ac:dyDescent="0.25">
      <c r="A349" t="s">
        <v>47</v>
      </c>
      <c r="B349" t="s">
        <v>16</v>
      </c>
      <c r="C349">
        <v>25</v>
      </c>
      <c r="D349">
        <v>83</v>
      </c>
      <c r="E349" t="s">
        <v>19</v>
      </c>
      <c r="F349" t="s">
        <v>170</v>
      </c>
      <c r="G349">
        <v>257</v>
      </c>
      <c r="H349" t="s">
        <v>26</v>
      </c>
      <c r="I349" s="2">
        <v>45122</v>
      </c>
      <c r="J349" s="2">
        <v>45191</v>
      </c>
    </row>
    <row r="350" spans="1:11" x14ac:dyDescent="0.25">
      <c r="A350" t="s">
        <v>47</v>
      </c>
      <c r="B350" t="s">
        <v>12</v>
      </c>
      <c r="C350">
        <v>152</v>
      </c>
      <c r="D350">
        <v>43</v>
      </c>
      <c r="E350" t="s">
        <v>13</v>
      </c>
      <c r="F350" t="s">
        <v>173</v>
      </c>
      <c r="G350">
        <v>319.27</v>
      </c>
      <c r="H350" t="s">
        <v>14</v>
      </c>
      <c r="I350" s="2">
        <v>45277</v>
      </c>
      <c r="J350" s="2">
        <v>45342</v>
      </c>
      <c r="K350" t="s">
        <v>21</v>
      </c>
    </row>
    <row r="351" spans="1:11" x14ac:dyDescent="0.25">
      <c r="A351" t="s">
        <v>54</v>
      </c>
      <c r="B351" t="s">
        <v>16</v>
      </c>
      <c r="C351">
        <v>3</v>
      </c>
      <c r="D351">
        <v>22</v>
      </c>
      <c r="E351" t="s">
        <v>19</v>
      </c>
      <c r="F351" t="s">
        <v>170</v>
      </c>
      <c r="G351">
        <v>156.16999999999999</v>
      </c>
      <c r="H351" t="s">
        <v>14</v>
      </c>
      <c r="I351" s="2">
        <v>45110</v>
      </c>
      <c r="J351" s="2">
        <v>45145</v>
      </c>
      <c r="K351" t="s">
        <v>21</v>
      </c>
    </row>
    <row r="352" spans="1:11" x14ac:dyDescent="0.25">
      <c r="A352" t="s">
        <v>70</v>
      </c>
      <c r="B352" t="s">
        <v>30</v>
      </c>
      <c r="C352">
        <v>74</v>
      </c>
      <c r="D352">
        <v>74</v>
      </c>
      <c r="E352" t="s">
        <v>13</v>
      </c>
      <c r="F352" t="s">
        <v>171</v>
      </c>
      <c r="G352">
        <v>216.01</v>
      </c>
      <c r="H352" t="s">
        <v>20</v>
      </c>
      <c r="I352" s="2">
        <v>45087</v>
      </c>
      <c r="J352" s="2">
        <v>45150</v>
      </c>
      <c r="K352" t="s">
        <v>172</v>
      </c>
    </row>
    <row r="353" spans="1:11" x14ac:dyDescent="0.25">
      <c r="A353" t="s">
        <v>60</v>
      </c>
      <c r="B353" t="s">
        <v>30</v>
      </c>
      <c r="C353">
        <v>11</v>
      </c>
      <c r="D353">
        <v>37</v>
      </c>
      <c r="E353" t="s">
        <v>19</v>
      </c>
      <c r="F353" t="s">
        <v>171</v>
      </c>
      <c r="G353">
        <v>184.56</v>
      </c>
      <c r="H353" t="s">
        <v>26</v>
      </c>
      <c r="I353" s="2">
        <v>45226</v>
      </c>
      <c r="J353" s="2">
        <v>45295</v>
      </c>
    </row>
    <row r="354" spans="1:11" x14ac:dyDescent="0.25">
      <c r="A354" t="s">
        <v>52</v>
      </c>
      <c r="B354" t="s">
        <v>28</v>
      </c>
      <c r="C354">
        <v>112</v>
      </c>
      <c r="D354">
        <v>78</v>
      </c>
      <c r="E354" t="s">
        <v>13</v>
      </c>
      <c r="F354" t="s">
        <v>171</v>
      </c>
      <c r="G354">
        <v>379.53</v>
      </c>
      <c r="H354" t="s">
        <v>26</v>
      </c>
      <c r="I354" s="2">
        <v>45007</v>
      </c>
      <c r="J354" s="2">
        <v>45058</v>
      </c>
      <c r="K354" t="s">
        <v>17</v>
      </c>
    </row>
    <row r="355" spans="1:11" x14ac:dyDescent="0.25">
      <c r="A355" t="s">
        <v>70</v>
      </c>
      <c r="B355" t="s">
        <v>23</v>
      </c>
      <c r="C355">
        <v>107</v>
      </c>
      <c r="D355">
        <v>77</v>
      </c>
      <c r="E355" t="s">
        <v>13</v>
      </c>
      <c r="F355" t="s">
        <v>171</v>
      </c>
      <c r="G355">
        <v>282.08</v>
      </c>
      <c r="H355" t="s">
        <v>20</v>
      </c>
      <c r="I355" s="2">
        <v>45209</v>
      </c>
      <c r="J355" s="2">
        <v>45283</v>
      </c>
      <c r="K355" t="s">
        <v>21</v>
      </c>
    </row>
    <row r="356" spans="1:11" x14ac:dyDescent="0.25">
      <c r="A356" t="s">
        <v>41</v>
      </c>
      <c r="B356" t="s">
        <v>30</v>
      </c>
      <c r="C356">
        <v>11</v>
      </c>
      <c r="D356">
        <v>86</v>
      </c>
      <c r="E356" t="s">
        <v>19</v>
      </c>
      <c r="F356" t="s">
        <v>173</v>
      </c>
      <c r="G356">
        <v>339.04</v>
      </c>
      <c r="H356" t="s">
        <v>20</v>
      </c>
      <c r="I356" s="2">
        <v>45127</v>
      </c>
      <c r="J356" s="2">
        <v>45151</v>
      </c>
      <c r="K356" t="s">
        <v>17</v>
      </c>
    </row>
    <row r="357" spans="1:11" x14ac:dyDescent="0.25">
      <c r="A357" t="s">
        <v>57</v>
      </c>
      <c r="B357" t="s">
        <v>23</v>
      </c>
      <c r="C357">
        <v>171</v>
      </c>
      <c r="D357">
        <v>62</v>
      </c>
      <c r="E357" t="s">
        <v>13</v>
      </c>
      <c r="F357" t="s">
        <v>170</v>
      </c>
      <c r="G357">
        <v>111.96</v>
      </c>
      <c r="H357" t="s">
        <v>26</v>
      </c>
      <c r="I357" s="2">
        <v>45057</v>
      </c>
      <c r="J357" s="2">
        <v>45127</v>
      </c>
      <c r="K357" t="s">
        <v>21</v>
      </c>
    </row>
    <row r="358" spans="1:11" x14ac:dyDescent="0.25">
      <c r="A358" t="s">
        <v>29</v>
      </c>
      <c r="B358" t="s">
        <v>16</v>
      </c>
      <c r="C358">
        <v>99</v>
      </c>
      <c r="D358">
        <v>55</v>
      </c>
      <c r="E358" t="s">
        <v>13</v>
      </c>
      <c r="F358" t="s">
        <v>173</v>
      </c>
      <c r="G358">
        <v>299.16000000000003</v>
      </c>
      <c r="H358" t="s">
        <v>14</v>
      </c>
      <c r="I358" s="2">
        <v>44973</v>
      </c>
      <c r="J358" s="2">
        <v>45053</v>
      </c>
      <c r="K358" t="s">
        <v>21</v>
      </c>
    </row>
    <row r="359" spans="1:11" x14ac:dyDescent="0.25">
      <c r="A359" t="s">
        <v>49</v>
      </c>
      <c r="B359" t="s">
        <v>23</v>
      </c>
      <c r="C359">
        <v>122</v>
      </c>
      <c r="D359">
        <v>44</v>
      </c>
      <c r="E359" t="s">
        <v>13</v>
      </c>
      <c r="F359" t="s">
        <v>171</v>
      </c>
      <c r="G359">
        <v>181</v>
      </c>
      <c r="H359" t="s">
        <v>14</v>
      </c>
      <c r="I359" s="2">
        <v>45115</v>
      </c>
      <c r="J359" s="2">
        <v>45175</v>
      </c>
      <c r="K359" t="s">
        <v>21</v>
      </c>
    </row>
    <row r="360" spans="1:11" x14ac:dyDescent="0.25">
      <c r="A360" t="s">
        <v>54</v>
      </c>
      <c r="B360" t="s">
        <v>16</v>
      </c>
      <c r="C360">
        <v>9</v>
      </c>
      <c r="D360">
        <v>53</v>
      </c>
      <c r="E360" t="s">
        <v>19</v>
      </c>
      <c r="F360" t="s">
        <v>170</v>
      </c>
      <c r="G360">
        <v>37.619999999999997</v>
      </c>
      <c r="H360" t="s">
        <v>20</v>
      </c>
      <c r="I360" s="2">
        <v>45211</v>
      </c>
      <c r="J360" s="2">
        <v>45250</v>
      </c>
    </row>
    <row r="361" spans="1:11" x14ac:dyDescent="0.25">
      <c r="A361" t="s">
        <v>62</v>
      </c>
      <c r="B361" t="s">
        <v>12</v>
      </c>
      <c r="C361">
        <v>23</v>
      </c>
      <c r="D361">
        <v>67</v>
      </c>
      <c r="E361" t="s">
        <v>19</v>
      </c>
      <c r="F361" t="s">
        <v>170</v>
      </c>
      <c r="G361">
        <v>425.32</v>
      </c>
      <c r="H361" t="s">
        <v>14</v>
      </c>
      <c r="I361" s="2">
        <v>44965</v>
      </c>
      <c r="J361" s="2">
        <v>45038</v>
      </c>
      <c r="K361" t="s">
        <v>17</v>
      </c>
    </row>
    <row r="362" spans="1:11" x14ac:dyDescent="0.25">
      <c r="A362" t="s">
        <v>63</v>
      </c>
      <c r="B362" t="s">
        <v>16</v>
      </c>
      <c r="C362">
        <v>182</v>
      </c>
      <c r="D362">
        <v>96</v>
      </c>
      <c r="E362" t="s">
        <v>13</v>
      </c>
      <c r="F362" t="s">
        <v>170</v>
      </c>
      <c r="G362">
        <v>21.33</v>
      </c>
      <c r="H362" t="s">
        <v>26</v>
      </c>
      <c r="I362" s="2">
        <v>45089</v>
      </c>
      <c r="J362" s="2">
        <v>45104</v>
      </c>
      <c r="K362" t="s">
        <v>21</v>
      </c>
    </row>
    <row r="363" spans="1:11" x14ac:dyDescent="0.25">
      <c r="A363" t="s">
        <v>46</v>
      </c>
      <c r="B363" t="s">
        <v>16</v>
      </c>
      <c r="C363">
        <v>141</v>
      </c>
      <c r="D363">
        <v>51</v>
      </c>
      <c r="E363" t="s">
        <v>13</v>
      </c>
      <c r="F363" t="s">
        <v>170</v>
      </c>
      <c r="G363">
        <v>58.95</v>
      </c>
      <c r="H363" t="s">
        <v>20</v>
      </c>
      <c r="I363" s="2">
        <v>45237</v>
      </c>
      <c r="J363" s="2">
        <v>45298</v>
      </c>
      <c r="K363" t="s">
        <v>17</v>
      </c>
    </row>
    <row r="364" spans="1:11" x14ac:dyDescent="0.25">
      <c r="A364" t="s">
        <v>53</v>
      </c>
      <c r="B364" t="s">
        <v>23</v>
      </c>
      <c r="C364">
        <v>51</v>
      </c>
      <c r="D364">
        <v>53</v>
      </c>
      <c r="E364" t="s">
        <v>19</v>
      </c>
      <c r="F364" t="s">
        <v>170</v>
      </c>
      <c r="G364">
        <v>58.02</v>
      </c>
      <c r="H364" t="s">
        <v>14</v>
      </c>
      <c r="I364" s="2">
        <v>45039</v>
      </c>
      <c r="J364" s="2">
        <v>45090</v>
      </c>
      <c r="K364" t="s">
        <v>172</v>
      </c>
    </row>
    <row r="365" spans="1:11" x14ac:dyDescent="0.25">
      <c r="A365" t="s">
        <v>64</v>
      </c>
      <c r="B365" t="s">
        <v>16</v>
      </c>
      <c r="C365">
        <v>36</v>
      </c>
      <c r="D365">
        <v>96</v>
      </c>
      <c r="E365" t="s">
        <v>19</v>
      </c>
      <c r="F365" t="s">
        <v>170</v>
      </c>
      <c r="G365">
        <v>40.29</v>
      </c>
      <c r="H365" t="s">
        <v>14</v>
      </c>
      <c r="I365" s="2">
        <v>45115</v>
      </c>
      <c r="J365" s="2">
        <v>45168</v>
      </c>
      <c r="K365" t="s">
        <v>17</v>
      </c>
    </row>
    <row r="366" spans="1:11" x14ac:dyDescent="0.25">
      <c r="A366" t="s">
        <v>18</v>
      </c>
      <c r="B366" t="s">
        <v>16</v>
      </c>
      <c r="C366">
        <v>26</v>
      </c>
      <c r="D366">
        <v>54</v>
      </c>
      <c r="E366" t="s">
        <v>19</v>
      </c>
      <c r="F366" t="s">
        <v>170</v>
      </c>
      <c r="G366">
        <v>499.55</v>
      </c>
      <c r="H366" t="s">
        <v>26</v>
      </c>
      <c r="I366" s="2">
        <v>45258</v>
      </c>
      <c r="J366" s="2">
        <v>45333</v>
      </c>
      <c r="K366" t="s">
        <v>172</v>
      </c>
    </row>
    <row r="367" spans="1:11" x14ac:dyDescent="0.25">
      <c r="A367" t="s">
        <v>48</v>
      </c>
      <c r="B367" t="s">
        <v>23</v>
      </c>
      <c r="C367">
        <v>43</v>
      </c>
      <c r="D367">
        <v>37</v>
      </c>
      <c r="E367" t="s">
        <v>13</v>
      </c>
      <c r="F367" t="s">
        <v>173</v>
      </c>
      <c r="G367">
        <v>246.88</v>
      </c>
      <c r="H367" t="s">
        <v>26</v>
      </c>
      <c r="I367" s="2">
        <v>45261</v>
      </c>
      <c r="J367" s="2">
        <v>45333</v>
      </c>
      <c r="K367" t="s">
        <v>21</v>
      </c>
    </row>
    <row r="368" spans="1:11" x14ac:dyDescent="0.25">
      <c r="A368" t="s">
        <v>53</v>
      </c>
      <c r="B368" t="s">
        <v>30</v>
      </c>
      <c r="C368">
        <v>104</v>
      </c>
      <c r="D368">
        <v>87</v>
      </c>
      <c r="E368" t="s">
        <v>13</v>
      </c>
      <c r="F368" t="s">
        <v>170</v>
      </c>
      <c r="G368">
        <v>101.29</v>
      </c>
      <c r="H368" t="s">
        <v>20</v>
      </c>
      <c r="I368" s="2">
        <v>45187</v>
      </c>
      <c r="J368" s="2">
        <v>45269</v>
      </c>
    </row>
    <row r="369" spans="1:11" x14ac:dyDescent="0.25">
      <c r="A369" t="s">
        <v>57</v>
      </c>
      <c r="B369" t="s">
        <v>28</v>
      </c>
      <c r="C369">
        <v>185</v>
      </c>
      <c r="D369">
        <v>35</v>
      </c>
      <c r="E369" t="s">
        <v>13</v>
      </c>
      <c r="F369" t="s">
        <v>170</v>
      </c>
      <c r="G369">
        <v>308.67</v>
      </c>
      <c r="H369" t="s">
        <v>14</v>
      </c>
      <c r="I369" s="2">
        <v>45095</v>
      </c>
      <c r="J369" s="2">
        <v>45170</v>
      </c>
      <c r="K369" t="s">
        <v>17</v>
      </c>
    </row>
    <row r="370" spans="1:11" x14ac:dyDescent="0.25">
      <c r="A370" t="s">
        <v>37</v>
      </c>
      <c r="B370" t="s">
        <v>23</v>
      </c>
      <c r="C370">
        <v>134</v>
      </c>
      <c r="D370">
        <v>49</v>
      </c>
      <c r="E370" t="s">
        <v>13</v>
      </c>
      <c r="F370" t="s">
        <v>171</v>
      </c>
      <c r="G370">
        <v>374.43</v>
      </c>
      <c r="H370" t="s">
        <v>20</v>
      </c>
      <c r="I370" s="2">
        <v>45080</v>
      </c>
      <c r="J370" s="2">
        <v>45103</v>
      </c>
      <c r="K370" t="s">
        <v>21</v>
      </c>
    </row>
    <row r="371" spans="1:11" x14ac:dyDescent="0.25">
      <c r="A371" t="s">
        <v>59</v>
      </c>
      <c r="B371" t="s">
        <v>30</v>
      </c>
      <c r="C371">
        <v>14</v>
      </c>
      <c r="D371">
        <v>53</v>
      </c>
      <c r="E371" t="s">
        <v>19</v>
      </c>
      <c r="F371" t="s">
        <v>170</v>
      </c>
      <c r="G371">
        <v>316.66000000000003</v>
      </c>
      <c r="H371" t="s">
        <v>14</v>
      </c>
      <c r="I371" s="2">
        <v>45262</v>
      </c>
      <c r="J371" s="2">
        <v>45324</v>
      </c>
      <c r="K371" t="s">
        <v>21</v>
      </c>
    </row>
    <row r="372" spans="1:11" x14ac:dyDescent="0.25">
      <c r="A372" t="s">
        <v>71</v>
      </c>
      <c r="B372" t="s">
        <v>23</v>
      </c>
      <c r="C372">
        <v>115</v>
      </c>
      <c r="D372">
        <v>71</v>
      </c>
      <c r="E372" t="s">
        <v>13</v>
      </c>
      <c r="F372" t="s">
        <v>171</v>
      </c>
      <c r="G372">
        <v>98.52</v>
      </c>
      <c r="H372" t="s">
        <v>20</v>
      </c>
      <c r="I372" s="2">
        <v>44982</v>
      </c>
      <c r="J372" s="2">
        <v>45016</v>
      </c>
      <c r="K372" t="s">
        <v>172</v>
      </c>
    </row>
    <row r="373" spans="1:11" x14ac:dyDescent="0.25">
      <c r="A373" t="s">
        <v>44</v>
      </c>
      <c r="B373" t="s">
        <v>12</v>
      </c>
      <c r="C373">
        <v>54</v>
      </c>
      <c r="D373">
        <v>62</v>
      </c>
      <c r="E373" t="s">
        <v>19</v>
      </c>
      <c r="F373" t="s">
        <v>173</v>
      </c>
      <c r="G373">
        <v>131.75</v>
      </c>
      <c r="H373" t="s">
        <v>26</v>
      </c>
      <c r="I373" s="2">
        <v>45048</v>
      </c>
      <c r="J373" s="2">
        <v>45083</v>
      </c>
      <c r="K373" t="s">
        <v>172</v>
      </c>
    </row>
    <row r="374" spans="1:11" x14ac:dyDescent="0.25">
      <c r="A374" t="s">
        <v>24</v>
      </c>
      <c r="B374" t="s">
        <v>23</v>
      </c>
      <c r="C374">
        <v>184</v>
      </c>
      <c r="D374">
        <v>22</v>
      </c>
      <c r="E374" t="s">
        <v>13</v>
      </c>
      <c r="F374" t="s">
        <v>173</v>
      </c>
      <c r="G374">
        <v>192.92</v>
      </c>
      <c r="H374" t="s">
        <v>20</v>
      </c>
      <c r="I374" s="2">
        <v>45004</v>
      </c>
      <c r="J374" s="2">
        <v>45040</v>
      </c>
      <c r="K374" t="s">
        <v>172</v>
      </c>
    </row>
    <row r="375" spans="1:11" x14ac:dyDescent="0.25">
      <c r="A375" t="s">
        <v>51</v>
      </c>
      <c r="B375" t="s">
        <v>12</v>
      </c>
      <c r="C375">
        <v>142</v>
      </c>
      <c r="D375">
        <v>97</v>
      </c>
      <c r="E375" t="s">
        <v>13</v>
      </c>
      <c r="F375" t="s">
        <v>173</v>
      </c>
      <c r="G375">
        <v>235.61</v>
      </c>
      <c r="H375" t="s">
        <v>14</v>
      </c>
      <c r="I375" s="2">
        <v>44989</v>
      </c>
      <c r="J375" s="2">
        <v>45017</v>
      </c>
    </row>
    <row r="376" spans="1:11" x14ac:dyDescent="0.25">
      <c r="A376" t="s">
        <v>35</v>
      </c>
      <c r="B376" t="s">
        <v>23</v>
      </c>
      <c r="C376">
        <v>106</v>
      </c>
      <c r="D376">
        <v>99</v>
      </c>
      <c r="E376" t="s">
        <v>13</v>
      </c>
      <c r="F376" t="s">
        <v>170</v>
      </c>
      <c r="G376">
        <v>41.98</v>
      </c>
      <c r="H376" t="s">
        <v>26</v>
      </c>
      <c r="I376" s="2">
        <v>45081</v>
      </c>
      <c r="J376" s="2">
        <v>45167</v>
      </c>
      <c r="K376" t="s">
        <v>17</v>
      </c>
    </row>
    <row r="377" spans="1:11" x14ac:dyDescent="0.25">
      <c r="A377" t="s">
        <v>22</v>
      </c>
      <c r="B377" t="s">
        <v>23</v>
      </c>
      <c r="C377">
        <v>42</v>
      </c>
      <c r="D377">
        <v>30</v>
      </c>
      <c r="E377" t="s">
        <v>13</v>
      </c>
      <c r="F377" t="s">
        <v>173</v>
      </c>
      <c r="G377">
        <v>235.69</v>
      </c>
      <c r="H377" t="s">
        <v>14</v>
      </c>
      <c r="I377" s="2">
        <v>44986</v>
      </c>
      <c r="J377" s="2">
        <v>45029</v>
      </c>
      <c r="K377" t="s">
        <v>17</v>
      </c>
    </row>
    <row r="378" spans="1:11" x14ac:dyDescent="0.25">
      <c r="A378" t="s">
        <v>68</v>
      </c>
      <c r="B378" t="s">
        <v>23</v>
      </c>
      <c r="C378">
        <v>66</v>
      </c>
      <c r="D378">
        <v>39</v>
      </c>
      <c r="E378" t="s">
        <v>13</v>
      </c>
      <c r="F378" t="s">
        <v>170</v>
      </c>
      <c r="G378">
        <v>307.88</v>
      </c>
      <c r="H378" t="s">
        <v>20</v>
      </c>
      <c r="I378" s="2">
        <v>44978</v>
      </c>
      <c r="J378" s="2">
        <v>45033</v>
      </c>
    </row>
    <row r="379" spans="1:11" x14ac:dyDescent="0.25">
      <c r="A379" t="s">
        <v>72</v>
      </c>
      <c r="B379" t="s">
        <v>12</v>
      </c>
      <c r="C379">
        <v>39</v>
      </c>
      <c r="D379">
        <v>62</v>
      </c>
      <c r="E379" t="s">
        <v>19</v>
      </c>
      <c r="F379" t="s">
        <v>171</v>
      </c>
      <c r="G379">
        <v>416.19</v>
      </c>
      <c r="H379" t="s">
        <v>26</v>
      </c>
      <c r="I379" s="2">
        <v>45266</v>
      </c>
      <c r="J379" s="2">
        <v>45291</v>
      </c>
      <c r="K379" t="s">
        <v>17</v>
      </c>
    </row>
    <row r="380" spans="1:11" x14ac:dyDescent="0.25">
      <c r="A380" t="s">
        <v>67</v>
      </c>
      <c r="B380" t="s">
        <v>28</v>
      </c>
      <c r="C380">
        <v>62</v>
      </c>
      <c r="D380">
        <v>53</v>
      </c>
      <c r="E380" t="s">
        <v>13</v>
      </c>
      <c r="F380" t="s">
        <v>171</v>
      </c>
      <c r="G380">
        <v>484.5</v>
      </c>
      <c r="H380" t="s">
        <v>14</v>
      </c>
      <c r="I380" s="2">
        <v>45120</v>
      </c>
      <c r="J380" s="2">
        <v>45170</v>
      </c>
    </row>
    <row r="381" spans="1:11" x14ac:dyDescent="0.25">
      <c r="A381" t="s">
        <v>65</v>
      </c>
      <c r="B381" t="s">
        <v>12</v>
      </c>
      <c r="C381">
        <v>6</v>
      </c>
      <c r="D381">
        <v>53</v>
      </c>
      <c r="E381" t="s">
        <v>19</v>
      </c>
      <c r="F381" t="s">
        <v>170</v>
      </c>
      <c r="G381">
        <v>455.83</v>
      </c>
      <c r="H381" t="s">
        <v>26</v>
      </c>
      <c r="I381" s="2">
        <v>44983</v>
      </c>
      <c r="J381" s="2">
        <v>44999</v>
      </c>
      <c r="K381" t="s">
        <v>17</v>
      </c>
    </row>
    <row r="382" spans="1:11" x14ac:dyDescent="0.25">
      <c r="A382" t="s">
        <v>72</v>
      </c>
      <c r="B382" t="s">
        <v>16</v>
      </c>
      <c r="C382">
        <v>121</v>
      </c>
      <c r="D382">
        <v>35</v>
      </c>
      <c r="E382" t="s">
        <v>13</v>
      </c>
      <c r="F382" t="s">
        <v>171</v>
      </c>
      <c r="G382">
        <v>309.20999999999998</v>
      </c>
      <c r="H382" t="s">
        <v>20</v>
      </c>
      <c r="I382" s="2">
        <v>45148</v>
      </c>
      <c r="J382" s="2">
        <v>45192</v>
      </c>
      <c r="K382" t="s">
        <v>172</v>
      </c>
    </row>
    <row r="383" spans="1:11" x14ac:dyDescent="0.25">
      <c r="A383" t="s">
        <v>70</v>
      </c>
      <c r="B383" t="s">
        <v>12</v>
      </c>
      <c r="C383">
        <v>119</v>
      </c>
      <c r="D383">
        <v>53</v>
      </c>
      <c r="E383" t="s">
        <v>13</v>
      </c>
      <c r="F383" t="s">
        <v>173</v>
      </c>
      <c r="G383">
        <v>499.39</v>
      </c>
      <c r="H383" t="s">
        <v>20</v>
      </c>
      <c r="I383" s="2">
        <v>44937</v>
      </c>
      <c r="J383" s="2">
        <v>44991</v>
      </c>
    </row>
    <row r="384" spans="1:11" x14ac:dyDescent="0.25">
      <c r="A384" t="s">
        <v>25</v>
      </c>
      <c r="B384" t="s">
        <v>23</v>
      </c>
      <c r="C384">
        <v>82</v>
      </c>
      <c r="D384">
        <v>40</v>
      </c>
      <c r="E384" t="s">
        <v>13</v>
      </c>
      <c r="F384" t="s">
        <v>171</v>
      </c>
      <c r="G384">
        <v>70.78</v>
      </c>
      <c r="H384" t="s">
        <v>26</v>
      </c>
      <c r="I384" s="2">
        <v>45053</v>
      </c>
      <c r="J384" s="2">
        <v>45079</v>
      </c>
    </row>
    <row r="385" spans="1:11" x14ac:dyDescent="0.25">
      <c r="A385" t="s">
        <v>18</v>
      </c>
      <c r="B385" t="s">
        <v>23</v>
      </c>
      <c r="C385">
        <v>181</v>
      </c>
      <c r="D385">
        <v>68</v>
      </c>
      <c r="E385" t="s">
        <v>13</v>
      </c>
      <c r="F385" t="s">
        <v>170</v>
      </c>
      <c r="G385">
        <v>110.27</v>
      </c>
      <c r="H385" t="s">
        <v>14</v>
      </c>
      <c r="I385" s="2">
        <v>44990</v>
      </c>
      <c r="J385" s="2">
        <v>45034</v>
      </c>
    </row>
    <row r="386" spans="1:11" x14ac:dyDescent="0.25">
      <c r="A386" t="s">
        <v>31</v>
      </c>
      <c r="B386" t="s">
        <v>28</v>
      </c>
      <c r="C386">
        <v>69</v>
      </c>
      <c r="D386">
        <v>43</v>
      </c>
      <c r="E386" t="s">
        <v>13</v>
      </c>
      <c r="F386" t="s">
        <v>171</v>
      </c>
      <c r="G386">
        <v>21.03</v>
      </c>
      <c r="H386" t="s">
        <v>14</v>
      </c>
      <c r="I386" s="2">
        <v>45008</v>
      </c>
      <c r="J386" s="2">
        <v>45083</v>
      </c>
      <c r="K386" t="s">
        <v>21</v>
      </c>
    </row>
    <row r="387" spans="1:11" x14ac:dyDescent="0.25">
      <c r="A387" t="s">
        <v>53</v>
      </c>
      <c r="B387" t="s">
        <v>28</v>
      </c>
      <c r="C387">
        <v>85</v>
      </c>
      <c r="D387">
        <v>97</v>
      </c>
      <c r="E387" t="s">
        <v>19</v>
      </c>
      <c r="F387" t="s">
        <v>170</v>
      </c>
      <c r="G387">
        <v>496.91</v>
      </c>
      <c r="H387" t="s">
        <v>14</v>
      </c>
      <c r="I387" s="2">
        <v>45036</v>
      </c>
      <c r="J387" s="2">
        <v>45109</v>
      </c>
      <c r="K387" t="s">
        <v>172</v>
      </c>
    </row>
    <row r="388" spans="1:11" x14ac:dyDescent="0.25">
      <c r="A388" t="s">
        <v>49</v>
      </c>
      <c r="B388" t="s">
        <v>28</v>
      </c>
      <c r="C388">
        <v>114</v>
      </c>
      <c r="D388">
        <v>83</v>
      </c>
      <c r="E388" t="s">
        <v>13</v>
      </c>
      <c r="F388" t="s">
        <v>170</v>
      </c>
      <c r="G388">
        <v>266.26</v>
      </c>
      <c r="H388" t="s">
        <v>14</v>
      </c>
      <c r="I388" s="2">
        <v>45139</v>
      </c>
      <c r="J388" s="2">
        <v>45204</v>
      </c>
      <c r="K388" t="s">
        <v>17</v>
      </c>
    </row>
    <row r="389" spans="1:11" x14ac:dyDescent="0.25">
      <c r="A389" t="s">
        <v>36</v>
      </c>
      <c r="B389" t="s">
        <v>12</v>
      </c>
      <c r="C389">
        <v>169</v>
      </c>
      <c r="D389">
        <v>46</v>
      </c>
      <c r="E389" t="s">
        <v>13</v>
      </c>
      <c r="F389" t="s">
        <v>170</v>
      </c>
      <c r="G389">
        <v>415.8</v>
      </c>
      <c r="H389" t="s">
        <v>26</v>
      </c>
      <c r="I389" s="2">
        <v>45127</v>
      </c>
      <c r="J389" s="2">
        <v>45211</v>
      </c>
    </row>
    <row r="390" spans="1:11" x14ac:dyDescent="0.25">
      <c r="A390" t="s">
        <v>31</v>
      </c>
      <c r="B390" t="s">
        <v>12</v>
      </c>
      <c r="C390">
        <v>81</v>
      </c>
      <c r="D390">
        <v>84</v>
      </c>
      <c r="E390" t="s">
        <v>19</v>
      </c>
      <c r="F390" t="s">
        <v>170</v>
      </c>
      <c r="G390">
        <v>175.65</v>
      </c>
      <c r="H390" t="s">
        <v>26</v>
      </c>
      <c r="I390" s="2">
        <v>45008</v>
      </c>
      <c r="J390" s="2">
        <v>45082</v>
      </c>
      <c r="K390" t="s">
        <v>17</v>
      </c>
    </row>
    <row r="391" spans="1:11" x14ac:dyDescent="0.25">
      <c r="A391" t="s">
        <v>69</v>
      </c>
      <c r="B391" t="s">
        <v>12</v>
      </c>
      <c r="C391">
        <v>113</v>
      </c>
      <c r="D391">
        <v>66</v>
      </c>
      <c r="E391" t="s">
        <v>13</v>
      </c>
      <c r="F391" t="s">
        <v>170</v>
      </c>
      <c r="G391">
        <v>72.180000000000007</v>
      </c>
      <c r="H391" t="s">
        <v>14</v>
      </c>
      <c r="I391" s="2">
        <v>45020</v>
      </c>
      <c r="J391" s="2">
        <v>45096</v>
      </c>
    </row>
    <row r="392" spans="1:11" x14ac:dyDescent="0.25">
      <c r="A392" t="s">
        <v>56</v>
      </c>
      <c r="B392" t="s">
        <v>23</v>
      </c>
      <c r="C392">
        <v>175</v>
      </c>
      <c r="D392">
        <v>42</v>
      </c>
      <c r="E392" t="s">
        <v>13</v>
      </c>
      <c r="F392" t="s">
        <v>170</v>
      </c>
      <c r="G392">
        <v>410.65</v>
      </c>
      <c r="H392" t="s">
        <v>26</v>
      </c>
      <c r="I392" s="2">
        <v>45052</v>
      </c>
      <c r="J392" s="2">
        <v>45140</v>
      </c>
    </row>
    <row r="393" spans="1:11" x14ac:dyDescent="0.25">
      <c r="A393" t="s">
        <v>47</v>
      </c>
      <c r="B393" t="s">
        <v>12</v>
      </c>
      <c r="C393">
        <v>181</v>
      </c>
      <c r="D393">
        <v>41</v>
      </c>
      <c r="E393" t="s">
        <v>13</v>
      </c>
      <c r="F393" t="s">
        <v>171</v>
      </c>
      <c r="G393">
        <v>353.22</v>
      </c>
      <c r="H393" t="s">
        <v>20</v>
      </c>
      <c r="I393" s="2">
        <v>45215</v>
      </c>
      <c r="J393" s="2">
        <v>45261</v>
      </c>
      <c r="K393" t="s">
        <v>21</v>
      </c>
    </row>
    <row r="394" spans="1:11" x14ac:dyDescent="0.25">
      <c r="A394" t="s">
        <v>54</v>
      </c>
      <c r="B394" t="s">
        <v>16</v>
      </c>
      <c r="C394">
        <v>175</v>
      </c>
      <c r="D394">
        <v>54</v>
      </c>
      <c r="E394" t="s">
        <v>13</v>
      </c>
      <c r="F394" t="s">
        <v>173</v>
      </c>
      <c r="G394">
        <v>169.19</v>
      </c>
      <c r="H394" t="s">
        <v>20</v>
      </c>
      <c r="I394" s="2">
        <v>44959</v>
      </c>
      <c r="J394" s="2">
        <v>45026</v>
      </c>
      <c r="K394" t="s">
        <v>172</v>
      </c>
    </row>
    <row r="395" spans="1:11" x14ac:dyDescent="0.25">
      <c r="A395" t="s">
        <v>11</v>
      </c>
      <c r="B395" t="s">
        <v>28</v>
      </c>
      <c r="C395">
        <v>113</v>
      </c>
      <c r="D395">
        <v>25</v>
      </c>
      <c r="E395" t="s">
        <v>13</v>
      </c>
      <c r="F395" t="s">
        <v>173</v>
      </c>
      <c r="G395">
        <v>158.72999999999999</v>
      </c>
      <c r="H395" t="s">
        <v>14</v>
      </c>
      <c r="I395" s="2">
        <v>45231</v>
      </c>
      <c r="J395" s="2">
        <v>45246</v>
      </c>
      <c r="K395" t="s">
        <v>21</v>
      </c>
    </row>
    <row r="396" spans="1:11" x14ac:dyDescent="0.25">
      <c r="A396" t="s">
        <v>53</v>
      </c>
      <c r="B396" t="s">
        <v>23</v>
      </c>
      <c r="C396">
        <v>106</v>
      </c>
      <c r="D396">
        <v>49</v>
      </c>
      <c r="E396" t="s">
        <v>13</v>
      </c>
      <c r="F396" t="s">
        <v>173</v>
      </c>
      <c r="G396">
        <v>290.7</v>
      </c>
      <c r="H396" t="s">
        <v>26</v>
      </c>
      <c r="I396" s="2">
        <v>45129</v>
      </c>
      <c r="J396" s="2">
        <v>45184</v>
      </c>
      <c r="K396" t="s">
        <v>172</v>
      </c>
    </row>
    <row r="397" spans="1:11" x14ac:dyDescent="0.25">
      <c r="A397" t="s">
        <v>25</v>
      </c>
      <c r="B397" t="s">
        <v>28</v>
      </c>
      <c r="C397">
        <v>41</v>
      </c>
      <c r="D397">
        <v>29</v>
      </c>
      <c r="E397" t="s">
        <v>13</v>
      </c>
      <c r="F397" t="s">
        <v>171</v>
      </c>
      <c r="G397">
        <v>311.37</v>
      </c>
      <c r="H397" t="s">
        <v>14</v>
      </c>
      <c r="I397" s="2">
        <v>45113</v>
      </c>
      <c r="J397" s="2">
        <v>45164</v>
      </c>
    </row>
    <row r="398" spans="1:11" x14ac:dyDescent="0.25">
      <c r="A398" t="s">
        <v>62</v>
      </c>
      <c r="B398" t="s">
        <v>16</v>
      </c>
      <c r="C398">
        <v>130</v>
      </c>
      <c r="D398">
        <v>53</v>
      </c>
      <c r="E398" t="s">
        <v>13</v>
      </c>
      <c r="F398" t="s">
        <v>171</v>
      </c>
      <c r="G398">
        <v>386.08</v>
      </c>
      <c r="H398" t="s">
        <v>14</v>
      </c>
      <c r="I398" s="2">
        <v>45119</v>
      </c>
      <c r="J398" s="2">
        <v>45135</v>
      </c>
      <c r="K398" t="s">
        <v>17</v>
      </c>
    </row>
    <row r="399" spans="1:11" x14ac:dyDescent="0.25">
      <c r="A399" t="s">
        <v>39</v>
      </c>
      <c r="B399" t="s">
        <v>30</v>
      </c>
      <c r="C399">
        <v>118</v>
      </c>
      <c r="D399">
        <v>25</v>
      </c>
      <c r="E399" t="s">
        <v>13</v>
      </c>
      <c r="F399" t="s">
        <v>173</v>
      </c>
      <c r="G399">
        <v>185.83</v>
      </c>
      <c r="H399" t="s">
        <v>14</v>
      </c>
      <c r="I399" s="2">
        <v>45055</v>
      </c>
      <c r="J399" s="2">
        <v>45125</v>
      </c>
      <c r="K399" t="s">
        <v>17</v>
      </c>
    </row>
    <row r="400" spans="1:11" x14ac:dyDescent="0.25">
      <c r="A400" t="s">
        <v>63</v>
      </c>
      <c r="B400" t="s">
        <v>23</v>
      </c>
      <c r="C400">
        <v>143</v>
      </c>
      <c r="D400">
        <v>93</v>
      </c>
      <c r="E400" t="s">
        <v>13</v>
      </c>
      <c r="F400" t="s">
        <v>170</v>
      </c>
      <c r="G400">
        <v>19.54</v>
      </c>
      <c r="H400" t="s">
        <v>14</v>
      </c>
      <c r="I400" s="2">
        <v>45192</v>
      </c>
      <c r="J400" s="2">
        <v>45229</v>
      </c>
      <c r="K400" t="s">
        <v>172</v>
      </c>
    </row>
    <row r="401" spans="1:11" x14ac:dyDescent="0.25">
      <c r="A401" t="s">
        <v>31</v>
      </c>
      <c r="B401" t="s">
        <v>23</v>
      </c>
      <c r="C401">
        <v>146</v>
      </c>
      <c r="D401">
        <v>87</v>
      </c>
      <c r="E401" t="s">
        <v>13</v>
      </c>
      <c r="F401" t="s">
        <v>171</v>
      </c>
      <c r="G401">
        <v>373.57</v>
      </c>
      <c r="H401" t="s">
        <v>20</v>
      </c>
      <c r="I401" s="2">
        <v>44954</v>
      </c>
      <c r="J401" s="2">
        <v>44995</v>
      </c>
    </row>
    <row r="402" spans="1:11" x14ac:dyDescent="0.25">
      <c r="A402" t="s">
        <v>42</v>
      </c>
      <c r="B402" t="s">
        <v>28</v>
      </c>
      <c r="C402">
        <v>175</v>
      </c>
      <c r="D402">
        <v>75</v>
      </c>
      <c r="E402" t="s">
        <v>13</v>
      </c>
      <c r="F402" t="s">
        <v>170</v>
      </c>
      <c r="G402">
        <v>368.51</v>
      </c>
      <c r="H402" t="s">
        <v>26</v>
      </c>
      <c r="I402" s="2">
        <v>45047</v>
      </c>
      <c r="J402" s="2">
        <v>45107</v>
      </c>
      <c r="K402" t="s">
        <v>172</v>
      </c>
    </row>
    <row r="403" spans="1:11" x14ac:dyDescent="0.25">
      <c r="A403" t="s">
        <v>60</v>
      </c>
      <c r="B403" t="s">
        <v>28</v>
      </c>
      <c r="C403">
        <v>132</v>
      </c>
      <c r="D403">
        <v>28</v>
      </c>
      <c r="E403" t="s">
        <v>13</v>
      </c>
      <c r="F403" t="s">
        <v>170</v>
      </c>
      <c r="G403">
        <v>71.290000000000006</v>
      </c>
      <c r="H403" t="s">
        <v>26</v>
      </c>
      <c r="I403" s="2">
        <v>45182</v>
      </c>
      <c r="J403" s="2">
        <v>45250</v>
      </c>
    </row>
    <row r="404" spans="1:11" x14ac:dyDescent="0.25">
      <c r="A404" t="s">
        <v>57</v>
      </c>
      <c r="B404" t="s">
        <v>28</v>
      </c>
      <c r="C404">
        <v>66</v>
      </c>
      <c r="D404">
        <v>90</v>
      </c>
      <c r="E404" t="s">
        <v>19</v>
      </c>
      <c r="F404" t="s">
        <v>173</v>
      </c>
      <c r="G404">
        <v>16.88</v>
      </c>
      <c r="H404" t="s">
        <v>20</v>
      </c>
      <c r="I404" s="2">
        <v>45120</v>
      </c>
      <c r="J404" s="2">
        <v>45153</v>
      </c>
      <c r="K404" t="s">
        <v>21</v>
      </c>
    </row>
    <row r="405" spans="1:11" x14ac:dyDescent="0.25">
      <c r="A405" t="s">
        <v>49</v>
      </c>
      <c r="B405" t="s">
        <v>12</v>
      </c>
      <c r="C405">
        <v>189</v>
      </c>
      <c r="D405">
        <v>21</v>
      </c>
      <c r="E405" t="s">
        <v>13</v>
      </c>
      <c r="F405" t="s">
        <v>170</v>
      </c>
      <c r="G405">
        <v>206.95</v>
      </c>
      <c r="H405" t="s">
        <v>14</v>
      </c>
      <c r="I405" s="2">
        <v>45027</v>
      </c>
      <c r="J405" s="2">
        <v>45078</v>
      </c>
      <c r="K405" t="s">
        <v>21</v>
      </c>
    </row>
    <row r="406" spans="1:11" x14ac:dyDescent="0.25">
      <c r="A406" t="s">
        <v>35</v>
      </c>
      <c r="B406" t="s">
        <v>30</v>
      </c>
      <c r="C406">
        <v>22</v>
      </c>
      <c r="D406">
        <v>38</v>
      </c>
      <c r="E406" t="s">
        <v>19</v>
      </c>
      <c r="F406" t="s">
        <v>171</v>
      </c>
      <c r="G406">
        <v>480.48</v>
      </c>
      <c r="H406" t="s">
        <v>14</v>
      </c>
      <c r="I406" s="2">
        <v>45106</v>
      </c>
      <c r="J406" s="2">
        <v>45141</v>
      </c>
    </row>
    <row r="407" spans="1:11" x14ac:dyDescent="0.25">
      <c r="A407" t="s">
        <v>15</v>
      </c>
      <c r="B407" t="s">
        <v>16</v>
      </c>
      <c r="C407">
        <v>60</v>
      </c>
      <c r="D407">
        <v>34</v>
      </c>
      <c r="E407" t="s">
        <v>13</v>
      </c>
      <c r="F407" t="s">
        <v>173</v>
      </c>
      <c r="G407">
        <v>348.98</v>
      </c>
      <c r="H407" t="s">
        <v>20</v>
      </c>
      <c r="I407" s="2">
        <v>45045</v>
      </c>
      <c r="J407" s="2">
        <v>45072</v>
      </c>
      <c r="K407" t="s">
        <v>17</v>
      </c>
    </row>
    <row r="408" spans="1:11" x14ac:dyDescent="0.25">
      <c r="A408" t="s">
        <v>15</v>
      </c>
      <c r="B408" t="s">
        <v>23</v>
      </c>
      <c r="C408">
        <v>21</v>
      </c>
      <c r="D408">
        <v>40</v>
      </c>
      <c r="E408" t="s">
        <v>19</v>
      </c>
      <c r="F408" t="s">
        <v>170</v>
      </c>
      <c r="G408">
        <v>305.08999999999997</v>
      </c>
      <c r="H408" t="s">
        <v>26</v>
      </c>
      <c r="I408" s="2">
        <v>45049</v>
      </c>
      <c r="J408" s="2">
        <v>45102</v>
      </c>
    </row>
    <row r="409" spans="1:11" x14ac:dyDescent="0.25">
      <c r="A409" t="s">
        <v>46</v>
      </c>
      <c r="B409" t="s">
        <v>30</v>
      </c>
      <c r="C409">
        <v>83</v>
      </c>
      <c r="D409">
        <v>29</v>
      </c>
      <c r="E409" t="s">
        <v>13</v>
      </c>
      <c r="F409" t="s">
        <v>173</v>
      </c>
      <c r="G409">
        <v>340.65</v>
      </c>
      <c r="H409" t="s">
        <v>14</v>
      </c>
      <c r="I409" s="2">
        <v>44993</v>
      </c>
      <c r="J409" s="2">
        <v>45056</v>
      </c>
      <c r="K409" t="s">
        <v>21</v>
      </c>
    </row>
    <row r="410" spans="1:11" x14ac:dyDescent="0.25">
      <c r="A410" t="s">
        <v>70</v>
      </c>
      <c r="B410" t="s">
        <v>23</v>
      </c>
      <c r="C410">
        <v>22</v>
      </c>
      <c r="D410">
        <v>84</v>
      </c>
      <c r="E410" t="s">
        <v>19</v>
      </c>
      <c r="F410" t="s">
        <v>170</v>
      </c>
      <c r="G410">
        <v>454.05</v>
      </c>
      <c r="H410" t="s">
        <v>26</v>
      </c>
      <c r="I410" s="2">
        <v>45191</v>
      </c>
      <c r="J410" s="2">
        <v>45275</v>
      </c>
      <c r="K410" t="s">
        <v>21</v>
      </c>
    </row>
    <row r="411" spans="1:11" x14ac:dyDescent="0.25">
      <c r="A411" t="s">
        <v>45</v>
      </c>
      <c r="B411" t="s">
        <v>28</v>
      </c>
      <c r="C411">
        <v>128</v>
      </c>
      <c r="D411">
        <v>22</v>
      </c>
      <c r="E411" t="s">
        <v>13</v>
      </c>
      <c r="F411" t="s">
        <v>170</v>
      </c>
      <c r="G411">
        <v>92.87</v>
      </c>
      <c r="H411" t="s">
        <v>26</v>
      </c>
      <c r="I411" s="2">
        <v>45251</v>
      </c>
      <c r="J411" s="2">
        <v>45290</v>
      </c>
      <c r="K411" t="s">
        <v>17</v>
      </c>
    </row>
    <row r="412" spans="1:11" x14ac:dyDescent="0.25">
      <c r="A412" t="s">
        <v>72</v>
      </c>
      <c r="B412" t="s">
        <v>30</v>
      </c>
      <c r="C412">
        <v>173</v>
      </c>
      <c r="D412">
        <v>80</v>
      </c>
      <c r="E412" t="s">
        <v>13</v>
      </c>
      <c r="F412" t="s">
        <v>170</v>
      </c>
      <c r="G412">
        <v>331.12</v>
      </c>
      <c r="H412" t="s">
        <v>20</v>
      </c>
      <c r="I412" s="2">
        <v>45163</v>
      </c>
      <c r="J412" s="2">
        <v>45243</v>
      </c>
      <c r="K412" t="s">
        <v>21</v>
      </c>
    </row>
    <row r="413" spans="1:11" x14ac:dyDescent="0.25">
      <c r="A413" t="s">
        <v>31</v>
      </c>
      <c r="B413" t="s">
        <v>28</v>
      </c>
      <c r="C413">
        <v>174</v>
      </c>
      <c r="D413">
        <v>35</v>
      </c>
      <c r="E413" t="s">
        <v>13</v>
      </c>
      <c r="F413" t="s">
        <v>170</v>
      </c>
      <c r="G413">
        <v>169.98</v>
      </c>
      <c r="H413" t="s">
        <v>20</v>
      </c>
      <c r="I413" s="2">
        <v>45005</v>
      </c>
      <c r="J413" s="2">
        <v>45069</v>
      </c>
      <c r="K413" t="s">
        <v>21</v>
      </c>
    </row>
    <row r="414" spans="1:11" x14ac:dyDescent="0.25">
      <c r="A414" t="s">
        <v>53</v>
      </c>
      <c r="B414" t="s">
        <v>23</v>
      </c>
      <c r="C414">
        <v>78</v>
      </c>
      <c r="D414">
        <v>28</v>
      </c>
      <c r="E414" t="s">
        <v>13</v>
      </c>
      <c r="F414" t="s">
        <v>170</v>
      </c>
      <c r="G414">
        <v>141.29</v>
      </c>
      <c r="H414" t="s">
        <v>20</v>
      </c>
      <c r="I414" s="2">
        <v>45046</v>
      </c>
      <c r="J414" s="2">
        <v>45089</v>
      </c>
    </row>
    <row r="415" spans="1:11" x14ac:dyDescent="0.25">
      <c r="A415" t="s">
        <v>25</v>
      </c>
      <c r="B415" t="s">
        <v>30</v>
      </c>
      <c r="C415">
        <v>179</v>
      </c>
      <c r="D415">
        <v>21</v>
      </c>
      <c r="E415" t="s">
        <v>13</v>
      </c>
      <c r="F415" t="s">
        <v>170</v>
      </c>
      <c r="G415">
        <v>141.22999999999999</v>
      </c>
      <c r="H415" t="s">
        <v>20</v>
      </c>
      <c r="I415" s="2">
        <v>45094</v>
      </c>
      <c r="J415" s="2">
        <v>45141</v>
      </c>
      <c r="K415" t="s">
        <v>172</v>
      </c>
    </row>
    <row r="416" spans="1:11" x14ac:dyDescent="0.25">
      <c r="A416" t="s">
        <v>47</v>
      </c>
      <c r="B416" t="s">
        <v>28</v>
      </c>
      <c r="C416">
        <v>156</v>
      </c>
      <c r="D416">
        <v>43</v>
      </c>
      <c r="E416" t="s">
        <v>13</v>
      </c>
      <c r="F416" t="s">
        <v>171</v>
      </c>
      <c r="G416">
        <v>193.68</v>
      </c>
      <c r="H416" t="s">
        <v>20</v>
      </c>
      <c r="I416" s="2">
        <v>45258</v>
      </c>
      <c r="J416" s="2">
        <v>45280</v>
      </c>
      <c r="K416" t="s">
        <v>21</v>
      </c>
    </row>
    <row r="417" spans="1:11" x14ac:dyDescent="0.25">
      <c r="A417" t="s">
        <v>18</v>
      </c>
      <c r="B417" t="s">
        <v>28</v>
      </c>
      <c r="C417">
        <v>190</v>
      </c>
      <c r="D417">
        <v>53</v>
      </c>
      <c r="E417" t="s">
        <v>13</v>
      </c>
      <c r="F417" t="s">
        <v>170</v>
      </c>
      <c r="G417">
        <v>19.809999999999999</v>
      </c>
      <c r="H417" t="s">
        <v>14</v>
      </c>
      <c r="I417" s="2">
        <v>45242</v>
      </c>
      <c r="J417" s="2">
        <v>45275</v>
      </c>
    </row>
    <row r="418" spans="1:11" x14ac:dyDescent="0.25">
      <c r="A418" t="s">
        <v>53</v>
      </c>
      <c r="B418" t="s">
        <v>30</v>
      </c>
      <c r="C418">
        <v>85</v>
      </c>
      <c r="D418">
        <v>68</v>
      </c>
      <c r="E418" t="s">
        <v>13</v>
      </c>
      <c r="F418" t="s">
        <v>171</v>
      </c>
      <c r="G418">
        <v>256.87</v>
      </c>
      <c r="H418" t="s">
        <v>26</v>
      </c>
      <c r="I418" s="2">
        <v>45179</v>
      </c>
      <c r="J418" s="2">
        <v>45207</v>
      </c>
      <c r="K418" t="s">
        <v>172</v>
      </c>
    </row>
    <row r="419" spans="1:11" x14ac:dyDescent="0.25">
      <c r="A419" t="s">
        <v>11</v>
      </c>
      <c r="B419" t="s">
        <v>12</v>
      </c>
      <c r="C419">
        <v>47</v>
      </c>
      <c r="D419">
        <v>63</v>
      </c>
      <c r="E419" t="s">
        <v>19</v>
      </c>
      <c r="F419" t="s">
        <v>173</v>
      </c>
      <c r="G419">
        <v>337.9</v>
      </c>
      <c r="H419" t="s">
        <v>20</v>
      </c>
      <c r="I419" s="2">
        <v>45200</v>
      </c>
      <c r="J419" s="2">
        <v>45221</v>
      </c>
      <c r="K419" t="s">
        <v>21</v>
      </c>
    </row>
    <row r="420" spans="1:11" x14ac:dyDescent="0.25">
      <c r="A420" t="s">
        <v>63</v>
      </c>
      <c r="B420" t="s">
        <v>23</v>
      </c>
      <c r="C420">
        <v>81</v>
      </c>
      <c r="D420">
        <v>25</v>
      </c>
      <c r="E420" t="s">
        <v>13</v>
      </c>
      <c r="F420" t="s">
        <v>173</v>
      </c>
      <c r="G420">
        <v>105.46</v>
      </c>
      <c r="H420" t="s">
        <v>20</v>
      </c>
      <c r="I420" s="2">
        <v>45019</v>
      </c>
      <c r="J420" s="2">
        <v>45050</v>
      </c>
      <c r="K420" t="s">
        <v>21</v>
      </c>
    </row>
    <row r="421" spans="1:11" x14ac:dyDescent="0.25">
      <c r="A421" t="s">
        <v>46</v>
      </c>
      <c r="B421" t="s">
        <v>28</v>
      </c>
      <c r="C421">
        <v>110</v>
      </c>
      <c r="D421">
        <v>99</v>
      </c>
      <c r="E421" t="s">
        <v>13</v>
      </c>
      <c r="F421" t="s">
        <v>171</v>
      </c>
      <c r="G421">
        <v>56.72</v>
      </c>
      <c r="H421" t="s">
        <v>26</v>
      </c>
      <c r="I421" s="2">
        <v>45218</v>
      </c>
      <c r="J421" s="2">
        <v>45263</v>
      </c>
    </row>
    <row r="422" spans="1:11" x14ac:dyDescent="0.25">
      <c r="A422" t="s">
        <v>59</v>
      </c>
      <c r="B422" t="s">
        <v>16</v>
      </c>
      <c r="C422">
        <v>153</v>
      </c>
      <c r="D422">
        <v>39</v>
      </c>
      <c r="E422" t="s">
        <v>13</v>
      </c>
      <c r="F422" t="s">
        <v>173</v>
      </c>
      <c r="G422">
        <v>440.55</v>
      </c>
      <c r="H422" t="s">
        <v>26</v>
      </c>
      <c r="I422" s="2">
        <v>45027</v>
      </c>
      <c r="J422" s="2">
        <v>45108</v>
      </c>
      <c r="K422" t="s">
        <v>21</v>
      </c>
    </row>
    <row r="423" spans="1:11" x14ac:dyDescent="0.25">
      <c r="A423" t="s">
        <v>40</v>
      </c>
      <c r="B423" t="s">
        <v>23</v>
      </c>
      <c r="C423">
        <v>121</v>
      </c>
      <c r="D423">
        <v>37</v>
      </c>
      <c r="E423" t="s">
        <v>13</v>
      </c>
      <c r="F423" t="s">
        <v>170</v>
      </c>
      <c r="G423">
        <v>442.33</v>
      </c>
      <c r="H423" t="s">
        <v>26</v>
      </c>
      <c r="I423" s="2">
        <v>45181</v>
      </c>
      <c r="J423" s="2">
        <v>45199</v>
      </c>
      <c r="K423" t="s">
        <v>17</v>
      </c>
    </row>
    <row r="424" spans="1:11" x14ac:dyDescent="0.25">
      <c r="A424" t="s">
        <v>48</v>
      </c>
      <c r="B424" t="s">
        <v>16</v>
      </c>
      <c r="C424">
        <v>183</v>
      </c>
      <c r="D424">
        <v>21</v>
      </c>
      <c r="E424" t="s">
        <v>13</v>
      </c>
      <c r="F424" t="s">
        <v>170</v>
      </c>
      <c r="G424">
        <v>337.42</v>
      </c>
      <c r="H424" t="s">
        <v>20</v>
      </c>
      <c r="I424" s="2">
        <v>45125</v>
      </c>
      <c r="J424" s="2">
        <v>45153</v>
      </c>
      <c r="K424" t="s">
        <v>21</v>
      </c>
    </row>
    <row r="425" spans="1:11" x14ac:dyDescent="0.25">
      <c r="A425" t="s">
        <v>53</v>
      </c>
      <c r="B425" t="s">
        <v>28</v>
      </c>
      <c r="C425">
        <v>80</v>
      </c>
      <c r="D425">
        <v>99</v>
      </c>
      <c r="E425" t="s">
        <v>19</v>
      </c>
      <c r="F425" t="s">
        <v>173</v>
      </c>
      <c r="G425">
        <v>376.87</v>
      </c>
      <c r="H425" t="s">
        <v>26</v>
      </c>
      <c r="I425" s="2">
        <v>45020</v>
      </c>
      <c r="J425" s="2">
        <v>45044</v>
      </c>
      <c r="K425" t="s">
        <v>21</v>
      </c>
    </row>
    <row r="426" spans="1:11" x14ac:dyDescent="0.25">
      <c r="A426" t="s">
        <v>63</v>
      </c>
      <c r="B426" t="s">
        <v>12</v>
      </c>
      <c r="C426">
        <v>87</v>
      </c>
      <c r="D426">
        <v>68</v>
      </c>
      <c r="E426" t="s">
        <v>13</v>
      </c>
      <c r="F426" t="s">
        <v>173</v>
      </c>
      <c r="G426">
        <v>196.48</v>
      </c>
      <c r="H426" t="s">
        <v>26</v>
      </c>
      <c r="I426" s="2">
        <v>45157</v>
      </c>
      <c r="J426" s="2">
        <v>45212</v>
      </c>
      <c r="K426" t="s">
        <v>17</v>
      </c>
    </row>
    <row r="427" spans="1:11" x14ac:dyDescent="0.25">
      <c r="A427" t="s">
        <v>61</v>
      </c>
      <c r="B427" t="s">
        <v>12</v>
      </c>
      <c r="C427">
        <v>88</v>
      </c>
      <c r="D427">
        <v>44</v>
      </c>
      <c r="E427" t="s">
        <v>13</v>
      </c>
      <c r="F427" t="s">
        <v>170</v>
      </c>
      <c r="G427">
        <v>49.76</v>
      </c>
      <c r="H427" t="s">
        <v>14</v>
      </c>
      <c r="I427" s="2">
        <v>44958</v>
      </c>
      <c r="J427" s="2">
        <v>44976</v>
      </c>
      <c r="K427" t="s">
        <v>172</v>
      </c>
    </row>
    <row r="428" spans="1:11" x14ac:dyDescent="0.25">
      <c r="A428" t="s">
        <v>11</v>
      </c>
      <c r="B428" t="s">
        <v>16</v>
      </c>
      <c r="C428">
        <v>153</v>
      </c>
      <c r="D428">
        <v>22</v>
      </c>
      <c r="E428" t="s">
        <v>13</v>
      </c>
      <c r="F428" t="s">
        <v>173</v>
      </c>
      <c r="G428">
        <v>276.67</v>
      </c>
      <c r="H428" t="s">
        <v>26</v>
      </c>
      <c r="I428" s="2">
        <v>45066</v>
      </c>
      <c r="J428" s="2">
        <v>45090</v>
      </c>
      <c r="K428" t="s">
        <v>172</v>
      </c>
    </row>
    <row r="429" spans="1:11" x14ac:dyDescent="0.25">
      <c r="A429" t="s">
        <v>51</v>
      </c>
      <c r="B429" t="s">
        <v>28</v>
      </c>
      <c r="C429">
        <v>189</v>
      </c>
      <c r="D429">
        <v>42</v>
      </c>
      <c r="E429" t="s">
        <v>13</v>
      </c>
      <c r="F429" t="s">
        <v>171</v>
      </c>
      <c r="G429">
        <v>270.20999999999998</v>
      </c>
      <c r="H429" t="s">
        <v>14</v>
      </c>
      <c r="I429" s="2">
        <v>45044</v>
      </c>
      <c r="J429" s="2">
        <v>45093</v>
      </c>
      <c r="K429" t="s">
        <v>17</v>
      </c>
    </row>
    <row r="430" spans="1:11" x14ac:dyDescent="0.25">
      <c r="A430" t="s">
        <v>39</v>
      </c>
      <c r="B430" t="s">
        <v>23</v>
      </c>
      <c r="C430">
        <v>23</v>
      </c>
      <c r="D430">
        <v>37</v>
      </c>
      <c r="E430" t="s">
        <v>19</v>
      </c>
      <c r="F430" t="s">
        <v>171</v>
      </c>
      <c r="G430">
        <v>277.08999999999997</v>
      </c>
      <c r="H430" t="s">
        <v>14</v>
      </c>
      <c r="I430" s="2">
        <v>45194</v>
      </c>
      <c r="J430" s="2">
        <v>45264</v>
      </c>
      <c r="K430" t="s">
        <v>17</v>
      </c>
    </row>
    <row r="431" spans="1:11" x14ac:dyDescent="0.25">
      <c r="A431" t="s">
        <v>31</v>
      </c>
      <c r="B431" t="s">
        <v>23</v>
      </c>
      <c r="C431">
        <v>80</v>
      </c>
      <c r="D431">
        <v>39</v>
      </c>
      <c r="E431" t="s">
        <v>13</v>
      </c>
      <c r="F431" t="s">
        <v>171</v>
      </c>
      <c r="G431">
        <v>57.95</v>
      </c>
      <c r="H431" t="s">
        <v>20</v>
      </c>
      <c r="I431" s="2">
        <v>45121</v>
      </c>
      <c r="J431" s="2">
        <v>45202</v>
      </c>
      <c r="K431" t="s">
        <v>17</v>
      </c>
    </row>
    <row r="432" spans="1:11" x14ac:dyDescent="0.25">
      <c r="A432" t="s">
        <v>24</v>
      </c>
      <c r="B432" t="s">
        <v>28</v>
      </c>
      <c r="C432">
        <v>184</v>
      </c>
      <c r="D432">
        <v>28</v>
      </c>
      <c r="E432" t="s">
        <v>13</v>
      </c>
      <c r="F432" t="s">
        <v>173</v>
      </c>
      <c r="G432">
        <v>122.28</v>
      </c>
      <c r="H432" t="s">
        <v>26</v>
      </c>
      <c r="I432" s="2">
        <v>45172</v>
      </c>
      <c r="J432" s="2">
        <v>45234</v>
      </c>
      <c r="K432" t="s">
        <v>172</v>
      </c>
    </row>
    <row r="433" spans="1:11" x14ac:dyDescent="0.25">
      <c r="A433" t="s">
        <v>72</v>
      </c>
      <c r="B433" t="s">
        <v>28</v>
      </c>
      <c r="C433">
        <v>30</v>
      </c>
      <c r="D433">
        <v>95</v>
      </c>
      <c r="E433" t="s">
        <v>19</v>
      </c>
      <c r="F433" t="s">
        <v>173</v>
      </c>
      <c r="G433">
        <v>213.98</v>
      </c>
      <c r="H433" t="s">
        <v>20</v>
      </c>
      <c r="I433" s="2">
        <v>45015</v>
      </c>
      <c r="J433" s="2">
        <v>45051</v>
      </c>
      <c r="K433" t="s">
        <v>17</v>
      </c>
    </row>
    <row r="434" spans="1:11" x14ac:dyDescent="0.25">
      <c r="A434" t="s">
        <v>40</v>
      </c>
      <c r="B434" t="s">
        <v>30</v>
      </c>
      <c r="C434">
        <v>137</v>
      </c>
      <c r="D434">
        <v>49</v>
      </c>
      <c r="E434" t="s">
        <v>13</v>
      </c>
      <c r="F434" t="s">
        <v>173</v>
      </c>
      <c r="G434">
        <v>40.299999999999997</v>
      </c>
      <c r="H434" t="s">
        <v>20</v>
      </c>
      <c r="I434" s="2">
        <v>45125</v>
      </c>
      <c r="J434" s="2">
        <v>45141</v>
      </c>
    </row>
    <row r="435" spans="1:11" x14ac:dyDescent="0.25">
      <c r="A435" t="s">
        <v>45</v>
      </c>
      <c r="B435" t="s">
        <v>12</v>
      </c>
      <c r="C435">
        <v>44</v>
      </c>
      <c r="D435">
        <v>97</v>
      </c>
      <c r="E435" t="s">
        <v>19</v>
      </c>
      <c r="F435" t="s">
        <v>173</v>
      </c>
      <c r="G435">
        <v>106.6</v>
      </c>
      <c r="H435" t="s">
        <v>14</v>
      </c>
      <c r="I435" s="2">
        <v>45080</v>
      </c>
      <c r="J435" s="2">
        <v>45096</v>
      </c>
    </row>
    <row r="436" spans="1:11" x14ac:dyDescent="0.25">
      <c r="A436" t="s">
        <v>51</v>
      </c>
      <c r="B436" t="s">
        <v>30</v>
      </c>
      <c r="C436">
        <v>58</v>
      </c>
      <c r="D436">
        <v>75</v>
      </c>
      <c r="E436" t="s">
        <v>19</v>
      </c>
      <c r="F436" t="s">
        <v>173</v>
      </c>
      <c r="G436">
        <v>442.98</v>
      </c>
      <c r="H436" t="s">
        <v>20</v>
      </c>
      <c r="I436" s="2">
        <v>45075</v>
      </c>
      <c r="J436" s="2">
        <v>45115</v>
      </c>
      <c r="K436" t="s">
        <v>172</v>
      </c>
    </row>
    <row r="437" spans="1:11" x14ac:dyDescent="0.25">
      <c r="A437" t="s">
        <v>45</v>
      </c>
      <c r="B437" t="s">
        <v>16</v>
      </c>
      <c r="C437">
        <v>181</v>
      </c>
      <c r="D437">
        <v>78</v>
      </c>
      <c r="E437" t="s">
        <v>13</v>
      </c>
      <c r="F437" t="s">
        <v>170</v>
      </c>
      <c r="G437">
        <v>175.29</v>
      </c>
      <c r="H437" t="s">
        <v>26</v>
      </c>
      <c r="I437" s="2">
        <v>45040</v>
      </c>
      <c r="J437" s="2">
        <v>45084</v>
      </c>
      <c r="K437" t="s">
        <v>172</v>
      </c>
    </row>
    <row r="438" spans="1:11" x14ac:dyDescent="0.25">
      <c r="A438" t="s">
        <v>33</v>
      </c>
      <c r="B438" t="s">
        <v>23</v>
      </c>
      <c r="C438">
        <v>199</v>
      </c>
      <c r="D438">
        <v>46</v>
      </c>
      <c r="E438" t="s">
        <v>13</v>
      </c>
      <c r="F438" t="s">
        <v>171</v>
      </c>
      <c r="G438">
        <v>247.85</v>
      </c>
      <c r="H438" t="s">
        <v>14</v>
      </c>
      <c r="I438" s="2">
        <v>45010</v>
      </c>
      <c r="J438" s="2">
        <v>45073</v>
      </c>
    </row>
    <row r="439" spans="1:11" x14ac:dyDescent="0.25">
      <c r="A439" t="s">
        <v>31</v>
      </c>
      <c r="B439" t="s">
        <v>28</v>
      </c>
      <c r="C439">
        <v>37</v>
      </c>
      <c r="D439">
        <v>85</v>
      </c>
      <c r="E439" t="s">
        <v>19</v>
      </c>
      <c r="F439" t="s">
        <v>173</v>
      </c>
      <c r="G439">
        <v>197.27</v>
      </c>
      <c r="H439" t="s">
        <v>20</v>
      </c>
      <c r="I439" s="2">
        <v>45116</v>
      </c>
      <c r="J439" s="2">
        <v>45180</v>
      </c>
    </row>
    <row r="440" spans="1:11" x14ac:dyDescent="0.25">
      <c r="A440" t="s">
        <v>67</v>
      </c>
      <c r="B440" t="s">
        <v>30</v>
      </c>
      <c r="C440">
        <v>174</v>
      </c>
      <c r="D440">
        <v>50</v>
      </c>
      <c r="E440" t="s">
        <v>13</v>
      </c>
      <c r="F440" t="s">
        <v>170</v>
      </c>
      <c r="G440">
        <v>58.1</v>
      </c>
      <c r="H440" t="s">
        <v>26</v>
      </c>
      <c r="I440" s="2">
        <v>45168</v>
      </c>
      <c r="J440" s="2">
        <v>45216</v>
      </c>
      <c r="K440" t="s">
        <v>172</v>
      </c>
    </row>
    <row r="441" spans="1:11" x14ac:dyDescent="0.25">
      <c r="A441" t="s">
        <v>61</v>
      </c>
      <c r="B441" t="s">
        <v>23</v>
      </c>
      <c r="C441">
        <v>7</v>
      </c>
      <c r="D441">
        <v>28</v>
      </c>
      <c r="E441" t="s">
        <v>19</v>
      </c>
      <c r="F441" t="s">
        <v>170</v>
      </c>
      <c r="G441">
        <v>383.1</v>
      </c>
      <c r="H441" t="s">
        <v>14</v>
      </c>
      <c r="I441" s="2">
        <v>44966</v>
      </c>
      <c r="J441" s="2">
        <v>45001</v>
      </c>
      <c r="K441" t="s">
        <v>172</v>
      </c>
    </row>
    <row r="442" spans="1:11" x14ac:dyDescent="0.25">
      <c r="A442" t="s">
        <v>68</v>
      </c>
      <c r="B442" t="s">
        <v>12</v>
      </c>
      <c r="C442">
        <v>83</v>
      </c>
      <c r="D442">
        <v>97</v>
      </c>
      <c r="E442" t="s">
        <v>19</v>
      </c>
      <c r="F442" t="s">
        <v>171</v>
      </c>
      <c r="G442">
        <v>281.25</v>
      </c>
      <c r="H442" t="s">
        <v>20</v>
      </c>
      <c r="I442" s="2">
        <v>45065</v>
      </c>
      <c r="J442" s="2">
        <v>45098</v>
      </c>
      <c r="K442" t="s">
        <v>172</v>
      </c>
    </row>
    <row r="443" spans="1:11" x14ac:dyDescent="0.25">
      <c r="A443" t="s">
        <v>18</v>
      </c>
      <c r="B443" t="s">
        <v>30</v>
      </c>
      <c r="C443">
        <v>108</v>
      </c>
      <c r="D443">
        <v>80</v>
      </c>
      <c r="E443" t="s">
        <v>13</v>
      </c>
      <c r="F443" t="s">
        <v>171</v>
      </c>
      <c r="G443">
        <v>135.72999999999999</v>
      </c>
      <c r="H443" t="s">
        <v>26</v>
      </c>
      <c r="I443" s="2">
        <v>45166</v>
      </c>
      <c r="J443" s="2">
        <v>45226</v>
      </c>
    </row>
    <row r="444" spans="1:11" x14ac:dyDescent="0.25">
      <c r="A444" t="s">
        <v>29</v>
      </c>
      <c r="B444" t="s">
        <v>30</v>
      </c>
      <c r="C444">
        <v>66</v>
      </c>
      <c r="D444">
        <v>97</v>
      </c>
      <c r="E444" t="s">
        <v>19</v>
      </c>
      <c r="F444" t="s">
        <v>171</v>
      </c>
      <c r="G444">
        <v>314.57</v>
      </c>
      <c r="H444" t="s">
        <v>14</v>
      </c>
      <c r="I444" s="2">
        <v>44967</v>
      </c>
      <c r="J444" s="2">
        <v>45045</v>
      </c>
    </row>
    <row r="445" spans="1:11" x14ac:dyDescent="0.25">
      <c r="A445" t="s">
        <v>24</v>
      </c>
      <c r="B445" t="s">
        <v>12</v>
      </c>
      <c r="C445">
        <v>177</v>
      </c>
      <c r="D445">
        <v>39</v>
      </c>
      <c r="E445" t="s">
        <v>13</v>
      </c>
      <c r="F445" t="s">
        <v>171</v>
      </c>
      <c r="G445">
        <v>313.83999999999997</v>
      </c>
      <c r="H445" t="s">
        <v>26</v>
      </c>
      <c r="I445" s="2">
        <v>44947</v>
      </c>
      <c r="J445" s="2">
        <v>44970</v>
      </c>
      <c r="K445" t="s">
        <v>172</v>
      </c>
    </row>
    <row r="446" spans="1:11" x14ac:dyDescent="0.25">
      <c r="A446" t="s">
        <v>56</v>
      </c>
      <c r="B446" t="s">
        <v>23</v>
      </c>
      <c r="C446">
        <v>83</v>
      </c>
      <c r="D446">
        <v>42</v>
      </c>
      <c r="E446" t="s">
        <v>13</v>
      </c>
      <c r="F446" t="s">
        <v>170</v>
      </c>
      <c r="G446">
        <v>241.4</v>
      </c>
      <c r="H446" t="s">
        <v>26</v>
      </c>
      <c r="I446" s="2">
        <v>45284</v>
      </c>
      <c r="J446" s="2">
        <v>45346</v>
      </c>
    </row>
    <row r="447" spans="1:11" x14ac:dyDescent="0.25">
      <c r="A447" t="s">
        <v>69</v>
      </c>
      <c r="B447" t="s">
        <v>23</v>
      </c>
      <c r="C447">
        <v>109</v>
      </c>
      <c r="D447">
        <v>81</v>
      </c>
      <c r="E447" t="s">
        <v>13</v>
      </c>
      <c r="F447" t="s">
        <v>173</v>
      </c>
      <c r="G447">
        <v>207.83</v>
      </c>
      <c r="H447" t="s">
        <v>14</v>
      </c>
      <c r="I447" s="2">
        <v>45176</v>
      </c>
      <c r="J447" s="2">
        <v>45202</v>
      </c>
      <c r="K447" t="s">
        <v>172</v>
      </c>
    </row>
    <row r="448" spans="1:11" x14ac:dyDescent="0.25">
      <c r="A448" t="s">
        <v>42</v>
      </c>
      <c r="B448" t="s">
        <v>28</v>
      </c>
      <c r="C448">
        <v>117</v>
      </c>
      <c r="D448">
        <v>87</v>
      </c>
      <c r="E448" t="s">
        <v>13</v>
      </c>
      <c r="F448" t="s">
        <v>173</v>
      </c>
      <c r="G448">
        <v>370.3</v>
      </c>
      <c r="H448" t="s">
        <v>14</v>
      </c>
      <c r="I448" s="2">
        <v>45286</v>
      </c>
      <c r="J448" s="2">
        <v>45335</v>
      </c>
      <c r="K448" t="s">
        <v>172</v>
      </c>
    </row>
    <row r="449" spans="1:11" x14ac:dyDescent="0.25">
      <c r="A449" t="s">
        <v>69</v>
      </c>
      <c r="B449" t="s">
        <v>28</v>
      </c>
      <c r="C449">
        <v>145</v>
      </c>
      <c r="D449">
        <v>96</v>
      </c>
      <c r="E449" t="s">
        <v>13</v>
      </c>
      <c r="F449" t="s">
        <v>170</v>
      </c>
      <c r="G449">
        <v>216.45</v>
      </c>
      <c r="H449" t="s">
        <v>14</v>
      </c>
      <c r="I449" s="2">
        <v>45010</v>
      </c>
      <c r="J449" s="2">
        <v>45047</v>
      </c>
      <c r="K449" t="s">
        <v>21</v>
      </c>
    </row>
    <row r="450" spans="1:11" x14ac:dyDescent="0.25">
      <c r="A450" t="s">
        <v>53</v>
      </c>
      <c r="B450" t="s">
        <v>12</v>
      </c>
      <c r="C450">
        <v>102</v>
      </c>
      <c r="D450">
        <v>93</v>
      </c>
      <c r="E450" t="s">
        <v>13</v>
      </c>
      <c r="F450" t="s">
        <v>171</v>
      </c>
      <c r="G450">
        <v>412.37</v>
      </c>
      <c r="H450" t="s">
        <v>20</v>
      </c>
      <c r="I450" s="2">
        <v>45126</v>
      </c>
      <c r="J450" s="2">
        <v>45180</v>
      </c>
      <c r="K450" t="s">
        <v>21</v>
      </c>
    </row>
    <row r="451" spans="1:11" x14ac:dyDescent="0.25">
      <c r="A451" t="s">
        <v>37</v>
      </c>
      <c r="B451" t="s">
        <v>12</v>
      </c>
      <c r="C451">
        <v>116</v>
      </c>
      <c r="D451">
        <v>57</v>
      </c>
      <c r="E451" t="s">
        <v>13</v>
      </c>
      <c r="F451" t="s">
        <v>170</v>
      </c>
      <c r="G451">
        <v>205.25</v>
      </c>
      <c r="H451" t="s">
        <v>14</v>
      </c>
      <c r="I451" s="2">
        <v>44936</v>
      </c>
      <c r="J451" s="2">
        <v>45018</v>
      </c>
      <c r="K451" t="s">
        <v>17</v>
      </c>
    </row>
    <row r="452" spans="1:11" x14ac:dyDescent="0.25">
      <c r="A452" t="s">
        <v>62</v>
      </c>
      <c r="B452" t="s">
        <v>23</v>
      </c>
      <c r="C452">
        <v>52</v>
      </c>
      <c r="D452">
        <v>39</v>
      </c>
      <c r="E452" t="s">
        <v>13</v>
      </c>
      <c r="F452" t="s">
        <v>171</v>
      </c>
      <c r="G452">
        <v>367.43</v>
      </c>
      <c r="H452" t="s">
        <v>20</v>
      </c>
      <c r="I452" s="2">
        <v>45084</v>
      </c>
      <c r="J452" s="2">
        <v>45154</v>
      </c>
      <c r="K452" t="s">
        <v>21</v>
      </c>
    </row>
    <row r="453" spans="1:11" x14ac:dyDescent="0.25">
      <c r="A453" t="s">
        <v>68</v>
      </c>
      <c r="B453" t="s">
        <v>16</v>
      </c>
      <c r="C453">
        <v>83</v>
      </c>
      <c r="D453">
        <v>57</v>
      </c>
      <c r="E453" t="s">
        <v>13</v>
      </c>
      <c r="F453" t="s">
        <v>170</v>
      </c>
      <c r="G453">
        <v>295.7</v>
      </c>
      <c r="H453" t="s">
        <v>14</v>
      </c>
      <c r="I453" s="2">
        <v>45136</v>
      </c>
      <c r="J453" s="2">
        <v>45190</v>
      </c>
    </row>
    <row r="454" spans="1:11" x14ac:dyDescent="0.25">
      <c r="A454" t="s">
        <v>36</v>
      </c>
      <c r="B454" t="s">
        <v>12</v>
      </c>
      <c r="C454">
        <v>185</v>
      </c>
      <c r="D454">
        <v>88</v>
      </c>
      <c r="E454" t="s">
        <v>13</v>
      </c>
      <c r="F454" t="s">
        <v>173</v>
      </c>
      <c r="G454">
        <v>232.52</v>
      </c>
      <c r="H454" t="s">
        <v>26</v>
      </c>
      <c r="I454" s="2">
        <v>45123</v>
      </c>
      <c r="J454" s="2">
        <v>45201</v>
      </c>
      <c r="K454" t="s">
        <v>172</v>
      </c>
    </row>
    <row r="455" spans="1:11" x14ac:dyDescent="0.25">
      <c r="A455" t="s">
        <v>40</v>
      </c>
      <c r="B455" t="s">
        <v>28</v>
      </c>
      <c r="C455">
        <v>103</v>
      </c>
      <c r="D455">
        <v>50</v>
      </c>
      <c r="E455" t="s">
        <v>13</v>
      </c>
      <c r="F455" t="s">
        <v>171</v>
      </c>
      <c r="G455">
        <v>392.62</v>
      </c>
      <c r="H455" t="s">
        <v>14</v>
      </c>
      <c r="I455" s="2">
        <v>44941</v>
      </c>
      <c r="J455" s="2">
        <v>44980</v>
      </c>
      <c r="K455" t="s">
        <v>21</v>
      </c>
    </row>
    <row r="456" spans="1:11" x14ac:dyDescent="0.25">
      <c r="A456" t="s">
        <v>37</v>
      </c>
      <c r="B456" t="s">
        <v>16</v>
      </c>
      <c r="C456">
        <v>126</v>
      </c>
      <c r="D456">
        <v>84</v>
      </c>
      <c r="E456" t="s">
        <v>13</v>
      </c>
      <c r="F456" t="s">
        <v>171</v>
      </c>
      <c r="G456">
        <v>54.92</v>
      </c>
      <c r="H456" t="s">
        <v>14</v>
      </c>
      <c r="I456" s="2">
        <v>45061</v>
      </c>
      <c r="J456" s="2">
        <v>45113</v>
      </c>
      <c r="K456" t="s">
        <v>21</v>
      </c>
    </row>
    <row r="457" spans="1:11" x14ac:dyDescent="0.25">
      <c r="A457" t="s">
        <v>34</v>
      </c>
      <c r="B457" t="s">
        <v>30</v>
      </c>
      <c r="C457">
        <v>1</v>
      </c>
      <c r="D457">
        <v>49</v>
      </c>
      <c r="E457" t="s">
        <v>19</v>
      </c>
      <c r="F457" t="s">
        <v>173</v>
      </c>
      <c r="G457">
        <v>203.89</v>
      </c>
      <c r="H457" t="s">
        <v>20</v>
      </c>
      <c r="I457" s="2">
        <v>45088</v>
      </c>
      <c r="J457" s="2">
        <v>45143</v>
      </c>
      <c r="K457" t="s">
        <v>172</v>
      </c>
    </row>
    <row r="458" spans="1:11" x14ac:dyDescent="0.25">
      <c r="A458" t="s">
        <v>55</v>
      </c>
      <c r="B458" t="s">
        <v>12</v>
      </c>
      <c r="C458">
        <v>114</v>
      </c>
      <c r="D458">
        <v>88</v>
      </c>
      <c r="E458" t="s">
        <v>13</v>
      </c>
      <c r="F458" t="s">
        <v>173</v>
      </c>
      <c r="G458">
        <v>49.04</v>
      </c>
      <c r="H458" t="s">
        <v>14</v>
      </c>
      <c r="I458" s="2">
        <v>45286</v>
      </c>
      <c r="J458" s="2">
        <v>45315</v>
      </c>
    </row>
    <row r="459" spans="1:11" x14ac:dyDescent="0.25">
      <c r="A459" t="s">
        <v>47</v>
      </c>
      <c r="B459" t="s">
        <v>12</v>
      </c>
      <c r="C459">
        <v>106</v>
      </c>
      <c r="D459">
        <v>94</v>
      </c>
      <c r="E459" t="s">
        <v>13</v>
      </c>
      <c r="F459" t="s">
        <v>170</v>
      </c>
      <c r="G459">
        <v>45.88</v>
      </c>
      <c r="H459" t="s">
        <v>26</v>
      </c>
      <c r="I459" s="2">
        <v>44928</v>
      </c>
      <c r="J459" s="2">
        <v>44971</v>
      </c>
    </row>
    <row r="460" spans="1:11" x14ac:dyDescent="0.25">
      <c r="A460" t="s">
        <v>64</v>
      </c>
      <c r="B460" t="s">
        <v>12</v>
      </c>
      <c r="C460">
        <v>59</v>
      </c>
      <c r="D460">
        <v>70</v>
      </c>
      <c r="E460" t="s">
        <v>19</v>
      </c>
      <c r="F460" t="s">
        <v>170</v>
      </c>
      <c r="G460">
        <v>213.83</v>
      </c>
      <c r="H460" t="s">
        <v>14</v>
      </c>
      <c r="I460" s="2">
        <v>45287</v>
      </c>
      <c r="J460" s="2">
        <v>45319</v>
      </c>
      <c r="K460" t="s">
        <v>21</v>
      </c>
    </row>
    <row r="461" spans="1:11" x14ac:dyDescent="0.25">
      <c r="A461" t="s">
        <v>58</v>
      </c>
      <c r="B461" t="s">
        <v>23</v>
      </c>
      <c r="C461">
        <v>54</v>
      </c>
      <c r="D461">
        <v>26</v>
      </c>
      <c r="E461" t="s">
        <v>13</v>
      </c>
      <c r="F461" t="s">
        <v>171</v>
      </c>
      <c r="G461">
        <v>130.88</v>
      </c>
      <c r="H461" t="s">
        <v>26</v>
      </c>
      <c r="I461" s="2">
        <v>45225</v>
      </c>
      <c r="J461" s="2">
        <v>45283</v>
      </c>
      <c r="K461" t="s">
        <v>17</v>
      </c>
    </row>
    <row r="462" spans="1:11" x14ac:dyDescent="0.25">
      <c r="A462" t="s">
        <v>40</v>
      </c>
      <c r="B462" t="s">
        <v>23</v>
      </c>
      <c r="C462">
        <v>112</v>
      </c>
      <c r="D462">
        <v>97</v>
      </c>
      <c r="E462" t="s">
        <v>13</v>
      </c>
      <c r="F462" t="s">
        <v>171</v>
      </c>
      <c r="G462">
        <v>134.38</v>
      </c>
      <c r="H462" t="s">
        <v>26</v>
      </c>
      <c r="I462" s="2">
        <v>45008</v>
      </c>
      <c r="J462" s="2">
        <v>45035</v>
      </c>
      <c r="K462" t="s">
        <v>21</v>
      </c>
    </row>
    <row r="463" spans="1:11" x14ac:dyDescent="0.25">
      <c r="A463" t="s">
        <v>72</v>
      </c>
      <c r="B463" t="s">
        <v>16</v>
      </c>
      <c r="C463">
        <v>112</v>
      </c>
      <c r="D463">
        <v>40</v>
      </c>
      <c r="E463" t="s">
        <v>13</v>
      </c>
      <c r="F463" t="s">
        <v>173</v>
      </c>
      <c r="G463">
        <v>270.33999999999997</v>
      </c>
      <c r="H463" t="s">
        <v>14</v>
      </c>
      <c r="I463" s="2">
        <v>45239</v>
      </c>
      <c r="J463" s="2">
        <v>45327</v>
      </c>
      <c r="K463" t="s">
        <v>21</v>
      </c>
    </row>
    <row r="464" spans="1:11" x14ac:dyDescent="0.25">
      <c r="A464" t="s">
        <v>59</v>
      </c>
      <c r="B464" t="s">
        <v>12</v>
      </c>
      <c r="C464">
        <v>102</v>
      </c>
      <c r="D464">
        <v>29</v>
      </c>
      <c r="E464" t="s">
        <v>13</v>
      </c>
      <c r="F464" t="s">
        <v>171</v>
      </c>
      <c r="G464">
        <v>464.44</v>
      </c>
      <c r="H464" t="s">
        <v>20</v>
      </c>
      <c r="I464" s="2">
        <v>45135</v>
      </c>
      <c r="J464" s="2">
        <v>45154</v>
      </c>
      <c r="K464" t="s">
        <v>21</v>
      </c>
    </row>
    <row r="465" spans="1:11" x14ac:dyDescent="0.25">
      <c r="A465" t="s">
        <v>11</v>
      </c>
      <c r="B465" t="s">
        <v>12</v>
      </c>
      <c r="C465">
        <v>190</v>
      </c>
      <c r="D465">
        <v>76</v>
      </c>
      <c r="E465" t="s">
        <v>13</v>
      </c>
      <c r="F465" t="s">
        <v>170</v>
      </c>
      <c r="G465">
        <v>117.27</v>
      </c>
      <c r="H465" t="s">
        <v>14</v>
      </c>
      <c r="I465" s="2">
        <v>45282</v>
      </c>
      <c r="J465" s="2">
        <v>45305</v>
      </c>
      <c r="K465" t="s">
        <v>21</v>
      </c>
    </row>
    <row r="466" spans="1:11" x14ac:dyDescent="0.25">
      <c r="A466" t="s">
        <v>15</v>
      </c>
      <c r="B466" t="s">
        <v>16</v>
      </c>
      <c r="C466">
        <v>166</v>
      </c>
      <c r="D466">
        <v>92</v>
      </c>
      <c r="E466" t="s">
        <v>13</v>
      </c>
      <c r="F466" t="s">
        <v>171</v>
      </c>
      <c r="G466">
        <v>44.69</v>
      </c>
      <c r="H466" t="s">
        <v>26</v>
      </c>
      <c r="I466" s="2">
        <v>45149</v>
      </c>
      <c r="J466" s="2">
        <v>45175</v>
      </c>
    </row>
    <row r="467" spans="1:11" x14ac:dyDescent="0.25">
      <c r="A467" t="s">
        <v>69</v>
      </c>
      <c r="B467" t="s">
        <v>12</v>
      </c>
      <c r="C467">
        <v>115</v>
      </c>
      <c r="D467">
        <v>99</v>
      </c>
      <c r="E467" t="s">
        <v>13</v>
      </c>
      <c r="F467" t="s">
        <v>170</v>
      </c>
      <c r="G467">
        <v>386.89</v>
      </c>
      <c r="H467" t="s">
        <v>14</v>
      </c>
      <c r="I467" s="2">
        <v>45241</v>
      </c>
      <c r="J467" s="2">
        <v>45302</v>
      </c>
    </row>
    <row r="468" spans="1:11" x14ac:dyDescent="0.25">
      <c r="A468" t="s">
        <v>67</v>
      </c>
      <c r="B468" t="s">
        <v>30</v>
      </c>
      <c r="C468">
        <v>128</v>
      </c>
      <c r="D468">
        <v>93</v>
      </c>
      <c r="E468" t="s">
        <v>13</v>
      </c>
      <c r="F468" t="s">
        <v>173</v>
      </c>
      <c r="G468">
        <v>146.03</v>
      </c>
      <c r="H468" t="s">
        <v>20</v>
      </c>
      <c r="I468" s="2">
        <v>45255</v>
      </c>
      <c r="J468" s="2">
        <v>45304</v>
      </c>
      <c r="K468" t="s">
        <v>21</v>
      </c>
    </row>
    <row r="469" spans="1:11" x14ac:dyDescent="0.25">
      <c r="A469" t="s">
        <v>32</v>
      </c>
      <c r="B469" t="s">
        <v>12</v>
      </c>
      <c r="C469">
        <v>127</v>
      </c>
      <c r="D469">
        <v>88</v>
      </c>
      <c r="E469" t="s">
        <v>13</v>
      </c>
      <c r="F469" t="s">
        <v>170</v>
      </c>
      <c r="G469">
        <v>314.27999999999997</v>
      </c>
      <c r="H469" t="s">
        <v>26</v>
      </c>
      <c r="I469" s="2">
        <v>45234</v>
      </c>
      <c r="J469" s="2">
        <v>45254</v>
      </c>
      <c r="K469" t="s">
        <v>172</v>
      </c>
    </row>
    <row r="470" spans="1:11" x14ac:dyDescent="0.25">
      <c r="A470" t="s">
        <v>27</v>
      </c>
      <c r="B470" t="s">
        <v>28</v>
      </c>
      <c r="C470">
        <v>166</v>
      </c>
      <c r="D470">
        <v>48</v>
      </c>
      <c r="E470" t="s">
        <v>13</v>
      </c>
      <c r="F470" t="s">
        <v>170</v>
      </c>
      <c r="G470">
        <v>324.72000000000003</v>
      </c>
      <c r="H470" t="s">
        <v>20</v>
      </c>
      <c r="I470" s="2">
        <v>45056</v>
      </c>
      <c r="J470" s="2">
        <v>45078</v>
      </c>
    </row>
    <row r="471" spans="1:11" x14ac:dyDescent="0.25">
      <c r="A471" t="s">
        <v>50</v>
      </c>
      <c r="B471" t="s">
        <v>28</v>
      </c>
      <c r="C471">
        <v>31</v>
      </c>
      <c r="D471">
        <v>24</v>
      </c>
      <c r="E471" t="s">
        <v>13</v>
      </c>
      <c r="F471" t="s">
        <v>171</v>
      </c>
      <c r="G471">
        <v>152.85</v>
      </c>
      <c r="H471" t="s">
        <v>26</v>
      </c>
      <c r="I471" s="2">
        <v>45042</v>
      </c>
      <c r="J471" s="2">
        <v>45063</v>
      </c>
      <c r="K471" t="s">
        <v>21</v>
      </c>
    </row>
    <row r="472" spans="1:11" x14ac:dyDescent="0.25">
      <c r="A472" t="s">
        <v>31</v>
      </c>
      <c r="B472" t="s">
        <v>23</v>
      </c>
      <c r="C472">
        <v>1</v>
      </c>
      <c r="D472">
        <v>60</v>
      </c>
      <c r="E472" t="s">
        <v>19</v>
      </c>
      <c r="F472" t="s">
        <v>173</v>
      </c>
      <c r="G472">
        <v>494.53</v>
      </c>
      <c r="H472" t="s">
        <v>14</v>
      </c>
      <c r="I472" s="2">
        <v>45130</v>
      </c>
      <c r="J472" s="2">
        <v>45182</v>
      </c>
      <c r="K472" t="s">
        <v>21</v>
      </c>
    </row>
    <row r="473" spans="1:11" x14ac:dyDescent="0.25">
      <c r="A473" t="s">
        <v>71</v>
      </c>
      <c r="B473" t="s">
        <v>28</v>
      </c>
      <c r="C473">
        <v>191</v>
      </c>
      <c r="D473">
        <v>70</v>
      </c>
      <c r="E473" t="s">
        <v>13</v>
      </c>
      <c r="F473" t="s">
        <v>171</v>
      </c>
      <c r="G473">
        <v>314.10000000000002</v>
      </c>
      <c r="H473" t="s">
        <v>14</v>
      </c>
      <c r="I473" s="2">
        <v>45289</v>
      </c>
      <c r="J473" s="2">
        <v>45321</v>
      </c>
      <c r="K473" t="s">
        <v>172</v>
      </c>
    </row>
    <row r="474" spans="1:11" x14ac:dyDescent="0.25">
      <c r="A474" t="s">
        <v>40</v>
      </c>
      <c r="B474" t="s">
        <v>30</v>
      </c>
      <c r="C474">
        <v>185</v>
      </c>
      <c r="D474">
        <v>86</v>
      </c>
      <c r="E474" t="s">
        <v>13</v>
      </c>
      <c r="F474" t="s">
        <v>171</v>
      </c>
      <c r="G474">
        <v>8.01</v>
      </c>
      <c r="H474" t="s">
        <v>20</v>
      </c>
      <c r="I474" s="2">
        <v>45189</v>
      </c>
      <c r="J474" s="2">
        <v>45273</v>
      </c>
    </row>
    <row r="475" spans="1:11" x14ac:dyDescent="0.25">
      <c r="A475" t="s">
        <v>39</v>
      </c>
      <c r="B475" t="s">
        <v>28</v>
      </c>
      <c r="C475">
        <v>36</v>
      </c>
      <c r="D475">
        <v>84</v>
      </c>
      <c r="E475" t="s">
        <v>19</v>
      </c>
      <c r="F475" t="s">
        <v>173</v>
      </c>
      <c r="G475">
        <v>221.22</v>
      </c>
      <c r="H475" t="s">
        <v>14</v>
      </c>
      <c r="I475" s="2">
        <v>44956</v>
      </c>
      <c r="J475" s="2">
        <v>45003</v>
      </c>
      <c r="K475" t="s">
        <v>172</v>
      </c>
    </row>
    <row r="476" spans="1:11" x14ac:dyDescent="0.25">
      <c r="A476" t="s">
        <v>22</v>
      </c>
      <c r="B476" t="s">
        <v>12</v>
      </c>
      <c r="C476">
        <v>147</v>
      </c>
      <c r="D476">
        <v>29</v>
      </c>
      <c r="E476" t="s">
        <v>13</v>
      </c>
      <c r="F476" t="s">
        <v>171</v>
      </c>
      <c r="G476">
        <v>6.97</v>
      </c>
      <c r="H476" t="s">
        <v>14</v>
      </c>
      <c r="I476" s="2">
        <v>45140</v>
      </c>
      <c r="J476" s="2">
        <v>45183</v>
      </c>
      <c r="K476" t="s">
        <v>17</v>
      </c>
    </row>
    <row r="477" spans="1:11" x14ac:dyDescent="0.25">
      <c r="A477" t="s">
        <v>42</v>
      </c>
      <c r="B477" t="s">
        <v>12</v>
      </c>
      <c r="C477">
        <v>86</v>
      </c>
      <c r="D477">
        <v>61</v>
      </c>
      <c r="E477" t="s">
        <v>13</v>
      </c>
      <c r="F477" t="s">
        <v>171</v>
      </c>
      <c r="G477">
        <v>215.39</v>
      </c>
      <c r="H477" t="s">
        <v>20</v>
      </c>
      <c r="I477" s="2">
        <v>45174</v>
      </c>
      <c r="J477" s="2">
        <v>45230</v>
      </c>
      <c r="K477" t="s">
        <v>21</v>
      </c>
    </row>
    <row r="478" spans="1:11" x14ac:dyDescent="0.25">
      <c r="A478" t="s">
        <v>40</v>
      </c>
      <c r="B478" t="s">
        <v>12</v>
      </c>
      <c r="C478">
        <v>41</v>
      </c>
      <c r="D478">
        <v>89</v>
      </c>
      <c r="E478" t="s">
        <v>19</v>
      </c>
      <c r="F478" t="s">
        <v>170</v>
      </c>
      <c r="G478">
        <v>64.55</v>
      </c>
      <c r="H478" t="s">
        <v>20</v>
      </c>
      <c r="I478" s="2">
        <v>45135</v>
      </c>
      <c r="J478" s="2">
        <v>45206</v>
      </c>
    </row>
    <row r="479" spans="1:11" x14ac:dyDescent="0.25">
      <c r="A479" t="s">
        <v>44</v>
      </c>
      <c r="B479" t="s">
        <v>23</v>
      </c>
      <c r="C479">
        <v>177</v>
      </c>
      <c r="D479">
        <v>45</v>
      </c>
      <c r="E479" t="s">
        <v>13</v>
      </c>
      <c r="F479" t="s">
        <v>173</v>
      </c>
      <c r="G479">
        <v>374.92</v>
      </c>
      <c r="H479" t="s">
        <v>20</v>
      </c>
      <c r="I479" s="2">
        <v>44979</v>
      </c>
      <c r="J479" s="2">
        <v>45019</v>
      </c>
      <c r="K479" t="s">
        <v>172</v>
      </c>
    </row>
    <row r="480" spans="1:11" x14ac:dyDescent="0.25">
      <c r="A480" t="s">
        <v>64</v>
      </c>
      <c r="B480" t="s">
        <v>23</v>
      </c>
      <c r="C480">
        <v>187</v>
      </c>
      <c r="D480">
        <v>46</v>
      </c>
      <c r="E480" t="s">
        <v>13</v>
      </c>
      <c r="F480" t="s">
        <v>171</v>
      </c>
      <c r="G480">
        <v>402.33</v>
      </c>
      <c r="H480" t="s">
        <v>26</v>
      </c>
      <c r="I480" s="2">
        <v>44987</v>
      </c>
      <c r="J480" s="2">
        <v>45011</v>
      </c>
    </row>
    <row r="481" spans="1:11" x14ac:dyDescent="0.25">
      <c r="A481" t="s">
        <v>34</v>
      </c>
      <c r="B481" t="s">
        <v>16</v>
      </c>
      <c r="C481">
        <v>119</v>
      </c>
      <c r="D481">
        <v>42</v>
      </c>
      <c r="E481" t="s">
        <v>13</v>
      </c>
      <c r="F481" t="s">
        <v>173</v>
      </c>
      <c r="G481">
        <v>489.47</v>
      </c>
      <c r="H481" t="s">
        <v>20</v>
      </c>
      <c r="I481" s="2">
        <v>45255</v>
      </c>
      <c r="J481" s="2">
        <v>45344</v>
      </c>
      <c r="K481" t="s">
        <v>21</v>
      </c>
    </row>
    <row r="482" spans="1:11" x14ac:dyDescent="0.25">
      <c r="A482" t="s">
        <v>37</v>
      </c>
      <c r="B482" t="s">
        <v>30</v>
      </c>
      <c r="C482">
        <v>141</v>
      </c>
      <c r="D482">
        <v>34</v>
      </c>
      <c r="E482" t="s">
        <v>13</v>
      </c>
      <c r="F482" t="s">
        <v>170</v>
      </c>
      <c r="G482">
        <v>200.73</v>
      </c>
      <c r="H482" t="s">
        <v>14</v>
      </c>
      <c r="I482" s="2">
        <v>44930</v>
      </c>
      <c r="J482" s="2">
        <v>45010</v>
      </c>
      <c r="K482" t="s">
        <v>172</v>
      </c>
    </row>
    <row r="483" spans="1:11" x14ac:dyDescent="0.25">
      <c r="A483" t="s">
        <v>63</v>
      </c>
      <c r="B483" t="s">
        <v>12</v>
      </c>
      <c r="C483">
        <v>171</v>
      </c>
      <c r="D483">
        <v>70</v>
      </c>
      <c r="E483" t="s">
        <v>13</v>
      </c>
      <c r="F483" t="s">
        <v>171</v>
      </c>
      <c r="G483">
        <v>318.68</v>
      </c>
      <c r="H483" t="s">
        <v>20</v>
      </c>
      <c r="I483" s="2">
        <v>45143</v>
      </c>
      <c r="J483" s="2">
        <v>45180</v>
      </c>
    </row>
    <row r="484" spans="1:11" x14ac:dyDescent="0.25">
      <c r="A484" t="s">
        <v>22</v>
      </c>
      <c r="B484" t="s">
        <v>23</v>
      </c>
      <c r="C484">
        <v>62</v>
      </c>
      <c r="D484">
        <v>28</v>
      </c>
      <c r="E484" t="s">
        <v>13</v>
      </c>
      <c r="F484" t="s">
        <v>170</v>
      </c>
      <c r="G484">
        <v>292.20999999999998</v>
      </c>
      <c r="H484" t="s">
        <v>14</v>
      </c>
      <c r="I484" s="2">
        <v>45288</v>
      </c>
      <c r="J484" s="2">
        <v>45305</v>
      </c>
    </row>
    <row r="485" spans="1:11" x14ac:dyDescent="0.25">
      <c r="A485" t="s">
        <v>62</v>
      </c>
      <c r="B485" t="s">
        <v>16</v>
      </c>
      <c r="C485">
        <v>143</v>
      </c>
      <c r="D485">
        <v>59</v>
      </c>
      <c r="E485" t="s">
        <v>13</v>
      </c>
      <c r="F485" t="s">
        <v>170</v>
      </c>
      <c r="G485">
        <v>155.34</v>
      </c>
      <c r="H485" t="s">
        <v>20</v>
      </c>
      <c r="I485" s="2">
        <v>45198</v>
      </c>
      <c r="J485" s="2">
        <v>45237</v>
      </c>
      <c r="K485" t="s">
        <v>21</v>
      </c>
    </row>
    <row r="486" spans="1:11" x14ac:dyDescent="0.25">
      <c r="A486" t="s">
        <v>54</v>
      </c>
      <c r="B486" t="s">
        <v>28</v>
      </c>
      <c r="C486">
        <v>58</v>
      </c>
      <c r="D486">
        <v>44</v>
      </c>
      <c r="E486" t="s">
        <v>13</v>
      </c>
      <c r="F486" t="s">
        <v>170</v>
      </c>
      <c r="G486">
        <v>107.8</v>
      </c>
      <c r="H486" t="s">
        <v>26</v>
      </c>
      <c r="I486" s="2">
        <v>45124</v>
      </c>
      <c r="J486" s="2">
        <v>45158</v>
      </c>
    </row>
    <row r="487" spans="1:11" x14ac:dyDescent="0.25">
      <c r="A487" t="s">
        <v>68</v>
      </c>
      <c r="B487" t="s">
        <v>16</v>
      </c>
      <c r="C487">
        <v>18</v>
      </c>
      <c r="D487">
        <v>33</v>
      </c>
      <c r="E487" t="s">
        <v>19</v>
      </c>
      <c r="F487" t="s">
        <v>171</v>
      </c>
      <c r="G487">
        <v>283.83</v>
      </c>
      <c r="H487" t="s">
        <v>20</v>
      </c>
      <c r="I487" s="2">
        <v>45211</v>
      </c>
      <c r="J487" s="2">
        <v>45258</v>
      </c>
      <c r="K487" t="s">
        <v>17</v>
      </c>
    </row>
    <row r="488" spans="1:11" x14ac:dyDescent="0.25">
      <c r="A488" t="s">
        <v>27</v>
      </c>
      <c r="B488" t="s">
        <v>23</v>
      </c>
      <c r="C488">
        <v>195</v>
      </c>
      <c r="D488">
        <v>28</v>
      </c>
      <c r="E488" t="s">
        <v>13</v>
      </c>
      <c r="F488" t="s">
        <v>170</v>
      </c>
      <c r="G488">
        <v>335.82</v>
      </c>
      <c r="H488" t="s">
        <v>14</v>
      </c>
      <c r="I488" s="2">
        <v>45161</v>
      </c>
      <c r="J488" s="2">
        <v>45246</v>
      </c>
      <c r="K488" t="s">
        <v>172</v>
      </c>
    </row>
    <row r="489" spans="1:11" x14ac:dyDescent="0.25">
      <c r="A489" t="s">
        <v>36</v>
      </c>
      <c r="B489" t="s">
        <v>23</v>
      </c>
      <c r="C489">
        <v>4</v>
      </c>
      <c r="D489">
        <v>89</v>
      </c>
      <c r="E489" t="s">
        <v>19</v>
      </c>
      <c r="F489" t="s">
        <v>170</v>
      </c>
      <c r="G489">
        <v>5.68</v>
      </c>
      <c r="H489" t="s">
        <v>26</v>
      </c>
      <c r="I489" s="2">
        <v>45249</v>
      </c>
      <c r="J489" s="2">
        <v>45282</v>
      </c>
    </row>
    <row r="490" spans="1:11" x14ac:dyDescent="0.25">
      <c r="A490" t="s">
        <v>25</v>
      </c>
      <c r="B490" t="s">
        <v>28</v>
      </c>
      <c r="C490">
        <v>140</v>
      </c>
      <c r="D490">
        <v>84</v>
      </c>
      <c r="E490" t="s">
        <v>13</v>
      </c>
      <c r="F490" t="s">
        <v>173</v>
      </c>
      <c r="G490">
        <v>424.32</v>
      </c>
      <c r="H490" t="s">
        <v>20</v>
      </c>
      <c r="I490" s="2">
        <v>45029</v>
      </c>
      <c r="J490" s="2">
        <v>45070</v>
      </c>
      <c r="K490" t="s">
        <v>172</v>
      </c>
    </row>
    <row r="491" spans="1:11" x14ac:dyDescent="0.25">
      <c r="A491" t="s">
        <v>50</v>
      </c>
      <c r="B491" t="s">
        <v>28</v>
      </c>
      <c r="C491">
        <v>58</v>
      </c>
      <c r="D491">
        <v>84</v>
      </c>
      <c r="E491" t="s">
        <v>19</v>
      </c>
      <c r="F491" t="s">
        <v>173</v>
      </c>
      <c r="G491">
        <v>274.37</v>
      </c>
      <c r="H491" t="s">
        <v>14</v>
      </c>
      <c r="I491" s="2">
        <v>45121</v>
      </c>
      <c r="J491" s="2">
        <v>45193</v>
      </c>
      <c r="K491" t="s">
        <v>172</v>
      </c>
    </row>
    <row r="492" spans="1:11" x14ac:dyDescent="0.25">
      <c r="A492" t="s">
        <v>43</v>
      </c>
      <c r="B492" t="s">
        <v>30</v>
      </c>
      <c r="C492">
        <v>28</v>
      </c>
      <c r="D492">
        <v>61</v>
      </c>
      <c r="E492" t="s">
        <v>19</v>
      </c>
      <c r="F492" t="s">
        <v>173</v>
      </c>
      <c r="G492">
        <v>184.79</v>
      </c>
      <c r="H492" t="s">
        <v>26</v>
      </c>
      <c r="I492" s="2">
        <v>45265</v>
      </c>
      <c r="J492" s="2">
        <v>45341</v>
      </c>
    </row>
    <row r="493" spans="1:11" x14ac:dyDescent="0.25">
      <c r="A493" t="s">
        <v>70</v>
      </c>
      <c r="B493" t="s">
        <v>12</v>
      </c>
      <c r="C493">
        <v>194</v>
      </c>
      <c r="D493">
        <v>86</v>
      </c>
      <c r="E493" t="s">
        <v>13</v>
      </c>
      <c r="F493" t="s">
        <v>173</v>
      </c>
      <c r="G493">
        <v>70.14</v>
      </c>
      <c r="H493" t="s">
        <v>14</v>
      </c>
      <c r="I493" s="2">
        <v>45091</v>
      </c>
      <c r="J493" s="2">
        <v>45160</v>
      </c>
      <c r="K493" t="s">
        <v>172</v>
      </c>
    </row>
    <row r="494" spans="1:11" x14ac:dyDescent="0.25">
      <c r="A494" t="s">
        <v>25</v>
      </c>
      <c r="B494" t="s">
        <v>12</v>
      </c>
      <c r="C494">
        <v>90</v>
      </c>
      <c r="D494">
        <v>77</v>
      </c>
      <c r="E494" t="s">
        <v>13</v>
      </c>
      <c r="F494" t="s">
        <v>170</v>
      </c>
      <c r="G494">
        <v>141.41</v>
      </c>
      <c r="H494" t="s">
        <v>14</v>
      </c>
      <c r="I494" s="2">
        <v>45100</v>
      </c>
      <c r="J494" s="2">
        <v>45167</v>
      </c>
    </row>
    <row r="495" spans="1:11" x14ac:dyDescent="0.25">
      <c r="A495" t="s">
        <v>70</v>
      </c>
      <c r="B495" t="s">
        <v>28</v>
      </c>
      <c r="C495">
        <v>128</v>
      </c>
      <c r="D495">
        <v>41</v>
      </c>
      <c r="E495" t="s">
        <v>13</v>
      </c>
      <c r="F495" t="s">
        <v>170</v>
      </c>
      <c r="G495">
        <v>400.89</v>
      </c>
      <c r="H495" t="s">
        <v>26</v>
      </c>
      <c r="I495" s="2">
        <v>45102</v>
      </c>
      <c r="J495" s="2">
        <v>45185</v>
      </c>
      <c r="K495" t="s">
        <v>172</v>
      </c>
    </row>
    <row r="496" spans="1:11" x14ac:dyDescent="0.25">
      <c r="A496" t="s">
        <v>42</v>
      </c>
      <c r="B496" t="s">
        <v>12</v>
      </c>
      <c r="C496">
        <v>138</v>
      </c>
      <c r="D496">
        <v>83</v>
      </c>
      <c r="E496" t="s">
        <v>13</v>
      </c>
      <c r="F496" t="s">
        <v>171</v>
      </c>
      <c r="G496">
        <v>292.52999999999997</v>
      </c>
      <c r="H496" t="s">
        <v>14</v>
      </c>
      <c r="I496" s="2">
        <v>45034</v>
      </c>
      <c r="J496" s="2">
        <v>45089</v>
      </c>
      <c r="K496" t="s">
        <v>21</v>
      </c>
    </row>
    <row r="497" spans="1:11" x14ac:dyDescent="0.25">
      <c r="A497" t="s">
        <v>54</v>
      </c>
      <c r="B497" t="s">
        <v>28</v>
      </c>
      <c r="C497">
        <v>100</v>
      </c>
      <c r="D497">
        <v>38</v>
      </c>
      <c r="E497" t="s">
        <v>13</v>
      </c>
      <c r="F497" t="s">
        <v>170</v>
      </c>
      <c r="G497">
        <v>392.3</v>
      </c>
      <c r="H497" t="s">
        <v>20</v>
      </c>
      <c r="I497" s="2">
        <v>45032</v>
      </c>
      <c r="J497" s="2">
        <v>45061</v>
      </c>
    </row>
    <row r="498" spans="1:11" x14ac:dyDescent="0.25">
      <c r="A498" t="s">
        <v>50</v>
      </c>
      <c r="B498" t="s">
        <v>23</v>
      </c>
      <c r="C498">
        <v>136</v>
      </c>
      <c r="D498">
        <v>91</v>
      </c>
      <c r="E498" t="s">
        <v>13</v>
      </c>
      <c r="F498" t="s">
        <v>170</v>
      </c>
      <c r="G498">
        <v>474.63</v>
      </c>
      <c r="H498" t="s">
        <v>14</v>
      </c>
      <c r="I498" s="2">
        <v>45065</v>
      </c>
      <c r="J498" s="2">
        <v>45115</v>
      </c>
      <c r="K498" t="s">
        <v>21</v>
      </c>
    </row>
    <row r="499" spans="1:11" x14ac:dyDescent="0.25">
      <c r="A499" t="s">
        <v>39</v>
      </c>
      <c r="B499" t="s">
        <v>28</v>
      </c>
      <c r="C499">
        <v>52</v>
      </c>
      <c r="D499">
        <v>21</v>
      </c>
      <c r="E499" t="s">
        <v>13</v>
      </c>
      <c r="F499" t="s">
        <v>170</v>
      </c>
      <c r="G499">
        <v>423.17</v>
      </c>
      <c r="H499" t="s">
        <v>26</v>
      </c>
      <c r="I499" s="2">
        <v>45039</v>
      </c>
      <c r="J499" s="2">
        <v>45076</v>
      </c>
      <c r="K499" t="s">
        <v>21</v>
      </c>
    </row>
    <row r="500" spans="1:11" x14ac:dyDescent="0.25">
      <c r="A500" t="s">
        <v>58</v>
      </c>
      <c r="B500" t="s">
        <v>12</v>
      </c>
      <c r="C500">
        <v>63</v>
      </c>
      <c r="D500">
        <v>67</v>
      </c>
      <c r="E500" t="s">
        <v>19</v>
      </c>
      <c r="F500" t="s">
        <v>171</v>
      </c>
      <c r="G500">
        <v>156.86000000000001</v>
      </c>
      <c r="H500" t="s">
        <v>20</v>
      </c>
      <c r="I500" s="2">
        <v>45210</v>
      </c>
      <c r="J500" s="2">
        <v>45238</v>
      </c>
    </row>
    <row r="501" spans="1:11" x14ac:dyDescent="0.25">
      <c r="A501" t="s">
        <v>51</v>
      </c>
      <c r="B501" t="s">
        <v>23</v>
      </c>
      <c r="C501">
        <v>111</v>
      </c>
      <c r="D501">
        <v>94</v>
      </c>
      <c r="E501" t="s">
        <v>13</v>
      </c>
      <c r="F501" t="s">
        <v>171</v>
      </c>
      <c r="G501">
        <v>69.36</v>
      </c>
      <c r="H501" t="s">
        <v>14</v>
      </c>
      <c r="I501" s="2">
        <v>44936</v>
      </c>
      <c r="J501" s="2">
        <v>45021</v>
      </c>
    </row>
    <row r="502" spans="1:11" x14ac:dyDescent="0.25">
      <c r="A502" t="s">
        <v>46</v>
      </c>
      <c r="B502" t="s">
        <v>16</v>
      </c>
      <c r="C502">
        <v>127</v>
      </c>
      <c r="D502">
        <v>52</v>
      </c>
      <c r="E502" t="s">
        <v>13</v>
      </c>
      <c r="F502" t="s">
        <v>170</v>
      </c>
      <c r="G502">
        <v>86.12</v>
      </c>
      <c r="H502" t="s">
        <v>14</v>
      </c>
      <c r="I502" s="2">
        <v>45012</v>
      </c>
      <c r="J502" s="2">
        <v>45093</v>
      </c>
      <c r="K502" t="s">
        <v>21</v>
      </c>
    </row>
    <row r="503" spans="1:11" x14ac:dyDescent="0.25">
      <c r="A503" t="s">
        <v>49</v>
      </c>
      <c r="B503" t="s">
        <v>30</v>
      </c>
      <c r="C503">
        <v>13</v>
      </c>
      <c r="D503">
        <v>79</v>
      </c>
      <c r="E503" t="s">
        <v>19</v>
      </c>
      <c r="F503" t="s">
        <v>170</v>
      </c>
      <c r="G503">
        <v>264.29000000000002</v>
      </c>
      <c r="H503" t="s">
        <v>14</v>
      </c>
      <c r="I503" s="2">
        <v>45264</v>
      </c>
      <c r="J503" s="2">
        <v>45282</v>
      </c>
      <c r="K503" t="s">
        <v>17</v>
      </c>
    </row>
    <row r="504" spans="1:11" x14ac:dyDescent="0.25">
      <c r="A504" t="s">
        <v>60</v>
      </c>
      <c r="B504" t="s">
        <v>16</v>
      </c>
      <c r="C504">
        <v>143</v>
      </c>
      <c r="D504">
        <v>29</v>
      </c>
      <c r="E504" t="s">
        <v>13</v>
      </c>
      <c r="F504" t="s">
        <v>171</v>
      </c>
      <c r="G504">
        <v>110.08</v>
      </c>
      <c r="H504" t="s">
        <v>26</v>
      </c>
      <c r="I504" s="2">
        <v>44968</v>
      </c>
      <c r="J504" s="2">
        <v>45004</v>
      </c>
    </row>
    <row r="505" spans="1:11" x14ac:dyDescent="0.25">
      <c r="A505" t="s">
        <v>68</v>
      </c>
      <c r="B505" t="s">
        <v>12</v>
      </c>
      <c r="C505">
        <v>138</v>
      </c>
      <c r="D505">
        <v>66</v>
      </c>
      <c r="E505" t="s">
        <v>13</v>
      </c>
      <c r="F505" t="s">
        <v>171</v>
      </c>
      <c r="G505">
        <v>326.26</v>
      </c>
      <c r="H505" t="s">
        <v>14</v>
      </c>
      <c r="I505" s="2">
        <v>45253</v>
      </c>
      <c r="J505" s="2">
        <v>45269</v>
      </c>
      <c r="K505" t="s">
        <v>21</v>
      </c>
    </row>
    <row r="506" spans="1:11" x14ac:dyDescent="0.25">
      <c r="A506" t="s">
        <v>40</v>
      </c>
      <c r="B506" t="s">
        <v>28</v>
      </c>
      <c r="C506">
        <v>123</v>
      </c>
      <c r="D506">
        <v>61</v>
      </c>
      <c r="E506" t="s">
        <v>13</v>
      </c>
      <c r="F506" t="s">
        <v>173</v>
      </c>
      <c r="G506">
        <v>129.72</v>
      </c>
      <c r="H506" t="s">
        <v>14</v>
      </c>
      <c r="I506" s="2">
        <v>45072</v>
      </c>
      <c r="J506" s="2">
        <v>45123</v>
      </c>
    </row>
    <row r="507" spans="1:11" x14ac:dyDescent="0.25">
      <c r="A507" t="s">
        <v>32</v>
      </c>
      <c r="B507" t="s">
        <v>30</v>
      </c>
      <c r="C507">
        <v>82</v>
      </c>
      <c r="D507">
        <v>97</v>
      </c>
      <c r="E507" t="s">
        <v>19</v>
      </c>
      <c r="F507" t="s">
        <v>170</v>
      </c>
      <c r="G507">
        <v>331.65</v>
      </c>
      <c r="H507" t="s">
        <v>26</v>
      </c>
      <c r="I507" s="2">
        <v>45008</v>
      </c>
      <c r="J507" s="2">
        <v>45084</v>
      </c>
      <c r="K507" t="s">
        <v>17</v>
      </c>
    </row>
    <row r="508" spans="1:11" x14ac:dyDescent="0.25">
      <c r="A508" t="s">
        <v>33</v>
      </c>
      <c r="B508" t="s">
        <v>23</v>
      </c>
      <c r="C508">
        <v>107</v>
      </c>
      <c r="D508">
        <v>40</v>
      </c>
      <c r="E508" t="s">
        <v>13</v>
      </c>
      <c r="F508" t="s">
        <v>171</v>
      </c>
      <c r="G508">
        <v>283.32</v>
      </c>
      <c r="H508" t="s">
        <v>26</v>
      </c>
      <c r="I508" s="2">
        <v>45277</v>
      </c>
      <c r="J508" s="2">
        <v>45312</v>
      </c>
      <c r="K508" t="s">
        <v>21</v>
      </c>
    </row>
    <row r="509" spans="1:11" x14ac:dyDescent="0.25">
      <c r="A509" t="s">
        <v>25</v>
      </c>
      <c r="B509" t="s">
        <v>30</v>
      </c>
      <c r="C509">
        <v>137</v>
      </c>
      <c r="D509">
        <v>59</v>
      </c>
      <c r="E509" t="s">
        <v>13</v>
      </c>
      <c r="F509" t="s">
        <v>170</v>
      </c>
      <c r="G509">
        <v>236.61</v>
      </c>
      <c r="H509" t="s">
        <v>14</v>
      </c>
      <c r="I509" s="2">
        <v>45092</v>
      </c>
      <c r="J509" s="2">
        <v>45131</v>
      </c>
      <c r="K509" t="s">
        <v>17</v>
      </c>
    </row>
    <row r="510" spans="1:11" x14ac:dyDescent="0.25">
      <c r="A510" t="s">
        <v>49</v>
      </c>
      <c r="B510" t="s">
        <v>16</v>
      </c>
      <c r="C510">
        <v>153</v>
      </c>
      <c r="D510">
        <v>46</v>
      </c>
      <c r="E510" t="s">
        <v>13</v>
      </c>
      <c r="F510" t="s">
        <v>173</v>
      </c>
      <c r="G510">
        <v>75.42</v>
      </c>
      <c r="H510" t="s">
        <v>20</v>
      </c>
      <c r="I510" s="2">
        <v>44943</v>
      </c>
      <c r="J510" s="2">
        <v>45000</v>
      </c>
      <c r="K510" t="s">
        <v>172</v>
      </c>
    </row>
    <row r="511" spans="1:11" x14ac:dyDescent="0.25">
      <c r="A511" t="s">
        <v>50</v>
      </c>
      <c r="B511" t="s">
        <v>28</v>
      </c>
      <c r="C511">
        <v>110</v>
      </c>
      <c r="D511">
        <v>85</v>
      </c>
      <c r="E511" t="s">
        <v>13</v>
      </c>
      <c r="F511" t="s">
        <v>173</v>
      </c>
      <c r="G511">
        <v>87.01</v>
      </c>
      <c r="H511" t="s">
        <v>14</v>
      </c>
      <c r="I511" s="2">
        <v>45221</v>
      </c>
      <c r="J511" s="2">
        <v>45269</v>
      </c>
    </row>
    <row r="512" spans="1:11" x14ac:dyDescent="0.25">
      <c r="A512" t="s">
        <v>34</v>
      </c>
      <c r="B512" t="s">
        <v>16</v>
      </c>
      <c r="C512">
        <v>152</v>
      </c>
      <c r="D512">
        <v>39</v>
      </c>
      <c r="E512" t="s">
        <v>13</v>
      </c>
      <c r="F512" t="s">
        <v>171</v>
      </c>
      <c r="G512">
        <v>200.91</v>
      </c>
      <c r="H512" t="s">
        <v>26</v>
      </c>
      <c r="I512" s="2">
        <v>44937</v>
      </c>
      <c r="J512" s="2">
        <v>44968</v>
      </c>
    </row>
    <row r="513" spans="1:11" x14ac:dyDescent="0.25">
      <c r="A513" t="s">
        <v>64</v>
      </c>
      <c r="B513" t="s">
        <v>28</v>
      </c>
      <c r="C513">
        <v>146</v>
      </c>
      <c r="D513">
        <v>59</v>
      </c>
      <c r="E513" t="s">
        <v>13</v>
      </c>
      <c r="F513" t="s">
        <v>173</v>
      </c>
      <c r="G513">
        <v>96.36</v>
      </c>
      <c r="H513" t="s">
        <v>14</v>
      </c>
      <c r="I513" s="2">
        <v>45147</v>
      </c>
      <c r="J513" s="2">
        <v>45205</v>
      </c>
    </row>
    <row r="514" spans="1:11" x14ac:dyDescent="0.25">
      <c r="A514" t="s">
        <v>42</v>
      </c>
      <c r="B514" t="s">
        <v>30</v>
      </c>
      <c r="C514">
        <v>76</v>
      </c>
      <c r="D514">
        <v>83</v>
      </c>
      <c r="E514" t="s">
        <v>19</v>
      </c>
      <c r="F514" t="s">
        <v>170</v>
      </c>
      <c r="G514">
        <v>458.77</v>
      </c>
      <c r="H514" t="s">
        <v>20</v>
      </c>
      <c r="I514" s="2">
        <v>45055</v>
      </c>
      <c r="J514" s="2">
        <v>45116</v>
      </c>
      <c r="K514" t="s">
        <v>17</v>
      </c>
    </row>
    <row r="515" spans="1:11" x14ac:dyDescent="0.25">
      <c r="A515" t="s">
        <v>70</v>
      </c>
      <c r="B515" t="s">
        <v>16</v>
      </c>
      <c r="C515">
        <v>53</v>
      </c>
      <c r="D515">
        <v>93</v>
      </c>
      <c r="E515" t="s">
        <v>19</v>
      </c>
      <c r="F515" t="s">
        <v>170</v>
      </c>
      <c r="G515">
        <v>319.08</v>
      </c>
      <c r="H515" t="s">
        <v>26</v>
      </c>
      <c r="I515" s="2">
        <v>45149</v>
      </c>
      <c r="J515" s="2">
        <v>45184</v>
      </c>
      <c r="K515" t="s">
        <v>21</v>
      </c>
    </row>
    <row r="516" spans="1:11" x14ac:dyDescent="0.25">
      <c r="A516" t="s">
        <v>35</v>
      </c>
      <c r="B516" t="s">
        <v>16</v>
      </c>
      <c r="C516">
        <v>32</v>
      </c>
      <c r="D516">
        <v>22</v>
      </c>
      <c r="E516" t="s">
        <v>13</v>
      </c>
      <c r="F516" t="s">
        <v>171</v>
      </c>
      <c r="G516">
        <v>246.74</v>
      </c>
      <c r="H516" t="s">
        <v>26</v>
      </c>
      <c r="I516" s="2">
        <v>44991</v>
      </c>
      <c r="J516" s="2">
        <v>45007</v>
      </c>
      <c r="K516" t="s">
        <v>172</v>
      </c>
    </row>
    <row r="517" spans="1:11" x14ac:dyDescent="0.25">
      <c r="A517" t="s">
        <v>67</v>
      </c>
      <c r="B517" t="s">
        <v>16</v>
      </c>
      <c r="C517">
        <v>121</v>
      </c>
      <c r="D517">
        <v>68</v>
      </c>
      <c r="E517" t="s">
        <v>13</v>
      </c>
      <c r="F517" t="s">
        <v>170</v>
      </c>
      <c r="G517">
        <v>34.76</v>
      </c>
      <c r="H517" t="s">
        <v>14</v>
      </c>
      <c r="I517" s="2">
        <v>45241</v>
      </c>
      <c r="J517" s="2">
        <v>45288</v>
      </c>
      <c r="K517" t="s">
        <v>21</v>
      </c>
    </row>
    <row r="518" spans="1:11" x14ac:dyDescent="0.25">
      <c r="A518" t="s">
        <v>38</v>
      </c>
      <c r="B518" t="s">
        <v>30</v>
      </c>
      <c r="C518">
        <v>23</v>
      </c>
      <c r="D518">
        <v>43</v>
      </c>
      <c r="E518" t="s">
        <v>19</v>
      </c>
      <c r="F518" t="s">
        <v>170</v>
      </c>
      <c r="G518">
        <v>264.89999999999998</v>
      </c>
      <c r="H518" t="s">
        <v>14</v>
      </c>
      <c r="I518" s="2">
        <v>45245</v>
      </c>
      <c r="J518" s="2">
        <v>45334</v>
      </c>
      <c r="K518" t="s">
        <v>172</v>
      </c>
    </row>
    <row r="519" spans="1:11" x14ac:dyDescent="0.25">
      <c r="A519" t="s">
        <v>70</v>
      </c>
      <c r="B519" t="s">
        <v>12</v>
      </c>
      <c r="C519">
        <v>196</v>
      </c>
      <c r="D519">
        <v>60</v>
      </c>
      <c r="E519" t="s">
        <v>13</v>
      </c>
      <c r="F519" t="s">
        <v>173</v>
      </c>
      <c r="G519">
        <v>203.95</v>
      </c>
      <c r="H519" t="s">
        <v>26</v>
      </c>
      <c r="I519" s="2">
        <v>45094</v>
      </c>
      <c r="J519" s="2">
        <v>45173</v>
      </c>
      <c r="K519" t="s">
        <v>172</v>
      </c>
    </row>
    <row r="520" spans="1:11" x14ac:dyDescent="0.25">
      <c r="A520" t="s">
        <v>46</v>
      </c>
      <c r="B520" t="s">
        <v>23</v>
      </c>
      <c r="C520">
        <v>2</v>
      </c>
      <c r="D520">
        <v>20</v>
      </c>
      <c r="E520" t="s">
        <v>19</v>
      </c>
      <c r="F520" t="s">
        <v>171</v>
      </c>
      <c r="G520">
        <v>429.8</v>
      </c>
      <c r="H520" t="s">
        <v>14</v>
      </c>
      <c r="I520" s="2">
        <v>45188</v>
      </c>
      <c r="J520" s="2">
        <v>45268</v>
      </c>
      <c r="K520" t="s">
        <v>21</v>
      </c>
    </row>
    <row r="521" spans="1:11" x14ac:dyDescent="0.25">
      <c r="A521" t="s">
        <v>48</v>
      </c>
      <c r="B521" t="s">
        <v>28</v>
      </c>
      <c r="C521">
        <v>95</v>
      </c>
      <c r="D521">
        <v>83</v>
      </c>
      <c r="E521" t="s">
        <v>13</v>
      </c>
      <c r="F521" t="s">
        <v>170</v>
      </c>
      <c r="G521">
        <v>353.11</v>
      </c>
      <c r="H521" t="s">
        <v>20</v>
      </c>
      <c r="I521" s="2">
        <v>45119</v>
      </c>
      <c r="J521" s="2">
        <v>45175</v>
      </c>
      <c r="K521" t="s">
        <v>172</v>
      </c>
    </row>
    <row r="522" spans="1:11" x14ac:dyDescent="0.25">
      <c r="A522" t="s">
        <v>46</v>
      </c>
      <c r="B522" t="s">
        <v>16</v>
      </c>
      <c r="C522">
        <v>191</v>
      </c>
      <c r="D522">
        <v>99</v>
      </c>
      <c r="E522" t="s">
        <v>13</v>
      </c>
      <c r="F522" t="s">
        <v>171</v>
      </c>
      <c r="G522">
        <v>422.53</v>
      </c>
      <c r="H522" t="s">
        <v>14</v>
      </c>
      <c r="I522" s="2">
        <v>45153</v>
      </c>
      <c r="J522" s="2">
        <v>45194</v>
      </c>
      <c r="K522" t="s">
        <v>172</v>
      </c>
    </row>
    <row r="523" spans="1:11" x14ac:dyDescent="0.25">
      <c r="A523" t="s">
        <v>46</v>
      </c>
      <c r="B523" t="s">
        <v>16</v>
      </c>
      <c r="C523">
        <v>166</v>
      </c>
      <c r="D523">
        <v>26</v>
      </c>
      <c r="E523" t="s">
        <v>13</v>
      </c>
      <c r="F523" t="s">
        <v>173</v>
      </c>
      <c r="G523">
        <v>50.12</v>
      </c>
      <c r="H523" t="s">
        <v>14</v>
      </c>
      <c r="I523" s="2">
        <v>45219</v>
      </c>
      <c r="J523" s="2">
        <v>45241</v>
      </c>
    </row>
    <row r="524" spans="1:11" x14ac:dyDescent="0.25">
      <c r="A524" t="s">
        <v>35</v>
      </c>
      <c r="B524" t="s">
        <v>16</v>
      </c>
      <c r="C524">
        <v>130</v>
      </c>
      <c r="D524">
        <v>81</v>
      </c>
      <c r="E524" t="s">
        <v>13</v>
      </c>
      <c r="F524" t="s">
        <v>171</v>
      </c>
      <c r="G524">
        <v>362.56</v>
      </c>
      <c r="H524" t="s">
        <v>20</v>
      </c>
      <c r="I524" s="2">
        <v>45238</v>
      </c>
      <c r="J524" s="2">
        <v>45278</v>
      </c>
      <c r="K524" t="s">
        <v>21</v>
      </c>
    </row>
    <row r="525" spans="1:11" x14ac:dyDescent="0.25">
      <c r="A525" t="s">
        <v>39</v>
      </c>
      <c r="B525" t="s">
        <v>30</v>
      </c>
      <c r="C525">
        <v>128</v>
      </c>
      <c r="D525">
        <v>86</v>
      </c>
      <c r="E525" t="s">
        <v>13</v>
      </c>
      <c r="F525" t="s">
        <v>171</v>
      </c>
      <c r="G525">
        <v>412.39</v>
      </c>
      <c r="H525" t="s">
        <v>20</v>
      </c>
      <c r="I525" s="2">
        <v>45287</v>
      </c>
      <c r="J525" s="2">
        <v>45312</v>
      </c>
      <c r="K525" t="s">
        <v>21</v>
      </c>
    </row>
    <row r="526" spans="1:11" x14ac:dyDescent="0.25">
      <c r="A526" t="s">
        <v>63</v>
      </c>
      <c r="B526" t="s">
        <v>12</v>
      </c>
      <c r="C526">
        <v>199</v>
      </c>
      <c r="D526">
        <v>81</v>
      </c>
      <c r="E526" t="s">
        <v>13</v>
      </c>
      <c r="F526" t="s">
        <v>170</v>
      </c>
      <c r="G526">
        <v>362.67</v>
      </c>
      <c r="H526" t="s">
        <v>26</v>
      </c>
      <c r="I526" s="2">
        <v>44970</v>
      </c>
      <c r="J526" s="2">
        <v>45027</v>
      </c>
      <c r="K526" t="s">
        <v>21</v>
      </c>
    </row>
    <row r="527" spans="1:11" x14ac:dyDescent="0.25">
      <c r="A527" t="s">
        <v>25</v>
      </c>
      <c r="B527" t="s">
        <v>16</v>
      </c>
      <c r="C527">
        <v>90</v>
      </c>
      <c r="D527">
        <v>89</v>
      </c>
      <c r="E527" t="s">
        <v>13</v>
      </c>
      <c r="F527" t="s">
        <v>170</v>
      </c>
      <c r="G527">
        <v>231.25</v>
      </c>
      <c r="H527" t="s">
        <v>20</v>
      </c>
      <c r="I527" s="2">
        <v>45145</v>
      </c>
      <c r="J527" s="2">
        <v>45189</v>
      </c>
      <c r="K527" t="s">
        <v>21</v>
      </c>
    </row>
    <row r="528" spans="1:11" x14ac:dyDescent="0.25">
      <c r="A528" t="s">
        <v>55</v>
      </c>
      <c r="B528" t="s">
        <v>23</v>
      </c>
      <c r="C528">
        <v>121</v>
      </c>
      <c r="D528">
        <v>94</v>
      </c>
      <c r="E528" t="s">
        <v>13</v>
      </c>
      <c r="F528" t="s">
        <v>171</v>
      </c>
      <c r="G528">
        <v>344.76</v>
      </c>
      <c r="H528" t="s">
        <v>14</v>
      </c>
      <c r="I528" s="2">
        <v>45129</v>
      </c>
      <c r="J528" s="2">
        <v>45193</v>
      </c>
      <c r="K528" t="s">
        <v>17</v>
      </c>
    </row>
    <row r="529" spans="1:11" x14ac:dyDescent="0.25">
      <c r="A529" t="s">
        <v>54</v>
      </c>
      <c r="B529" t="s">
        <v>16</v>
      </c>
      <c r="C529">
        <v>52</v>
      </c>
      <c r="D529">
        <v>39</v>
      </c>
      <c r="E529" t="s">
        <v>13</v>
      </c>
      <c r="F529" t="s">
        <v>173</v>
      </c>
      <c r="G529">
        <v>352.17</v>
      </c>
      <c r="H529" t="s">
        <v>20</v>
      </c>
      <c r="I529" s="2">
        <v>45111</v>
      </c>
      <c r="J529" s="2">
        <v>45194</v>
      </c>
      <c r="K529" t="s">
        <v>17</v>
      </c>
    </row>
    <row r="530" spans="1:11" x14ac:dyDescent="0.25">
      <c r="A530" t="s">
        <v>38</v>
      </c>
      <c r="B530" t="s">
        <v>30</v>
      </c>
      <c r="C530">
        <v>189</v>
      </c>
      <c r="D530">
        <v>80</v>
      </c>
      <c r="E530" t="s">
        <v>13</v>
      </c>
      <c r="F530" t="s">
        <v>171</v>
      </c>
      <c r="G530">
        <v>324.42</v>
      </c>
      <c r="H530" t="s">
        <v>14</v>
      </c>
      <c r="I530" s="2">
        <v>45087</v>
      </c>
      <c r="J530" s="2">
        <v>45172</v>
      </c>
      <c r="K530" t="s">
        <v>17</v>
      </c>
    </row>
    <row r="531" spans="1:11" x14ac:dyDescent="0.25">
      <c r="A531" t="s">
        <v>66</v>
      </c>
      <c r="B531" t="s">
        <v>12</v>
      </c>
      <c r="C531">
        <v>44</v>
      </c>
      <c r="D531">
        <v>94</v>
      </c>
      <c r="E531" t="s">
        <v>19</v>
      </c>
      <c r="F531" t="s">
        <v>170</v>
      </c>
      <c r="G531">
        <v>338.15</v>
      </c>
      <c r="H531" t="s">
        <v>26</v>
      </c>
      <c r="I531" s="2">
        <v>45083</v>
      </c>
      <c r="J531" s="2">
        <v>45151</v>
      </c>
      <c r="K531" t="s">
        <v>21</v>
      </c>
    </row>
    <row r="532" spans="1:11" x14ac:dyDescent="0.25">
      <c r="A532" t="s">
        <v>62</v>
      </c>
      <c r="B532" t="s">
        <v>16</v>
      </c>
      <c r="C532">
        <v>39</v>
      </c>
      <c r="D532">
        <v>43</v>
      </c>
      <c r="E532" t="s">
        <v>19</v>
      </c>
      <c r="F532" t="s">
        <v>171</v>
      </c>
      <c r="G532">
        <v>482.67</v>
      </c>
      <c r="H532" t="s">
        <v>26</v>
      </c>
      <c r="I532" s="2">
        <v>44940</v>
      </c>
      <c r="J532" s="2">
        <v>45010</v>
      </c>
      <c r="K532" t="s">
        <v>17</v>
      </c>
    </row>
    <row r="533" spans="1:11" x14ac:dyDescent="0.25">
      <c r="A533" t="s">
        <v>25</v>
      </c>
      <c r="B533" t="s">
        <v>12</v>
      </c>
      <c r="C533">
        <v>22</v>
      </c>
      <c r="D533">
        <v>39</v>
      </c>
      <c r="E533" t="s">
        <v>19</v>
      </c>
      <c r="F533" t="s">
        <v>171</v>
      </c>
      <c r="G533">
        <v>118.83</v>
      </c>
      <c r="H533" t="s">
        <v>26</v>
      </c>
      <c r="I533" s="2">
        <v>45186</v>
      </c>
      <c r="J533" s="2">
        <v>45206</v>
      </c>
      <c r="K533" t="s">
        <v>172</v>
      </c>
    </row>
    <row r="534" spans="1:11" x14ac:dyDescent="0.25">
      <c r="A534" t="s">
        <v>59</v>
      </c>
      <c r="B534" t="s">
        <v>30</v>
      </c>
      <c r="C534">
        <v>199</v>
      </c>
      <c r="D534">
        <v>62</v>
      </c>
      <c r="E534" t="s">
        <v>13</v>
      </c>
      <c r="F534" t="s">
        <v>170</v>
      </c>
      <c r="G534">
        <v>451.85</v>
      </c>
      <c r="H534" t="s">
        <v>14</v>
      </c>
      <c r="I534" s="2">
        <v>44991</v>
      </c>
      <c r="J534" s="2">
        <v>45037</v>
      </c>
      <c r="K534" t="s">
        <v>21</v>
      </c>
    </row>
    <row r="535" spans="1:11" x14ac:dyDescent="0.25">
      <c r="A535" t="s">
        <v>39</v>
      </c>
      <c r="B535" t="s">
        <v>16</v>
      </c>
      <c r="C535">
        <v>0</v>
      </c>
      <c r="D535">
        <v>37</v>
      </c>
      <c r="E535" t="s">
        <v>19</v>
      </c>
      <c r="F535" t="s">
        <v>170</v>
      </c>
      <c r="G535">
        <v>188.04</v>
      </c>
      <c r="H535" t="s">
        <v>26</v>
      </c>
      <c r="I535" s="2">
        <v>45280</v>
      </c>
      <c r="J535" s="2">
        <v>45337</v>
      </c>
    </row>
    <row r="536" spans="1:11" x14ac:dyDescent="0.25">
      <c r="A536" t="s">
        <v>58</v>
      </c>
      <c r="B536" t="s">
        <v>16</v>
      </c>
      <c r="C536">
        <v>152</v>
      </c>
      <c r="D536">
        <v>84</v>
      </c>
      <c r="E536" t="s">
        <v>13</v>
      </c>
      <c r="F536" t="s">
        <v>171</v>
      </c>
      <c r="G536">
        <v>420.29</v>
      </c>
      <c r="H536" t="s">
        <v>20</v>
      </c>
      <c r="I536" s="2">
        <v>45000</v>
      </c>
      <c r="J536" s="2">
        <v>45022</v>
      </c>
      <c r="K536" t="s">
        <v>172</v>
      </c>
    </row>
    <row r="537" spans="1:11" x14ac:dyDescent="0.25">
      <c r="A537" t="s">
        <v>64</v>
      </c>
      <c r="B537" t="s">
        <v>12</v>
      </c>
      <c r="C537">
        <v>133</v>
      </c>
      <c r="D537">
        <v>32</v>
      </c>
      <c r="E537" t="s">
        <v>13</v>
      </c>
      <c r="F537" t="s">
        <v>173</v>
      </c>
      <c r="G537">
        <v>276.13</v>
      </c>
      <c r="H537" t="s">
        <v>14</v>
      </c>
      <c r="I537" s="2">
        <v>45141</v>
      </c>
      <c r="J537" s="2">
        <v>45198</v>
      </c>
      <c r="K537" t="s">
        <v>17</v>
      </c>
    </row>
    <row r="538" spans="1:11" x14ac:dyDescent="0.25">
      <c r="A538" t="s">
        <v>29</v>
      </c>
      <c r="B538" t="s">
        <v>16</v>
      </c>
      <c r="C538">
        <v>123</v>
      </c>
      <c r="D538">
        <v>82</v>
      </c>
      <c r="E538" t="s">
        <v>13</v>
      </c>
      <c r="F538" t="s">
        <v>170</v>
      </c>
      <c r="G538">
        <v>420.82</v>
      </c>
      <c r="H538" t="s">
        <v>20</v>
      </c>
      <c r="I538" s="2">
        <v>45068</v>
      </c>
      <c r="J538" s="2">
        <v>45131</v>
      </c>
      <c r="K538" t="s">
        <v>21</v>
      </c>
    </row>
    <row r="539" spans="1:11" x14ac:dyDescent="0.25">
      <c r="A539" t="s">
        <v>34</v>
      </c>
      <c r="B539" t="s">
        <v>28</v>
      </c>
      <c r="C539">
        <v>47</v>
      </c>
      <c r="D539">
        <v>21</v>
      </c>
      <c r="E539" t="s">
        <v>13</v>
      </c>
      <c r="F539" t="s">
        <v>173</v>
      </c>
      <c r="G539">
        <v>124.03</v>
      </c>
      <c r="H539" t="s">
        <v>14</v>
      </c>
      <c r="I539" s="2">
        <v>45168</v>
      </c>
      <c r="J539" s="2">
        <v>45253</v>
      </c>
      <c r="K539" t="s">
        <v>17</v>
      </c>
    </row>
    <row r="540" spans="1:11" x14ac:dyDescent="0.25">
      <c r="A540" t="s">
        <v>37</v>
      </c>
      <c r="B540" t="s">
        <v>23</v>
      </c>
      <c r="C540">
        <v>157</v>
      </c>
      <c r="D540">
        <v>70</v>
      </c>
      <c r="E540" t="s">
        <v>13</v>
      </c>
      <c r="F540" t="s">
        <v>173</v>
      </c>
      <c r="G540">
        <v>481.17</v>
      </c>
      <c r="H540" t="s">
        <v>14</v>
      </c>
      <c r="I540" s="2">
        <v>45029</v>
      </c>
      <c r="J540" s="2">
        <v>45046</v>
      </c>
      <c r="K540" t="s">
        <v>21</v>
      </c>
    </row>
    <row r="541" spans="1:11" x14ac:dyDescent="0.25">
      <c r="A541" t="s">
        <v>57</v>
      </c>
      <c r="B541" t="s">
        <v>12</v>
      </c>
      <c r="C541">
        <v>176</v>
      </c>
      <c r="D541">
        <v>25</v>
      </c>
      <c r="E541" t="s">
        <v>13</v>
      </c>
      <c r="F541" t="s">
        <v>170</v>
      </c>
      <c r="G541">
        <v>499.58</v>
      </c>
      <c r="H541" t="s">
        <v>26</v>
      </c>
      <c r="I541" s="2">
        <v>44998</v>
      </c>
      <c r="J541" s="2">
        <v>45038</v>
      </c>
      <c r="K541" t="s">
        <v>172</v>
      </c>
    </row>
    <row r="542" spans="1:11" x14ac:dyDescent="0.25">
      <c r="A542" t="s">
        <v>57</v>
      </c>
      <c r="B542" t="s">
        <v>16</v>
      </c>
      <c r="C542">
        <v>147</v>
      </c>
      <c r="D542">
        <v>36</v>
      </c>
      <c r="E542" t="s">
        <v>13</v>
      </c>
      <c r="F542" t="s">
        <v>170</v>
      </c>
      <c r="G542">
        <v>337.34</v>
      </c>
      <c r="H542" t="s">
        <v>14</v>
      </c>
      <c r="I542" s="2">
        <v>44937</v>
      </c>
      <c r="J542" s="2">
        <v>44968</v>
      </c>
      <c r="K542" t="s">
        <v>172</v>
      </c>
    </row>
    <row r="543" spans="1:11" x14ac:dyDescent="0.25">
      <c r="A543" t="s">
        <v>62</v>
      </c>
      <c r="B543" t="s">
        <v>12</v>
      </c>
      <c r="C543">
        <v>7</v>
      </c>
      <c r="D543">
        <v>74</v>
      </c>
      <c r="E543" t="s">
        <v>19</v>
      </c>
      <c r="F543" t="s">
        <v>173</v>
      </c>
      <c r="G543">
        <v>127.4</v>
      </c>
      <c r="H543" t="s">
        <v>26</v>
      </c>
      <c r="I543" s="2">
        <v>45216</v>
      </c>
      <c r="J543" s="2">
        <v>45247</v>
      </c>
      <c r="K543" t="s">
        <v>172</v>
      </c>
    </row>
    <row r="544" spans="1:11" x14ac:dyDescent="0.25">
      <c r="A544" t="s">
        <v>58</v>
      </c>
      <c r="B544" t="s">
        <v>12</v>
      </c>
      <c r="C544">
        <v>86</v>
      </c>
      <c r="D544">
        <v>49</v>
      </c>
      <c r="E544" t="s">
        <v>13</v>
      </c>
      <c r="F544" t="s">
        <v>170</v>
      </c>
      <c r="G544">
        <v>248.72</v>
      </c>
      <c r="H544" t="s">
        <v>26</v>
      </c>
      <c r="I544" s="2">
        <v>45085</v>
      </c>
      <c r="J544" s="2">
        <v>45156</v>
      </c>
      <c r="K544" t="s">
        <v>17</v>
      </c>
    </row>
    <row r="545" spans="1:11" x14ac:dyDescent="0.25">
      <c r="A545" t="s">
        <v>40</v>
      </c>
      <c r="B545" t="s">
        <v>30</v>
      </c>
      <c r="C545">
        <v>160</v>
      </c>
      <c r="D545">
        <v>82</v>
      </c>
      <c r="E545" t="s">
        <v>13</v>
      </c>
      <c r="F545" t="s">
        <v>170</v>
      </c>
      <c r="G545">
        <v>151.11000000000001</v>
      </c>
      <c r="H545" t="s">
        <v>26</v>
      </c>
      <c r="I545" s="2">
        <v>45019</v>
      </c>
      <c r="J545" s="2">
        <v>45081</v>
      </c>
      <c r="K545" t="s">
        <v>17</v>
      </c>
    </row>
    <row r="546" spans="1:11" x14ac:dyDescent="0.25">
      <c r="A546" t="s">
        <v>42</v>
      </c>
      <c r="B546" t="s">
        <v>12</v>
      </c>
      <c r="C546">
        <v>74</v>
      </c>
      <c r="D546">
        <v>93</v>
      </c>
      <c r="E546" t="s">
        <v>19</v>
      </c>
      <c r="F546" t="s">
        <v>170</v>
      </c>
      <c r="G546">
        <v>148.30000000000001</v>
      </c>
      <c r="H546" t="s">
        <v>14</v>
      </c>
      <c r="I546" s="2">
        <v>45051</v>
      </c>
      <c r="J546" s="2">
        <v>45069</v>
      </c>
      <c r="K546" t="s">
        <v>172</v>
      </c>
    </row>
    <row r="547" spans="1:11" x14ac:dyDescent="0.25">
      <c r="A547" t="s">
        <v>55</v>
      </c>
      <c r="B547" t="s">
        <v>28</v>
      </c>
      <c r="C547">
        <v>173</v>
      </c>
      <c r="D547">
        <v>37</v>
      </c>
      <c r="E547" t="s">
        <v>13</v>
      </c>
      <c r="F547" t="s">
        <v>173</v>
      </c>
      <c r="G547">
        <v>100.55</v>
      </c>
      <c r="H547" t="s">
        <v>26</v>
      </c>
      <c r="I547" s="2">
        <v>44956</v>
      </c>
      <c r="J547" s="2">
        <v>45045</v>
      </c>
      <c r="K547" t="s">
        <v>172</v>
      </c>
    </row>
    <row r="548" spans="1:11" x14ac:dyDescent="0.25">
      <c r="A548" t="s">
        <v>56</v>
      </c>
      <c r="B548" t="s">
        <v>30</v>
      </c>
      <c r="C548">
        <v>9</v>
      </c>
      <c r="D548">
        <v>60</v>
      </c>
      <c r="E548" t="s">
        <v>19</v>
      </c>
      <c r="F548" t="s">
        <v>171</v>
      </c>
      <c r="G548">
        <v>36.35</v>
      </c>
      <c r="H548" t="s">
        <v>20</v>
      </c>
      <c r="I548" s="2">
        <v>45156</v>
      </c>
      <c r="J548" s="2">
        <v>45227</v>
      </c>
      <c r="K548" t="s">
        <v>17</v>
      </c>
    </row>
    <row r="549" spans="1:11" x14ac:dyDescent="0.25">
      <c r="A549" t="s">
        <v>24</v>
      </c>
      <c r="B549" t="s">
        <v>16</v>
      </c>
      <c r="C549">
        <v>112</v>
      </c>
      <c r="D549">
        <v>39</v>
      </c>
      <c r="E549" t="s">
        <v>13</v>
      </c>
      <c r="F549" t="s">
        <v>171</v>
      </c>
      <c r="G549">
        <v>257.92</v>
      </c>
      <c r="H549" t="s">
        <v>20</v>
      </c>
      <c r="I549" s="2">
        <v>45068</v>
      </c>
      <c r="J549" s="2">
        <v>45098</v>
      </c>
    </row>
    <row r="550" spans="1:11" x14ac:dyDescent="0.25">
      <c r="A550" t="s">
        <v>58</v>
      </c>
      <c r="B550" t="s">
        <v>23</v>
      </c>
      <c r="C550">
        <v>94</v>
      </c>
      <c r="D550">
        <v>79</v>
      </c>
      <c r="E550" t="s">
        <v>13</v>
      </c>
      <c r="F550" t="s">
        <v>171</v>
      </c>
      <c r="G550">
        <v>129.28</v>
      </c>
      <c r="H550" t="s">
        <v>20</v>
      </c>
      <c r="I550" s="2">
        <v>45047</v>
      </c>
      <c r="J550" s="2">
        <v>45113</v>
      </c>
      <c r="K550" t="s">
        <v>17</v>
      </c>
    </row>
    <row r="551" spans="1:11" x14ac:dyDescent="0.25">
      <c r="A551" t="s">
        <v>31</v>
      </c>
      <c r="B551" t="s">
        <v>16</v>
      </c>
      <c r="C551">
        <v>45</v>
      </c>
      <c r="D551">
        <v>81</v>
      </c>
      <c r="E551" t="s">
        <v>19</v>
      </c>
      <c r="F551" t="s">
        <v>170</v>
      </c>
      <c r="G551">
        <v>214.37</v>
      </c>
      <c r="H551" t="s">
        <v>20</v>
      </c>
      <c r="I551" s="2">
        <v>45207</v>
      </c>
      <c r="J551" s="2">
        <v>45242</v>
      </c>
      <c r="K551" t="s">
        <v>172</v>
      </c>
    </row>
    <row r="552" spans="1:11" x14ac:dyDescent="0.25">
      <c r="A552" t="s">
        <v>58</v>
      </c>
      <c r="B552" t="s">
        <v>16</v>
      </c>
      <c r="C552">
        <v>138</v>
      </c>
      <c r="D552">
        <v>43</v>
      </c>
      <c r="E552" t="s">
        <v>13</v>
      </c>
      <c r="F552" t="s">
        <v>170</v>
      </c>
      <c r="G552">
        <v>289.82</v>
      </c>
      <c r="H552" t="s">
        <v>14</v>
      </c>
      <c r="I552" s="2">
        <v>45139</v>
      </c>
      <c r="J552" s="2">
        <v>45220</v>
      </c>
    </row>
    <row r="553" spans="1:11" x14ac:dyDescent="0.25">
      <c r="A553" t="s">
        <v>72</v>
      </c>
      <c r="B553" t="s">
        <v>16</v>
      </c>
      <c r="C553">
        <v>80</v>
      </c>
      <c r="D553">
        <v>93</v>
      </c>
      <c r="E553" t="s">
        <v>19</v>
      </c>
      <c r="F553" t="s">
        <v>173</v>
      </c>
      <c r="G553">
        <v>411.48</v>
      </c>
      <c r="H553" t="s">
        <v>26</v>
      </c>
      <c r="I553" s="2">
        <v>45205</v>
      </c>
      <c r="J553" s="2">
        <v>45253</v>
      </c>
      <c r="K553" t="s">
        <v>172</v>
      </c>
    </row>
    <row r="554" spans="1:11" x14ac:dyDescent="0.25">
      <c r="A554" t="s">
        <v>27</v>
      </c>
      <c r="B554" t="s">
        <v>16</v>
      </c>
      <c r="C554">
        <v>33</v>
      </c>
      <c r="D554">
        <v>42</v>
      </c>
      <c r="E554" t="s">
        <v>19</v>
      </c>
      <c r="F554" t="s">
        <v>171</v>
      </c>
      <c r="G554">
        <v>52.71</v>
      </c>
      <c r="H554" t="s">
        <v>20</v>
      </c>
      <c r="I554" s="2">
        <v>45049</v>
      </c>
      <c r="J554" s="2">
        <v>45109</v>
      </c>
      <c r="K554" t="s">
        <v>21</v>
      </c>
    </row>
    <row r="555" spans="1:11" x14ac:dyDescent="0.25">
      <c r="A555" t="s">
        <v>48</v>
      </c>
      <c r="B555" t="s">
        <v>23</v>
      </c>
      <c r="C555">
        <v>72</v>
      </c>
      <c r="D555">
        <v>65</v>
      </c>
      <c r="E555" t="s">
        <v>13</v>
      </c>
      <c r="F555" t="s">
        <v>171</v>
      </c>
      <c r="G555">
        <v>453.97</v>
      </c>
      <c r="H555" t="s">
        <v>14</v>
      </c>
      <c r="I555" s="2">
        <v>45258</v>
      </c>
      <c r="J555" s="2">
        <v>45331</v>
      </c>
      <c r="K555" t="s">
        <v>17</v>
      </c>
    </row>
    <row r="556" spans="1:11" x14ac:dyDescent="0.25">
      <c r="A556" t="s">
        <v>67</v>
      </c>
      <c r="B556" t="s">
        <v>30</v>
      </c>
      <c r="C556">
        <v>3</v>
      </c>
      <c r="D556">
        <v>26</v>
      </c>
      <c r="E556" t="s">
        <v>19</v>
      </c>
      <c r="F556" t="s">
        <v>173</v>
      </c>
      <c r="G556">
        <v>365.66</v>
      </c>
      <c r="H556" t="s">
        <v>26</v>
      </c>
      <c r="I556" s="2">
        <v>45231</v>
      </c>
      <c r="J556" s="2">
        <v>45260</v>
      </c>
    </row>
    <row r="557" spans="1:11" x14ac:dyDescent="0.25">
      <c r="A557" t="s">
        <v>31</v>
      </c>
      <c r="B557" t="s">
        <v>30</v>
      </c>
      <c r="C557">
        <v>69</v>
      </c>
      <c r="D557">
        <v>56</v>
      </c>
      <c r="E557" t="s">
        <v>13</v>
      </c>
      <c r="F557" t="s">
        <v>170</v>
      </c>
      <c r="G557">
        <v>367.41</v>
      </c>
      <c r="H557" t="s">
        <v>14</v>
      </c>
      <c r="I557" s="2">
        <v>45135</v>
      </c>
      <c r="J557" s="2">
        <v>45185</v>
      </c>
      <c r="K557" t="s">
        <v>17</v>
      </c>
    </row>
    <row r="558" spans="1:11" x14ac:dyDescent="0.25">
      <c r="A558" t="s">
        <v>60</v>
      </c>
      <c r="B558" t="s">
        <v>28</v>
      </c>
      <c r="C558">
        <v>75</v>
      </c>
      <c r="D558">
        <v>44</v>
      </c>
      <c r="E558" t="s">
        <v>13</v>
      </c>
      <c r="F558" t="s">
        <v>173</v>
      </c>
      <c r="G558">
        <v>458.69</v>
      </c>
      <c r="H558" t="s">
        <v>20</v>
      </c>
      <c r="I558" s="2">
        <v>45132</v>
      </c>
      <c r="J558" s="2">
        <v>45147</v>
      </c>
      <c r="K558" t="s">
        <v>172</v>
      </c>
    </row>
    <row r="559" spans="1:11" x14ac:dyDescent="0.25">
      <c r="A559" t="s">
        <v>49</v>
      </c>
      <c r="B559" t="s">
        <v>30</v>
      </c>
      <c r="C559">
        <v>134</v>
      </c>
      <c r="D559">
        <v>47</v>
      </c>
      <c r="E559" t="s">
        <v>13</v>
      </c>
      <c r="F559" t="s">
        <v>170</v>
      </c>
      <c r="G559">
        <v>149.74</v>
      </c>
      <c r="H559" t="s">
        <v>26</v>
      </c>
      <c r="I559" s="2">
        <v>45266</v>
      </c>
      <c r="J559" s="2">
        <v>45330</v>
      </c>
      <c r="K559" t="s">
        <v>17</v>
      </c>
    </row>
    <row r="560" spans="1:11" x14ac:dyDescent="0.25">
      <c r="A560" t="s">
        <v>43</v>
      </c>
      <c r="B560" t="s">
        <v>30</v>
      </c>
      <c r="C560">
        <v>161</v>
      </c>
      <c r="D560">
        <v>78</v>
      </c>
      <c r="E560" t="s">
        <v>13</v>
      </c>
      <c r="F560" t="s">
        <v>171</v>
      </c>
      <c r="G560">
        <v>222.96</v>
      </c>
      <c r="H560" t="s">
        <v>26</v>
      </c>
      <c r="I560" s="2">
        <v>45030</v>
      </c>
      <c r="J560" s="2">
        <v>45081</v>
      </c>
      <c r="K560" t="s">
        <v>172</v>
      </c>
    </row>
    <row r="561" spans="1:11" x14ac:dyDescent="0.25">
      <c r="A561" t="s">
        <v>40</v>
      </c>
      <c r="B561" t="s">
        <v>12</v>
      </c>
      <c r="C561">
        <v>147</v>
      </c>
      <c r="D561">
        <v>42</v>
      </c>
      <c r="E561" t="s">
        <v>13</v>
      </c>
      <c r="F561" t="s">
        <v>171</v>
      </c>
      <c r="G561">
        <v>149.66999999999999</v>
      </c>
      <c r="H561" t="s">
        <v>26</v>
      </c>
      <c r="I561" s="2">
        <v>45062</v>
      </c>
      <c r="J561" s="2">
        <v>45083</v>
      </c>
      <c r="K561" t="s">
        <v>21</v>
      </c>
    </row>
    <row r="562" spans="1:11" x14ac:dyDescent="0.25">
      <c r="A562" t="s">
        <v>69</v>
      </c>
      <c r="B562" t="s">
        <v>28</v>
      </c>
      <c r="C562">
        <v>179</v>
      </c>
      <c r="D562">
        <v>44</v>
      </c>
      <c r="E562" t="s">
        <v>13</v>
      </c>
      <c r="F562" t="s">
        <v>173</v>
      </c>
      <c r="G562">
        <v>132.47999999999999</v>
      </c>
      <c r="H562" t="s">
        <v>20</v>
      </c>
      <c r="I562" s="2">
        <v>45285</v>
      </c>
      <c r="J562" s="2">
        <v>45333</v>
      </c>
    </row>
    <row r="563" spans="1:11" x14ac:dyDescent="0.25">
      <c r="A563" t="s">
        <v>35</v>
      </c>
      <c r="B563" t="s">
        <v>12</v>
      </c>
      <c r="C563">
        <v>161</v>
      </c>
      <c r="D563">
        <v>97</v>
      </c>
      <c r="E563" t="s">
        <v>13</v>
      </c>
      <c r="F563" t="s">
        <v>170</v>
      </c>
      <c r="G563">
        <v>87.74</v>
      </c>
      <c r="H563" t="s">
        <v>14</v>
      </c>
      <c r="I563" s="2">
        <v>45248</v>
      </c>
      <c r="J563" s="2">
        <v>45294</v>
      </c>
      <c r="K563" t="s">
        <v>17</v>
      </c>
    </row>
    <row r="564" spans="1:11" x14ac:dyDescent="0.25">
      <c r="A564" t="s">
        <v>65</v>
      </c>
      <c r="B564" t="s">
        <v>23</v>
      </c>
      <c r="C564">
        <v>118</v>
      </c>
      <c r="D564">
        <v>41</v>
      </c>
      <c r="E564" t="s">
        <v>13</v>
      </c>
      <c r="F564" t="s">
        <v>170</v>
      </c>
      <c r="G564">
        <v>386.06</v>
      </c>
      <c r="H564" t="s">
        <v>14</v>
      </c>
      <c r="I564" s="2">
        <v>45154</v>
      </c>
      <c r="J564" s="2">
        <v>45179</v>
      </c>
      <c r="K564" t="s">
        <v>17</v>
      </c>
    </row>
    <row r="565" spans="1:11" x14ac:dyDescent="0.25">
      <c r="A565" t="s">
        <v>68</v>
      </c>
      <c r="B565" t="s">
        <v>16</v>
      </c>
      <c r="C565">
        <v>146</v>
      </c>
      <c r="D565">
        <v>74</v>
      </c>
      <c r="E565" t="s">
        <v>13</v>
      </c>
      <c r="F565" t="s">
        <v>171</v>
      </c>
      <c r="G565">
        <v>287.58</v>
      </c>
      <c r="H565" t="s">
        <v>14</v>
      </c>
      <c r="I565" s="2">
        <v>45116</v>
      </c>
      <c r="J565" s="2">
        <v>45149</v>
      </c>
      <c r="K565" t="s">
        <v>172</v>
      </c>
    </row>
    <row r="566" spans="1:11" x14ac:dyDescent="0.25">
      <c r="A566" t="s">
        <v>29</v>
      </c>
      <c r="B566" t="s">
        <v>12</v>
      </c>
      <c r="C566">
        <v>81</v>
      </c>
      <c r="D566">
        <v>95</v>
      </c>
      <c r="E566" t="s">
        <v>19</v>
      </c>
      <c r="F566" t="s">
        <v>173</v>
      </c>
      <c r="G566">
        <v>375.62</v>
      </c>
      <c r="H566" t="s">
        <v>20</v>
      </c>
      <c r="I566" s="2">
        <v>45109</v>
      </c>
      <c r="J566" s="2">
        <v>45159</v>
      </c>
      <c r="K566" t="s">
        <v>21</v>
      </c>
    </row>
    <row r="567" spans="1:11" x14ac:dyDescent="0.25">
      <c r="A567" t="s">
        <v>31</v>
      </c>
      <c r="B567" t="s">
        <v>12</v>
      </c>
      <c r="C567">
        <v>37</v>
      </c>
      <c r="D567">
        <v>35</v>
      </c>
      <c r="E567" t="s">
        <v>13</v>
      </c>
      <c r="F567" t="s">
        <v>170</v>
      </c>
      <c r="G567">
        <v>300.32</v>
      </c>
      <c r="H567" t="s">
        <v>14</v>
      </c>
      <c r="I567" s="2">
        <v>44959</v>
      </c>
      <c r="J567" s="2">
        <v>44996</v>
      </c>
      <c r="K567" t="s">
        <v>172</v>
      </c>
    </row>
    <row r="568" spans="1:11" x14ac:dyDescent="0.25">
      <c r="A568" t="s">
        <v>71</v>
      </c>
      <c r="B568" t="s">
        <v>23</v>
      </c>
      <c r="C568">
        <v>99</v>
      </c>
      <c r="D568">
        <v>87</v>
      </c>
      <c r="E568" t="s">
        <v>13</v>
      </c>
      <c r="F568" t="s">
        <v>170</v>
      </c>
      <c r="G568">
        <v>370.57</v>
      </c>
      <c r="H568" t="s">
        <v>14</v>
      </c>
      <c r="I568" s="2">
        <v>45262</v>
      </c>
      <c r="J568" s="2">
        <v>45288</v>
      </c>
    </row>
    <row r="569" spans="1:11" x14ac:dyDescent="0.25">
      <c r="A569" t="s">
        <v>48</v>
      </c>
      <c r="B569" t="s">
        <v>23</v>
      </c>
      <c r="C569">
        <v>153</v>
      </c>
      <c r="D569">
        <v>92</v>
      </c>
      <c r="E569" t="s">
        <v>13</v>
      </c>
      <c r="F569" t="s">
        <v>173</v>
      </c>
      <c r="G569">
        <v>145.26</v>
      </c>
      <c r="H569" t="s">
        <v>20</v>
      </c>
      <c r="I569" s="2">
        <v>44987</v>
      </c>
      <c r="J569" s="2">
        <v>45074</v>
      </c>
    </row>
    <row r="570" spans="1:11" x14ac:dyDescent="0.25">
      <c r="A570" t="s">
        <v>64</v>
      </c>
      <c r="B570" t="s">
        <v>30</v>
      </c>
      <c r="C570">
        <v>55</v>
      </c>
      <c r="D570">
        <v>41</v>
      </c>
      <c r="E570" t="s">
        <v>13</v>
      </c>
      <c r="F570" t="s">
        <v>173</v>
      </c>
      <c r="G570">
        <v>144.25</v>
      </c>
      <c r="H570" t="s">
        <v>20</v>
      </c>
      <c r="I570" s="2">
        <v>44965</v>
      </c>
      <c r="J570" s="2">
        <v>45020</v>
      </c>
      <c r="K570" t="s">
        <v>17</v>
      </c>
    </row>
    <row r="571" spans="1:11" x14ac:dyDescent="0.25">
      <c r="A571" t="s">
        <v>18</v>
      </c>
      <c r="B571" t="s">
        <v>12</v>
      </c>
      <c r="C571">
        <v>71</v>
      </c>
      <c r="D571">
        <v>71</v>
      </c>
      <c r="E571" t="s">
        <v>13</v>
      </c>
      <c r="F571" t="s">
        <v>173</v>
      </c>
      <c r="G571">
        <v>459.01</v>
      </c>
      <c r="H571" t="s">
        <v>14</v>
      </c>
      <c r="I571" s="2">
        <v>44927</v>
      </c>
      <c r="J571" s="2">
        <v>45012</v>
      </c>
      <c r="K571" t="s">
        <v>21</v>
      </c>
    </row>
    <row r="572" spans="1:11" x14ac:dyDescent="0.25">
      <c r="A572" t="s">
        <v>61</v>
      </c>
      <c r="B572" t="s">
        <v>12</v>
      </c>
      <c r="C572">
        <v>198</v>
      </c>
      <c r="D572">
        <v>41</v>
      </c>
      <c r="E572" t="s">
        <v>13</v>
      </c>
      <c r="F572" t="s">
        <v>170</v>
      </c>
      <c r="G572">
        <v>160.47999999999999</v>
      </c>
      <c r="H572" t="s">
        <v>14</v>
      </c>
      <c r="I572" s="2">
        <v>44979</v>
      </c>
      <c r="J572" s="2">
        <v>45043</v>
      </c>
      <c r="K572" t="s">
        <v>21</v>
      </c>
    </row>
    <row r="573" spans="1:11" x14ac:dyDescent="0.25">
      <c r="A573" t="s">
        <v>40</v>
      </c>
      <c r="B573" t="s">
        <v>30</v>
      </c>
      <c r="C573">
        <v>141</v>
      </c>
      <c r="D573">
        <v>84</v>
      </c>
      <c r="E573" t="s">
        <v>13</v>
      </c>
      <c r="F573" t="s">
        <v>173</v>
      </c>
      <c r="G573">
        <v>198.8</v>
      </c>
      <c r="H573" t="s">
        <v>20</v>
      </c>
      <c r="I573" s="2">
        <v>45205</v>
      </c>
      <c r="J573" s="2">
        <v>45253</v>
      </c>
      <c r="K573" t="s">
        <v>172</v>
      </c>
    </row>
    <row r="574" spans="1:11" x14ac:dyDescent="0.25">
      <c r="A574" t="s">
        <v>18</v>
      </c>
      <c r="B574" t="s">
        <v>23</v>
      </c>
      <c r="C574">
        <v>153</v>
      </c>
      <c r="D574">
        <v>60</v>
      </c>
      <c r="E574" t="s">
        <v>13</v>
      </c>
      <c r="F574" t="s">
        <v>170</v>
      </c>
      <c r="G574">
        <v>334.15</v>
      </c>
      <c r="H574" t="s">
        <v>14</v>
      </c>
      <c r="I574" s="2">
        <v>45109</v>
      </c>
      <c r="J574" s="2">
        <v>45154</v>
      </c>
      <c r="K574" t="s">
        <v>17</v>
      </c>
    </row>
    <row r="575" spans="1:11" x14ac:dyDescent="0.25">
      <c r="A575" t="s">
        <v>72</v>
      </c>
      <c r="B575" t="s">
        <v>12</v>
      </c>
      <c r="C575">
        <v>105</v>
      </c>
      <c r="D575">
        <v>74</v>
      </c>
      <c r="E575" t="s">
        <v>13</v>
      </c>
      <c r="F575" t="s">
        <v>173</v>
      </c>
      <c r="G575">
        <v>170.21</v>
      </c>
      <c r="H575" t="s">
        <v>20</v>
      </c>
      <c r="I575" s="2">
        <v>45229</v>
      </c>
      <c r="J575" s="2">
        <v>45286</v>
      </c>
      <c r="K575" t="s">
        <v>172</v>
      </c>
    </row>
    <row r="576" spans="1:11" x14ac:dyDescent="0.25">
      <c r="A576" t="s">
        <v>34</v>
      </c>
      <c r="B576" t="s">
        <v>30</v>
      </c>
      <c r="C576">
        <v>37</v>
      </c>
      <c r="D576">
        <v>52</v>
      </c>
      <c r="E576" t="s">
        <v>19</v>
      </c>
      <c r="F576" t="s">
        <v>173</v>
      </c>
      <c r="G576">
        <v>491.16</v>
      </c>
      <c r="H576" t="s">
        <v>20</v>
      </c>
      <c r="I576" s="2">
        <v>44951</v>
      </c>
      <c r="J576" s="2">
        <v>45037</v>
      </c>
      <c r="K576" t="s">
        <v>17</v>
      </c>
    </row>
    <row r="577" spans="1:11" x14ac:dyDescent="0.25">
      <c r="A577" t="s">
        <v>68</v>
      </c>
      <c r="B577" t="s">
        <v>16</v>
      </c>
      <c r="C577">
        <v>70</v>
      </c>
      <c r="D577">
        <v>51</v>
      </c>
      <c r="E577" t="s">
        <v>13</v>
      </c>
      <c r="F577" t="s">
        <v>173</v>
      </c>
      <c r="G577">
        <v>346.74</v>
      </c>
      <c r="H577" t="s">
        <v>26</v>
      </c>
      <c r="I577" s="2">
        <v>45194</v>
      </c>
      <c r="J577" s="2">
        <v>45270</v>
      </c>
      <c r="K577" t="s">
        <v>172</v>
      </c>
    </row>
    <row r="578" spans="1:11" x14ac:dyDescent="0.25">
      <c r="A578" t="s">
        <v>41</v>
      </c>
      <c r="B578" t="s">
        <v>12</v>
      </c>
      <c r="C578">
        <v>118</v>
      </c>
      <c r="D578">
        <v>97</v>
      </c>
      <c r="E578" t="s">
        <v>13</v>
      </c>
      <c r="F578" t="s">
        <v>170</v>
      </c>
      <c r="G578">
        <v>150.16</v>
      </c>
      <c r="H578" t="s">
        <v>26</v>
      </c>
      <c r="I578" s="2">
        <v>45216</v>
      </c>
      <c r="J578" s="2">
        <v>45243</v>
      </c>
      <c r="K578" t="s">
        <v>21</v>
      </c>
    </row>
    <row r="579" spans="1:11" x14ac:dyDescent="0.25">
      <c r="A579" t="s">
        <v>27</v>
      </c>
      <c r="B579" t="s">
        <v>30</v>
      </c>
      <c r="C579">
        <v>158</v>
      </c>
      <c r="D579">
        <v>93</v>
      </c>
      <c r="E579" t="s">
        <v>13</v>
      </c>
      <c r="F579" t="s">
        <v>173</v>
      </c>
      <c r="G579">
        <v>202.62</v>
      </c>
      <c r="H579" t="s">
        <v>26</v>
      </c>
      <c r="I579" s="2">
        <v>45251</v>
      </c>
      <c r="J579" s="2">
        <v>45274</v>
      </c>
      <c r="K579" t="s">
        <v>17</v>
      </c>
    </row>
    <row r="580" spans="1:11" x14ac:dyDescent="0.25">
      <c r="A580" t="s">
        <v>68</v>
      </c>
      <c r="B580" t="s">
        <v>16</v>
      </c>
      <c r="C580">
        <v>24</v>
      </c>
      <c r="D580">
        <v>77</v>
      </c>
      <c r="E580" t="s">
        <v>19</v>
      </c>
      <c r="F580" t="s">
        <v>171</v>
      </c>
      <c r="G580">
        <v>161.91999999999999</v>
      </c>
      <c r="H580" t="s">
        <v>20</v>
      </c>
      <c r="I580" s="2">
        <v>45003</v>
      </c>
      <c r="J580" s="2">
        <v>45069</v>
      </c>
    </row>
    <row r="581" spans="1:11" x14ac:dyDescent="0.25">
      <c r="A581" t="s">
        <v>70</v>
      </c>
      <c r="B581" t="s">
        <v>30</v>
      </c>
      <c r="C581">
        <v>117</v>
      </c>
      <c r="D581">
        <v>89</v>
      </c>
      <c r="E581" t="s">
        <v>13</v>
      </c>
      <c r="F581" t="s">
        <v>173</v>
      </c>
      <c r="G581">
        <v>484</v>
      </c>
      <c r="H581" t="s">
        <v>14</v>
      </c>
      <c r="I581" s="2">
        <v>45121</v>
      </c>
      <c r="J581" s="2">
        <v>45170</v>
      </c>
      <c r="K581" t="s">
        <v>17</v>
      </c>
    </row>
    <row r="582" spans="1:11" x14ac:dyDescent="0.25">
      <c r="A582" t="s">
        <v>54</v>
      </c>
      <c r="B582" t="s">
        <v>16</v>
      </c>
      <c r="C582">
        <v>114</v>
      </c>
      <c r="D582">
        <v>42</v>
      </c>
      <c r="E582" t="s">
        <v>13</v>
      </c>
      <c r="F582" t="s">
        <v>173</v>
      </c>
      <c r="G582">
        <v>217.69</v>
      </c>
      <c r="H582" t="s">
        <v>20</v>
      </c>
      <c r="I582" s="2">
        <v>45126</v>
      </c>
      <c r="J582" s="2">
        <v>45144</v>
      </c>
      <c r="K582" t="s">
        <v>172</v>
      </c>
    </row>
    <row r="583" spans="1:11" x14ac:dyDescent="0.25">
      <c r="A583" t="s">
        <v>58</v>
      </c>
      <c r="B583" t="s">
        <v>28</v>
      </c>
      <c r="C583">
        <v>16</v>
      </c>
      <c r="D583">
        <v>88</v>
      </c>
      <c r="E583" t="s">
        <v>19</v>
      </c>
      <c r="F583" t="s">
        <v>171</v>
      </c>
      <c r="G583">
        <v>186.8</v>
      </c>
      <c r="H583" t="s">
        <v>14</v>
      </c>
      <c r="I583" s="2">
        <v>45278</v>
      </c>
      <c r="J583" s="2">
        <v>45310</v>
      </c>
      <c r="K583" t="s">
        <v>172</v>
      </c>
    </row>
    <row r="584" spans="1:11" x14ac:dyDescent="0.25">
      <c r="A584" t="s">
        <v>39</v>
      </c>
      <c r="B584" t="s">
        <v>28</v>
      </c>
      <c r="C584">
        <v>25</v>
      </c>
      <c r="D584">
        <v>86</v>
      </c>
      <c r="E584" t="s">
        <v>19</v>
      </c>
      <c r="F584" t="s">
        <v>170</v>
      </c>
      <c r="G584">
        <v>100.27</v>
      </c>
      <c r="H584" t="s">
        <v>14</v>
      </c>
      <c r="I584" s="2">
        <v>45174</v>
      </c>
      <c r="J584" s="2">
        <v>45234</v>
      </c>
      <c r="K584" t="s">
        <v>17</v>
      </c>
    </row>
    <row r="585" spans="1:11" x14ac:dyDescent="0.25">
      <c r="A585" t="s">
        <v>45</v>
      </c>
      <c r="B585" t="s">
        <v>30</v>
      </c>
      <c r="C585">
        <v>40</v>
      </c>
      <c r="D585">
        <v>80</v>
      </c>
      <c r="E585" t="s">
        <v>19</v>
      </c>
      <c r="F585" t="s">
        <v>170</v>
      </c>
      <c r="G585">
        <v>116.33</v>
      </c>
      <c r="H585" t="s">
        <v>14</v>
      </c>
      <c r="I585" s="2">
        <v>45067</v>
      </c>
      <c r="J585" s="2">
        <v>45103</v>
      </c>
      <c r="K585" t="s">
        <v>17</v>
      </c>
    </row>
    <row r="586" spans="1:11" x14ac:dyDescent="0.25">
      <c r="A586" t="s">
        <v>53</v>
      </c>
      <c r="B586" t="s">
        <v>12</v>
      </c>
      <c r="C586">
        <v>97</v>
      </c>
      <c r="D586">
        <v>20</v>
      </c>
      <c r="E586" t="s">
        <v>13</v>
      </c>
      <c r="F586" t="s">
        <v>170</v>
      </c>
      <c r="G586">
        <v>251.26</v>
      </c>
      <c r="H586" t="s">
        <v>20</v>
      </c>
      <c r="I586" s="2">
        <v>45088</v>
      </c>
      <c r="J586" s="2">
        <v>45124</v>
      </c>
      <c r="K586" t="s">
        <v>17</v>
      </c>
    </row>
    <row r="587" spans="1:11" x14ac:dyDescent="0.25">
      <c r="A587" t="s">
        <v>44</v>
      </c>
      <c r="B587" t="s">
        <v>28</v>
      </c>
      <c r="C587">
        <v>173</v>
      </c>
      <c r="D587">
        <v>86</v>
      </c>
      <c r="E587" t="s">
        <v>13</v>
      </c>
      <c r="F587" t="s">
        <v>173</v>
      </c>
      <c r="G587">
        <v>387.9</v>
      </c>
      <c r="H587" t="s">
        <v>14</v>
      </c>
      <c r="I587" s="2">
        <v>45219</v>
      </c>
      <c r="J587" s="2">
        <v>45252</v>
      </c>
      <c r="K587" t="s">
        <v>172</v>
      </c>
    </row>
    <row r="588" spans="1:11" x14ac:dyDescent="0.25">
      <c r="A588" t="s">
        <v>55</v>
      </c>
      <c r="B588" t="s">
        <v>28</v>
      </c>
      <c r="C588">
        <v>174</v>
      </c>
      <c r="D588">
        <v>85</v>
      </c>
      <c r="E588" t="s">
        <v>13</v>
      </c>
      <c r="F588" t="s">
        <v>171</v>
      </c>
      <c r="G588">
        <v>222.72</v>
      </c>
      <c r="H588" t="s">
        <v>20</v>
      </c>
      <c r="I588" s="2">
        <v>45013</v>
      </c>
      <c r="J588" s="2">
        <v>45096</v>
      </c>
      <c r="K588" t="s">
        <v>172</v>
      </c>
    </row>
    <row r="589" spans="1:11" x14ac:dyDescent="0.25">
      <c r="A589" t="s">
        <v>11</v>
      </c>
      <c r="B589" t="s">
        <v>23</v>
      </c>
      <c r="C589">
        <v>157</v>
      </c>
      <c r="D589">
        <v>59</v>
      </c>
      <c r="E589" t="s">
        <v>13</v>
      </c>
      <c r="F589" t="s">
        <v>170</v>
      </c>
      <c r="G589">
        <v>213.98</v>
      </c>
      <c r="H589" t="s">
        <v>20</v>
      </c>
      <c r="I589" s="2">
        <v>45111</v>
      </c>
      <c r="J589" s="2">
        <v>45163</v>
      </c>
      <c r="K589" t="s">
        <v>17</v>
      </c>
    </row>
    <row r="590" spans="1:11" x14ac:dyDescent="0.25">
      <c r="A590" t="s">
        <v>18</v>
      </c>
      <c r="B590" t="s">
        <v>30</v>
      </c>
      <c r="C590">
        <v>44</v>
      </c>
      <c r="D590">
        <v>26</v>
      </c>
      <c r="E590" t="s">
        <v>13</v>
      </c>
      <c r="F590" t="s">
        <v>170</v>
      </c>
      <c r="G590">
        <v>150.54</v>
      </c>
      <c r="H590" t="s">
        <v>20</v>
      </c>
      <c r="I590" s="2">
        <v>44974</v>
      </c>
      <c r="J590" s="2">
        <v>45009</v>
      </c>
      <c r="K590" t="s">
        <v>21</v>
      </c>
    </row>
    <row r="591" spans="1:11" x14ac:dyDescent="0.25">
      <c r="A591" t="s">
        <v>44</v>
      </c>
      <c r="B591" t="s">
        <v>12</v>
      </c>
      <c r="C591">
        <v>56</v>
      </c>
      <c r="D591">
        <v>77</v>
      </c>
      <c r="E591" t="s">
        <v>19</v>
      </c>
      <c r="F591" t="s">
        <v>170</v>
      </c>
      <c r="G591">
        <v>297.51</v>
      </c>
      <c r="H591" t="s">
        <v>14</v>
      </c>
      <c r="I591" s="2">
        <v>45193</v>
      </c>
      <c r="J591" s="2">
        <v>45277</v>
      </c>
      <c r="K591" t="s">
        <v>21</v>
      </c>
    </row>
    <row r="592" spans="1:11" x14ac:dyDescent="0.25">
      <c r="A592" t="s">
        <v>72</v>
      </c>
      <c r="B592" t="s">
        <v>30</v>
      </c>
      <c r="C592">
        <v>150</v>
      </c>
      <c r="D592">
        <v>85</v>
      </c>
      <c r="E592" t="s">
        <v>13</v>
      </c>
      <c r="F592" t="s">
        <v>173</v>
      </c>
      <c r="G592">
        <v>476.25</v>
      </c>
      <c r="H592" t="s">
        <v>14</v>
      </c>
      <c r="I592" s="2">
        <v>45095</v>
      </c>
      <c r="J592" s="2">
        <v>45124</v>
      </c>
      <c r="K592" t="s">
        <v>21</v>
      </c>
    </row>
    <row r="593" spans="1:11" x14ac:dyDescent="0.25">
      <c r="A593" t="s">
        <v>56</v>
      </c>
      <c r="B593" t="s">
        <v>28</v>
      </c>
      <c r="C593">
        <v>74</v>
      </c>
      <c r="D593">
        <v>34</v>
      </c>
      <c r="E593" t="s">
        <v>13</v>
      </c>
      <c r="F593" t="s">
        <v>173</v>
      </c>
      <c r="G593">
        <v>491.53</v>
      </c>
      <c r="H593" t="s">
        <v>20</v>
      </c>
      <c r="I593" s="2">
        <v>45179</v>
      </c>
      <c r="J593" s="2">
        <v>45223</v>
      </c>
      <c r="K593" t="s">
        <v>172</v>
      </c>
    </row>
    <row r="594" spans="1:11" x14ac:dyDescent="0.25">
      <c r="A594" t="s">
        <v>54</v>
      </c>
      <c r="B594" t="s">
        <v>12</v>
      </c>
      <c r="C594">
        <v>76</v>
      </c>
      <c r="D594">
        <v>69</v>
      </c>
      <c r="E594" t="s">
        <v>13</v>
      </c>
      <c r="F594" t="s">
        <v>170</v>
      </c>
      <c r="G594">
        <v>235.93</v>
      </c>
      <c r="H594" t="s">
        <v>26</v>
      </c>
      <c r="I594" s="2">
        <v>45289</v>
      </c>
      <c r="J594" s="2">
        <v>45355</v>
      </c>
      <c r="K594" t="s">
        <v>21</v>
      </c>
    </row>
    <row r="595" spans="1:11" x14ac:dyDescent="0.25">
      <c r="A595" t="s">
        <v>44</v>
      </c>
      <c r="B595" t="s">
        <v>30</v>
      </c>
      <c r="C595">
        <v>196</v>
      </c>
      <c r="D595">
        <v>56</v>
      </c>
      <c r="E595" t="s">
        <v>13</v>
      </c>
      <c r="F595" t="s">
        <v>173</v>
      </c>
      <c r="G595">
        <v>313.44</v>
      </c>
      <c r="H595" t="s">
        <v>20</v>
      </c>
      <c r="I595" s="2">
        <v>45053</v>
      </c>
      <c r="J595" s="2">
        <v>45117</v>
      </c>
    </row>
    <row r="596" spans="1:11" x14ac:dyDescent="0.25">
      <c r="A596" t="s">
        <v>22</v>
      </c>
      <c r="B596" t="s">
        <v>28</v>
      </c>
      <c r="C596">
        <v>163</v>
      </c>
      <c r="D596">
        <v>88</v>
      </c>
      <c r="E596" t="s">
        <v>13</v>
      </c>
      <c r="F596" t="s">
        <v>170</v>
      </c>
      <c r="G596">
        <v>49.4</v>
      </c>
      <c r="H596" t="s">
        <v>14</v>
      </c>
      <c r="I596" s="2">
        <v>44961</v>
      </c>
      <c r="J596" s="2">
        <v>45000</v>
      </c>
      <c r="K596" t="s">
        <v>21</v>
      </c>
    </row>
    <row r="597" spans="1:11" x14ac:dyDescent="0.25">
      <c r="A597" t="s">
        <v>27</v>
      </c>
      <c r="B597" t="s">
        <v>23</v>
      </c>
      <c r="C597">
        <v>195</v>
      </c>
      <c r="D597">
        <v>27</v>
      </c>
      <c r="E597" t="s">
        <v>13</v>
      </c>
      <c r="F597" t="s">
        <v>173</v>
      </c>
      <c r="G597">
        <v>296.05</v>
      </c>
      <c r="H597" t="s">
        <v>14</v>
      </c>
      <c r="I597" s="2">
        <v>45268</v>
      </c>
      <c r="J597" s="2">
        <v>45320</v>
      </c>
    </row>
    <row r="598" spans="1:11" x14ac:dyDescent="0.25">
      <c r="A598" t="s">
        <v>15</v>
      </c>
      <c r="B598" t="s">
        <v>23</v>
      </c>
      <c r="C598">
        <v>19</v>
      </c>
      <c r="D598">
        <v>52</v>
      </c>
      <c r="E598" t="s">
        <v>19</v>
      </c>
      <c r="F598" t="s">
        <v>171</v>
      </c>
      <c r="G598">
        <v>453.31</v>
      </c>
      <c r="H598" t="s">
        <v>14</v>
      </c>
      <c r="I598" s="2">
        <v>45196</v>
      </c>
      <c r="J598" s="2">
        <v>45255</v>
      </c>
      <c r="K598" t="s">
        <v>17</v>
      </c>
    </row>
    <row r="599" spans="1:11" x14ac:dyDescent="0.25">
      <c r="A599" t="s">
        <v>35</v>
      </c>
      <c r="B599" t="s">
        <v>28</v>
      </c>
      <c r="C599">
        <v>53</v>
      </c>
      <c r="D599">
        <v>41</v>
      </c>
      <c r="E599" t="s">
        <v>13</v>
      </c>
      <c r="F599" t="s">
        <v>171</v>
      </c>
      <c r="G599">
        <v>398.73</v>
      </c>
      <c r="H599" t="s">
        <v>26</v>
      </c>
      <c r="I599" s="2">
        <v>45108</v>
      </c>
      <c r="J599" s="2">
        <v>45175</v>
      </c>
    </row>
    <row r="600" spans="1:11" x14ac:dyDescent="0.25">
      <c r="A600" t="s">
        <v>59</v>
      </c>
      <c r="B600" t="s">
        <v>23</v>
      </c>
      <c r="C600">
        <v>47</v>
      </c>
      <c r="D600">
        <v>78</v>
      </c>
      <c r="E600" t="s">
        <v>19</v>
      </c>
      <c r="F600" t="s">
        <v>170</v>
      </c>
      <c r="G600">
        <v>431</v>
      </c>
      <c r="H600" t="s">
        <v>14</v>
      </c>
      <c r="I600" s="2">
        <v>45054</v>
      </c>
      <c r="J600" s="2">
        <v>45111</v>
      </c>
      <c r="K600" t="s">
        <v>172</v>
      </c>
    </row>
    <row r="601" spans="1:11" x14ac:dyDescent="0.25">
      <c r="A601" t="s">
        <v>53</v>
      </c>
      <c r="B601" t="s">
        <v>30</v>
      </c>
      <c r="C601">
        <v>5</v>
      </c>
      <c r="D601">
        <v>77</v>
      </c>
      <c r="E601" t="s">
        <v>19</v>
      </c>
      <c r="F601" t="s">
        <v>171</v>
      </c>
      <c r="G601">
        <v>37.74</v>
      </c>
      <c r="H601" t="s">
        <v>14</v>
      </c>
      <c r="I601" s="2">
        <v>45156</v>
      </c>
      <c r="J601" s="2">
        <v>45209</v>
      </c>
      <c r="K601" t="s">
        <v>17</v>
      </c>
    </row>
    <row r="602" spans="1:11" x14ac:dyDescent="0.25">
      <c r="A602" t="s">
        <v>27</v>
      </c>
      <c r="B602" t="s">
        <v>16</v>
      </c>
      <c r="C602">
        <v>138</v>
      </c>
      <c r="D602">
        <v>30</v>
      </c>
      <c r="E602" t="s">
        <v>13</v>
      </c>
      <c r="F602" t="s">
        <v>170</v>
      </c>
      <c r="G602">
        <v>354.3</v>
      </c>
      <c r="H602" t="s">
        <v>26</v>
      </c>
      <c r="I602" s="2">
        <v>45237</v>
      </c>
      <c r="J602" s="2">
        <v>45321</v>
      </c>
      <c r="K602" t="s">
        <v>172</v>
      </c>
    </row>
    <row r="603" spans="1:11" x14ac:dyDescent="0.25">
      <c r="A603" t="s">
        <v>32</v>
      </c>
      <c r="B603" t="s">
        <v>30</v>
      </c>
      <c r="C603">
        <v>117</v>
      </c>
      <c r="D603">
        <v>87</v>
      </c>
      <c r="E603" t="s">
        <v>13</v>
      </c>
      <c r="F603" t="s">
        <v>173</v>
      </c>
      <c r="G603">
        <v>412.26</v>
      </c>
      <c r="H603" t="s">
        <v>20</v>
      </c>
      <c r="I603" s="2">
        <v>45019</v>
      </c>
      <c r="J603" s="2">
        <v>45045</v>
      </c>
    </row>
    <row r="604" spans="1:11" x14ac:dyDescent="0.25">
      <c r="A604" t="s">
        <v>65</v>
      </c>
      <c r="B604" t="s">
        <v>12</v>
      </c>
      <c r="C604">
        <v>186</v>
      </c>
      <c r="D604">
        <v>20</v>
      </c>
      <c r="E604" t="s">
        <v>13</v>
      </c>
      <c r="F604" t="s">
        <v>173</v>
      </c>
      <c r="G604">
        <v>32.36</v>
      </c>
      <c r="H604" t="s">
        <v>20</v>
      </c>
      <c r="I604" s="2">
        <v>45171</v>
      </c>
      <c r="J604" s="2">
        <v>45220</v>
      </c>
      <c r="K604" t="s">
        <v>17</v>
      </c>
    </row>
    <row r="605" spans="1:11" x14ac:dyDescent="0.25">
      <c r="A605" t="s">
        <v>41</v>
      </c>
      <c r="B605" t="s">
        <v>30</v>
      </c>
      <c r="C605">
        <v>119</v>
      </c>
      <c r="D605">
        <v>68</v>
      </c>
      <c r="E605" t="s">
        <v>13</v>
      </c>
      <c r="F605" t="s">
        <v>171</v>
      </c>
      <c r="G605">
        <v>478.37</v>
      </c>
      <c r="H605" t="s">
        <v>26</v>
      </c>
      <c r="I605" s="2">
        <v>45007</v>
      </c>
      <c r="J605" s="2">
        <v>45067</v>
      </c>
      <c r="K605" t="s">
        <v>17</v>
      </c>
    </row>
    <row r="606" spans="1:11" x14ac:dyDescent="0.25">
      <c r="A606" t="s">
        <v>50</v>
      </c>
      <c r="B606" t="s">
        <v>23</v>
      </c>
      <c r="C606">
        <v>121</v>
      </c>
      <c r="D606">
        <v>38</v>
      </c>
      <c r="E606" t="s">
        <v>13</v>
      </c>
      <c r="F606" t="s">
        <v>170</v>
      </c>
      <c r="G606">
        <v>368.77</v>
      </c>
      <c r="H606" t="s">
        <v>20</v>
      </c>
      <c r="I606" s="2">
        <v>45047</v>
      </c>
      <c r="J606" s="2">
        <v>45129</v>
      </c>
      <c r="K606" t="s">
        <v>17</v>
      </c>
    </row>
    <row r="607" spans="1:11" x14ac:dyDescent="0.25">
      <c r="A607" t="s">
        <v>50</v>
      </c>
      <c r="B607" t="s">
        <v>30</v>
      </c>
      <c r="C607">
        <v>9</v>
      </c>
      <c r="D607">
        <v>39</v>
      </c>
      <c r="E607" t="s">
        <v>19</v>
      </c>
      <c r="F607" t="s">
        <v>170</v>
      </c>
      <c r="G607">
        <v>100.74</v>
      </c>
      <c r="H607" t="s">
        <v>26</v>
      </c>
      <c r="I607" s="2">
        <v>45087</v>
      </c>
      <c r="J607" s="2">
        <v>45117</v>
      </c>
      <c r="K607" t="s">
        <v>17</v>
      </c>
    </row>
    <row r="608" spans="1:11" x14ac:dyDescent="0.25">
      <c r="A608" t="s">
        <v>44</v>
      </c>
      <c r="B608" t="s">
        <v>16</v>
      </c>
      <c r="C608">
        <v>102</v>
      </c>
      <c r="D608">
        <v>63</v>
      </c>
      <c r="E608" t="s">
        <v>13</v>
      </c>
      <c r="F608" t="s">
        <v>170</v>
      </c>
      <c r="G608">
        <v>223.42</v>
      </c>
      <c r="H608" t="s">
        <v>26</v>
      </c>
      <c r="I608" s="2">
        <v>45239</v>
      </c>
      <c r="J608" s="2">
        <v>45257</v>
      </c>
      <c r="K608" t="s">
        <v>21</v>
      </c>
    </row>
    <row r="609" spans="1:11" x14ac:dyDescent="0.25">
      <c r="A609" t="s">
        <v>45</v>
      </c>
      <c r="B609" t="s">
        <v>28</v>
      </c>
      <c r="C609">
        <v>65</v>
      </c>
      <c r="D609">
        <v>30</v>
      </c>
      <c r="E609" t="s">
        <v>13</v>
      </c>
      <c r="F609" t="s">
        <v>170</v>
      </c>
      <c r="G609">
        <v>324.35000000000002</v>
      </c>
      <c r="H609" t="s">
        <v>26</v>
      </c>
      <c r="I609" s="2">
        <v>45156</v>
      </c>
      <c r="J609" s="2">
        <v>45177</v>
      </c>
      <c r="K609" t="s">
        <v>17</v>
      </c>
    </row>
    <row r="610" spans="1:11" x14ac:dyDescent="0.25">
      <c r="A610" t="s">
        <v>70</v>
      </c>
      <c r="B610" t="s">
        <v>30</v>
      </c>
      <c r="C610">
        <v>117</v>
      </c>
      <c r="D610">
        <v>31</v>
      </c>
      <c r="E610" t="s">
        <v>13</v>
      </c>
      <c r="F610" t="s">
        <v>171</v>
      </c>
      <c r="G610">
        <v>444.93</v>
      </c>
      <c r="H610" t="s">
        <v>26</v>
      </c>
      <c r="I610" s="2">
        <v>45045</v>
      </c>
      <c r="J610" s="2">
        <v>45110</v>
      </c>
    </row>
    <row r="611" spans="1:11" x14ac:dyDescent="0.25">
      <c r="A611" t="s">
        <v>52</v>
      </c>
      <c r="B611" t="s">
        <v>16</v>
      </c>
      <c r="C611">
        <v>53</v>
      </c>
      <c r="D611">
        <v>72</v>
      </c>
      <c r="E611" t="s">
        <v>19</v>
      </c>
      <c r="F611" t="s">
        <v>171</v>
      </c>
      <c r="G611">
        <v>472.46</v>
      </c>
      <c r="H611" t="s">
        <v>14</v>
      </c>
      <c r="I611" s="2">
        <v>45100</v>
      </c>
      <c r="J611" s="2">
        <v>45144</v>
      </c>
      <c r="K611" t="s">
        <v>21</v>
      </c>
    </row>
    <row r="612" spans="1:11" x14ac:dyDescent="0.25">
      <c r="A612" t="s">
        <v>49</v>
      </c>
      <c r="B612" t="s">
        <v>16</v>
      </c>
      <c r="C612">
        <v>5</v>
      </c>
      <c r="D612">
        <v>39</v>
      </c>
      <c r="E612" t="s">
        <v>19</v>
      </c>
      <c r="F612" t="s">
        <v>171</v>
      </c>
      <c r="G612">
        <v>150.83000000000001</v>
      </c>
      <c r="H612" t="s">
        <v>20</v>
      </c>
      <c r="I612" s="2">
        <v>45169</v>
      </c>
      <c r="J612" s="2">
        <v>45196</v>
      </c>
    </row>
    <row r="613" spans="1:11" x14ac:dyDescent="0.25">
      <c r="A613" t="s">
        <v>11</v>
      </c>
      <c r="B613" t="s">
        <v>12</v>
      </c>
      <c r="C613">
        <v>59</v>
      </c>
      <c r="D613">
        <v>41</v>
      </c>
      <c r="E613" t="s">
        <v>13</v>
      </c>
      <c r="F613" t="s">
        <v>170</v>
      </c>
      <c r="G613">
        <v>391.71</v>
      </c>
      <c r="H613" t="s">
        <v>20</v>
      </c>
      <c r="I613" s="2">
        <v>45269</v>
      </c>
      <c r="J613" s="2">
        <v>45285</v>
      </c>
      <c r="K613" t="s">
        <v>21</v>
      </c>
    </row>
    <row r="614" spans="1:11" x14ac:dyDescent="0.25">
      <c r="A614" t="s">
        <v>33</v>
      </c>
      <c r="B614" t="s">
        <v>12</v>
      </c>
      <c r="C614">
        <v>11</v>
      </c>
      <c r="D614">
        <v>62</v>
      </c>
      <c r="E614" t="s">
        <v>19</v>
      </c>
      <c r="F614" t="s">
        <v>170</v>
      </c>
      <c r="G614">
        <v>364.11</v>
      </c>
      <c r="H614" t="s">
        <v>14</v>
      </c>
      <c r="I614" s="2">
        <v>44951</v>
      </c>
      <c r="J614" s="2">
        <v>45006</v>
      </c>
      <c r="K614" t="s">
        <v>17</v>
      </c>
    </row>
    <row r="615" spans="1:11" x14ac:dyDescent="0.25">
      <c r="A615" t="s">
        <v>50</v>
      </c>
      <c r="B615" t="s">
        <v>23</v>
      </c>
      <c r="C615">
        <v>96</v>
      </c>
      <c r="D615">
        <v>29</v>
      </c>
      <c r="E615" t="s">
        <v>13</v>
      </c>
      <c r="F615" t="s">
        <v>171</v>
      </c>
      <c r="G615">
        <v>229.38</v>
      </c>
      <c r="H615" t="s">
        <v>14</v>
      </c>
      <c r="I615" s="2">
        <v>45199</v>
      </c>
      <c r="J615" s="2">
        <v>45220</v>
      </c>
      <c r="K615" t="s">
        <v>17</v>
      </c>
    </row>
    <row r="616" spans="1:11" x14ac:dyDescent="0.25">
      <c r="A616" t="s">
        <v>71</v>
      </c>
      <c r="B616" t="s">
        <v>30</v>
      </c>
      <c r="C616">
        <v>166</v>
      </c>
      <c r="D616">
        <v>26</v>
      </c>
      <c r="E616" t="s">
        <v>13</v>
      </c>
      <c r="F616" t="s">
        <v>170</v>
      </c>
      <c r="G616">
        <v>378.64</v>
      </c>
      <c r="H616" t="s">
        <v>26</v>
      </c>
      <c r="I616" s="2">
        <v>44939</v>
      </c>
      <c r="J616" s="2">
        <v>45014</v>
      </c>
      <c r="K616" t="s">
        <v>172</v>
      </c>
    </row>
    <row r="617" spans="1:11" x14ac:dyDescent="0.25">
      <c r="A617" t="s">
        <v>55</v>
      </c>
      <c r="B617" t="s">
        <v>23</v>
      </c>
      <c r="C617">
        <v>107</v>
      </c>
      <c r="D617">
        <v>92</v>
      </c>
      <c r="E617" t="s">
        <v>13</v>
      </c>
      <c r="F617" t="s">
        <v>173</v>
      </c>
      <c r="G617">
        <v>175.75</v>
      </c>
      <c r="H617" t="s">
        <v>20</v>
      </c>
      <c r="I617" s="2">
        <v>45212</v>
      </c>
      <c r="J617" s="2">
        <v>45232</v>
      </c>
    </row>
    <row r="618" spans="1:11" x14ac:dyDescent="0.25">
      <c r="A618" t="s">
        <v>60</v>
      </c>
      <c r="B618" t="s">
        <v>30</v>
      </c>
      <c r="C618">
        <v>115</v>
      </c>
      <c r="D618">
        <v>50</v>
      </c>
      <c r="E618" t="s">
        <v>13</v>
      </c>
      <c r="F618" t="s">
        <v>170</v>
      </c>
      <c r="G618">
        <v>471.23</v>
      </c>
      <c r="H618" t="s">
        <v>14</v>
      </c>
      <c r="I618" s="2">
        <v>45219</v>
      </c>
      <c r="J618" s="2">
        <v>45254</v>
      </c>
    </row>
    <row r="619" spans="1:11" x14ac:dyDescent="0.25">
      <c r="A619" t="s">
        <v>36</v>
      </c>
      <c r="B619" t="s">
        <v>12</v>
      </c>
      <c r="C619">
        <v>91</v>
      </c>
      <c r="D619">
        <v>20</v>
      </c>
      <c r="E619" t="s">
        <v>13</v>
      </c>
      <c r="F619" t="s">
        <v>170</v>
      </c>
      <c r="G619">
        <v>76.31</v>
      </c>
      <c r="H619" t="s">
        <v>20</v>
      </c>
      <c r="I619" s="2">
        <v>44942</v>
      </c>
      <c r="J619" s="2">
        <v>44966</v>
      </c>
      <c r="K619" t="s">
        <v>17</v>
      </c>
    </row>
    <row r="620" spans="1:11" x14ac:dyDescent="0.25">
      <c r="A620" t="s">
        <v>44</v>
      </c>
      <c r="B620" t="s">
        <v>28</v>
      </c>
      <c r="C620">
        <v>152</v>
      </c>
      <c r="D620">
        <v>95</v>
      </c>
      <c r="E620" t="s">
        <v>13</v>
      </c>
      <c r="F620" t="s">
        <v>170</v>
      </c>
      <c r="G620">
        <v>445.19</v>
      </c>
      <c r="H620" t="s">
        <v>26</v>
      </c>
      <c r="I620" s="2">
        <v>45110</v>
      </c>
      <c r="J620" s="2">
        <v>45180</v>
      </c>
      <c r="K620" t="s">
        <v>172</v>
      </c>
    </row>
    <row r="621" spans="1:11" x14ac:dyDescent="0.25">
      <c r="A621" t="s">
        <v>65</v>
      </c>
      <c r="B621" t="s">
        <v>12</v>
      </c>
      <c r="C621">
        <v>176</v>
      </c>
      <c r="D621">
        <v>54</v>
      </c>
      <c r="E621" t="s">
        <v>13</v>
      </c>
      <c r="F621" t="s">
        <v>171</v>
      </c>
      <c r="G621">
        <v>392.44</v>
      </c>
      <c r="H621" t="s">
        <v>20</v>
      </c>
      <c r="I621" s="2">
        <v>45284</v>
      </c>
      <c r="J621" s="2">
        <v>45345</v>
      </c>
      <c r="K621" t="s">
        <v>172</v>
      </c>
    </row>
    <row r="622" spans="1:11" x14ac:dyDescent="0.25">
      <c r="A622" t="s">
        <v>65</v>
      </c>
      <c r="B622" t="s">
        <v>28</v>
      </c>
      <c r="C622">
        <v>91</v>
      </c>
      <c r="D622">
        <v>38</v>
      </c>
      <c r="E622" t="s">
        <v>13</v>
      </c>
      <c r="F622" t="s">
        <v>171</v>
      </c>
      <c r="G622">
        <v>407.56</v>
      </c>
      <c r="H622" t="s">
        <v>14</v>
      </c>
      <c r="I622" s="2">
        <v>44985</v>
      </c>
      <c r="J622" s="2">
        <v>45060</v>
      </c>
      <c r="K622" t="s">
        <v>17</v>
      </c>
    </row>
    <row r="623" spans="1:11" x14ac:dyDescent="0.25">
      <c r="A623" t="s">
        <v>67</v>
      </c>
      <c r="B623" t="s">
        <v>12</v>
      </c>
      <c r="C623">
        <v>162</v>
      </c>
      <c r="D623">
        <v>81</v>
      </c>
      <c r="E623" t="s">
        <v>13</v>
      </c>
      <c r="F623" t="s">
        <v>171</v>
      </c>
      <c r="G623">
        <v>495.59</v>
      </c>
      <c r="H623" t="s">
        <v>20</v>
      </c>
      <c r="I623" s="2">
        <v>45258</v>
      </c>
      <c r="J623" s="2">
        <v>45299</v>
      </c>
    </row>
    <row r="624" spans="1:11" x14ac:dyDescent="0.25">
      <c r="A624" t="s">
        <v>38</v>
      </c>
      <c r="B624" t="s">
        <v>12</v>
      </c>
      <c r="C624">
        <v>38</v>
      </c>
      <c r="D624">
        <v>61</v>
      </c>
      <c r="E624" t="s">
        <v>19</v>
      </c>
      <c r="F624" t="s">
        <v>171</v>
      </c>
      <c r="G624">
        <v>72.66</v>
      </c>
      <c r="H624" t="s">
        <v>20</v>
      </c>
      <c r="I624" s="2">
        <v>45269</v>
      </c>
      <c r="J624" s="2">
        <v>45357</v>
      </c>
    </row>
    <row r="625" spans="1:11" x14ac:dyDescent="0.25">
      <c r="A625" t="s">
        <v>63</v>
      </c>
      <c r="B625" t="s">
        <v>16</v>
      </c>
      <c r="C625">
        <v>33</v>
      </c>
      <c r="D625">
        <v>36</v>
      </c>
      <c r="E625" t="s">
        <v>19</v>
      </c>
      <c r="F625" t="s">
        <v>173</v>
      </c>
      <c r="G625">
        <v>187.22</v>
      </c>
      <c r="H625" t="s">
        <v>20</v>
      </c>
      <c r="I625" s="2">
        <v>45215</v>
      </c>
      <c r="J625" s="2">
        <v>45271</v>
      </c>
      <c r="K625" t="s">
        <v>172</v>
      </c>
    </row>
    <row r="626" spans="1:11" x14ac:dyDescent="0.25">
      <c r="A626" t="s">
        <v>29</v>
      </c>
      <c r="B626" t="s">
        <v>28</v>
      </c>
      <c r="C626">
        <v>40</v>
      </c>
      <c r="D626">
        <v>35</v>
      </c>
      <c r="E626" t="s">
        <v>13</v>
      </c>
      <c r="F626" t="s">
        <v>170</v>
      </c>
      <c r="G626">
        <v>116.44</v>
      </c>
      <c r="H626" t="s">
        <v>14</v>
      </c>
      <c r="I626" s="2">
        <v>45199</v>
      </c>
      <c r="J626" s="2">
        <v>45255</v>
      </c>
    </row>
    <row r="627" spans="1:11" x14ac:dyDescent="0.25">
      <c r="A627" t="s">
        <v>54</v>
      </c>
      <c r="B627" t="s">
        <v>23</v>
      </c>
      <c r="C627">
        <v>117</v>
      </c>
      <c r="D627">
        <v>73</v>
      </c>
      <c r="E627" t="s">
        <v>13</v>
      </c>
      <c r="F627" t="s">
        <v>170</v>
      </c>
      <c r="G627">
        <v>18.03</v>
      </c>
      <c r="H627" t="s">
        <v>20</v>
      </c>
      <c r="I627" s="2">
        <v>45189</v>
      </c>
      <c r="J627" s="2">
        <v>45213</v>
      </c>
      <c r="K627" t="s">
        <v>17</v>
      </c>
    </row>
    <row r="628" spans="1:11" x14ac:dyDescent="0.25">
      <c r="A628" t="s">
        <v>41</v>
      </c>
      <c r="B628" t="s">
        <v>30</v>
      </c>
      <c r="C628">
        <v>123</v>
      </c>
      <c r="D628">
        <v>91</v>
      </c>
      <c r="E628" t="s">
        <v>13</v>
      </c>
      <c r="F628" t="s">
        <v>171</v>
      </c>
      <c r="G628">
        <v>344.52</v>
      </c>
      <c r="H628" t="s">
        <v>26</v>
      </c>
      <c r="I628" s="2">
        <v>45206</v>
      </c>
      <c r="J628" s="2">
        <v>45243</v>
      </c>
      <c r="K628" t="s">
        <v>21</v>
      </c>
    </row>
    <row r="629" spans="1:11" x14ac:dyDescent="0.25">
      <c r="A629" t="s">
        <v>72</v>
      </c>
      <c r="B629" t="s">
        <v>23</v>
      </c>
      <c r="C629">
        <v>97</v>
      </c>
      <c r="D629">
        <v>99</v>
      </c>
      <c r="E629" t="s">
        <v>19</v>
      </c>
      <c r="F629" t="s">
        <v>171</v>
      </c>
      <c r="G629">
        <v>299.08</v>
      </c>
      <c r="H629" t="s">
        <v>14</v>
      </c>
      <c r="I629" s="2">
        <v>44936</v>
      </c>
      <c r="J629" s="2">
        <v>45017</v>
      </c>
    </row>
    <row r="630" spans="1:11" x14ac:dyDescent="0.25">
      <c r="A630" t="s">
        <v>11</v>
      </c>
      <c r="B630" t="s">
        <v>30</v>
      </c>
      <c r="C630">
        <v>174</v>
      </c>
      <c r="D630">
        <v>55</v>
      </c>
      <c r="E630" t="s">
        <v>13</v>
      </c>
      <c r="F630" t="s">
        <v>171</v>
      </c>
      <c r="G630">
        <v>365.28</v>
      </c>
      <c r="H630" t="s">
        <v>20</v>
      </c>
      <c r="I630" s="2">
        <v>45124</v>
      </c>
      <c r="J630" s="2">
        <v>45189</v>
      </c>
    </row>
    <row r="631" spans="1:11" x14ac:dyDescent="0.25">
      <c r="A631" t="s">
        <v>53</v>
      </c>
      <c r="B631" t="s">
        <v>16</v>
      </c>
      <c r="C631">
        <v>62</v>
      </c>
      <c r="D631">
        <v>69</v>
      </c>
      <c r="E631" t="s">
        <v>19</v>
      </c>
      <c r="F631" t="s">
        <v>170</v>
      </c>
      <c r="G631">
        <v>324.61</v>
      </c>
      <c r="H631" t="s">
        <v>26</v>
      </c>
      <c r="I631" s="2">
        <v>45114</v>
      </c>
      <c r="J631" s="2">
        <v>45151</v>
      </c>
    </row>
    <row r="632" spans="1:11" x14ac:dyDescent="0.25">
      <c r="A632" t="s">
        <v>24</v>
      </c>
      <c r="B632" t="s">
        <v>28</v>
      </c>
      <c r="C632">
        <v>155</v>
      </c>
      <c r="D632">
        <v>72</v>
      </c>
      <c r="E632" t="s">
        <v>13</v>
      </c>
      <c r="F632" t="s">
        <v>171</v>
      </c>
      <c r="G632">
        <v>187.2</v>
      </c>
      <c r="H632" t="s">
        <v>20</v>
      </c>
      <c r="I632" s="2">
        <v>45150</v>
      </c>
      <c r="J632" s="2">
        <v>45200</v>
      </c>
    </row>
    <row r="633" spans="1:11" x14ac:dyDescent="0.25">
      <c r="A633" t="s">
        <v>60</v>
      </c>
      <c r="B633" t="s">
        <v>30</v>
      </c>
      <c r="C633">
        <v>64</v>
      </c>
      <c r="D633">
        <v>38</v>
      </c>
      <c r="E633" t="s">
        <v>13</v>
      </c>
      <c r="F633" t="s">
        <v>170</v>
      </c>
      <c r="G633">
        <v>343.62</v>
      </c>
      <c r="H633" t="s">
        <v>14</v>
      </c>
      <c r="I633" s="2">
        <v>45178</v>
      </c>
      <c r="J633" s="2">
        <v>45231</v>
      </c>
      <c r="K633" t="s">
        <v>21</v>
      </c>
    </row>
    <row r="634" spans="1:11" x14ac:dyDescent="0.25">
      <c r="A634" t="s">
        <v>24</v>
      </c>
      <c r="B634" t="s">
        <v>12</v>
      </c>
      <c r="C634">
        <v>64</v>
      </c>
      <c r="D634">
        <v>82</v>
      </c>
      <c r="E634" t="s">
        <v>19</v>
      </c>
      <c r="F634" t="s">
        <v>171</v>
      </c>
      <c r="G634">
        <v>392.29</v>
      </c>
      <c r="H634" t="s">
        <v>26</v>
      </c>
      <c r="I634" s="2">
        <v>45103</v>
      </c>
      <c r="J634" s="2">
        <v>45156</v>
      </c>
      <c r="K634" t="s">
        <v>172</v>
      </c>
    </row>
    <row r="635" spans="1:11" x14ac:dyDescent="0.25">
      <c r="A635" t="s">
        <v>69</v>
      </c>
      <c r="B635" t="s">
        <v>30</v>
      </c>
      <c r="C635">
        <v>45</v>
      </c>
      <c r="D635">
        <v>41</v>
      </c>
      <c r="E635" t="s">
        <v>13</v>
      </c>
      <c r="F635" t="s">
        <v>170</v>
      </c>
      <c r="G635">
        <v>94.43</v>
      </c>
      <c r="H635" t="s">
        <v>26</v>
      </c>
      <c r="I635" s="2">
        <v>44966</v>
      </c>
      <c r="J635" s="2">
        <v>44992</v>
      </c>
    </row>
    <row r="636" spans="1:11" x14ac:dyDescent="0.25">
      <c r="A636" t="s">
        <v>31</v>
      </c>
      <c r="B636" t="s">
        <v>12</v>
      </c>
      <c r="C636">
        <v>1</v>
      </c>
      <c r="D636">
        <v>54</v>
      </c>
      <c r="E636" t="s">
        <v>19</v>
      </c>
      <c r="F636" t="s">
        <v>173</v>
      </c>
      <c r="G636">
        <v>329.37</v>
      </c>
      <c r="H636" t="s">
        <v>14</v>
      </c>
      <c r="I636" s="2">
        <v>45124</v>
      </c>
      <c r="J636" s="2">
        <v>45148</v>
      </c>
    </row>
    <row r="637" spans="1:11" x14ac:dyDescent="0.25">
      <c r="A637" t="s">
        <v>57</v>
      </c>
      <c r="B637" t="s">
        <v>16</v>
      </c>
      <c r="C637">
        <v>13</v>
      </c>
      <c r="D637">
        <v>25</v>
      </c>
      <c r="E637" t="s">
        <v>19</v>
      </c>
      <c r="F637" t="s">
        <v>170</v>
      </c>
      <c r="G637">
        <v>330.36</v>
      </c>
      <c r="H637" t="s">
        <v>26</v>
      </c>
      <c r="I637" s="2">
        <v>45076</v>
      </c>
      <c r="J637" s="2">
        <v>45140</v>
      </c>
      <c r="K637" t="s">
        <v>21</v>
      </c>
    </row>
    <row r="638" spans="1:11" x14ac:dyDescent="0.25">
      <c r="A638" t="s">
        <v>40</v>
      </c>
      <c r="B638" t="s">
        <v>28</v>
      </c>
      <c r="C638">
        <v>53</v>
      </c>
      <c r="D638">
        <v>48</v>
      </c>
      <c r="E638" t="s">
        <v>13</v>
      </c>
      <c r="F638" t="s">
        <v>173</v>
      </c>
      <c r="G638">
        <v>280.72000000000003</v>
      </c>
      <c r="H638" t="s">
        <v>26</v>
      </c>
      <c r="I638" s="2">
        <v>44986</v>
      </c>
      <c r="J638" s="2">
        <v>45020</v>
      </c>
    </row>
    <row r="639" spans="1:11" x14ac:dyDescent="0.25">
      <c r="A639" t="s">
        <v>52</v>
      </c>
      <c r="B639" t="s">
        <v>16</v>
      </c>
      <c r="C639">
        <v>99</v>
      </c>
      <c r="D639">
        <v>23</v>
      </c>
      <c r="E639" t="s">
        <v>13</v>
      </c>
      <c r="F639" t="s">
        <v>173</v>
      </c>
      <c r="G639">
        <v>459.71</v>
      </c>
      <c r="H639" t="s">
        <v>14</v>
      </c>
      <c r="I639" s="2">
        <v>45086</v>
      </c>
      <c r="J639" s="2">
        <v>45169</v>
      </c>
      <c r="K639" t="s">
        <v>172</v>
      </c>
    </row>
    <row r="640" spans="1:11" x14ac:dyDescent="0.25">
      <c r="A640" t="s">
        <v>53</v>
      </c>
      <c r="B640" t="s">
        <v>23</v>
      </c>
      <c r="C640">
        <v>174</v>
      </c>
      <c r="D640">
        <v>89</v>
      </c>
      <c r="E640" t="s">
        <v>13</v>
      </c>
      <c r="F640" t="s">
        <v>171</v>
      </c>
      <c r="G640">
        <v>422.85</v>
      </c>
      <c r="H640" t="s">
        <v>20</v>
      </c>
      <c r="I640" s="2">
        <v>45171</v>
      </c>
      <c r="J640" s="2">
        <v>45257</v>
      </c>
      <c r="K640" t="s">
        <v>17</v>
      </c>
    </row>
    <row r="641" spans="1:11" x14ac:dyDescent="0.25">
      <c r="A641" t="s">
        <v>54</v>
      </c>
      <c r="B641" t="s">
        <v>23</v>
      </c>
      <c r="C641">
        <v>107</v>
      </c>
      <c r="D641">
        <v>35</v>
      </c>
      <c r="E641" t="s">
        <v>13</v>
      </c>
      <c r="F641" t="s">
        <v>173</v>
      </c>
      <c r="G641">
        <v>431.52</v>
      </c>
      <c r="H641" t="s">
        <v>26</v>
      </c>
      <c r="I641" s="2">
        <v>45230</v>
      </c>
      <c r="J641" s="2">
        <v>45294</v>
      </c>
      <c r="K641" t="s">
        <v>172</v>
      </c>
    </row>
    <row r="642" spans="1:11" x14ac:dyDescent="0.25">
      <c r="A642" t="s">
        <v>67</v>
      </c>
      <c r="B642" t="s">
        <v>23</v>
      </c>
      <c r="C642">
        <v>82</v>
      </c>
      <c r="D642">
        <v>43</v>
      </c>
      <c r="E642" t="s">
        <v>13</v>
      </c>
      <c r="F642" t="s">
        <v>170</v>
      </c>
      <c r="G642">
        <v>490.9</v>
      </c>
      <c r="H642" t="s">
        <v>26</v>
      </c>
      <c r="I642" s="2">
        <v>45136</v>
      </c>
      <c r="J642" s="2">
        <v>45205</v>
      </c>
    </row>
    <row r="643" spans="1:11" x14ac:dyDescent="0.25">
      <c r="A643" t="s">
        <v>32</v>
      </c>
      <c r="B643" t="s">
        <v>12</v>
      </c>
      <c r="C643">
        <v>192</v>
      </c>
      <c r="D643">
        <v>97</v>
      </c>
      <c r="E643" t="s">
        <v>13</v>
      </c>
      <c r="F643" t="s">
        <v>170</v>
      </c>
      <c r="G643">
        <v>18.84</v>
      </c>
      <c r="H643" t="s">
        <v>26</v>
      </c>
      <c r="I643" s="2">
        <v>45025</v>
      </c>
      <c r="J643" s="2">
        <v>45091</v>
      </c>
      <c r="K643" t="s">
        <v>21</v>
      </c>
    </row>
    <row r="644" spans="1:11" x14ac:dyDescent="0.25">
      <c r="A644" t="s">
        <v>37</v>
      </c>
      <c r="B644" t="s">
        <v>28</v>
      </c>
      <c r="C644">
        <v>139</v>
      </c>
      <c r="D644">
        <v>29</v>
      </c>
      <c r="E644" t="s">
        <v>13</v>
      </c>
      <c r="F644" t="s">
        <v>170</v>
      </c>
      <c r="G644">
        <v>64.040000000000006</v>
      </c>
      <c r="H644" t="s">
        <v>26</v>
      </c>
      <c r="I644" s="2">
        <v>45173</v>
      </c>
      <c r="J644" s="2">
        <v>45233</v>
      </c>
      <c r="K644" t="s">
        <v>17</v>
      </c>
    </row>
    <row r="645" spans="1:11" x14ac:dyDescent="0.25">
      <c r="A645" t="s">
        <v>35</v>
      </c>
      <c r="B645" t="s">
        <v>23</v>
      </c>
      <c r="C645">
        <v>190</v>
      </c>
      <c r="D645">
        <v>26</v>
      </c>
      <c r="E645" t="s">
        <v>13</v>
      </c>
      <c r="F645" t="s">
        <v>170</v>
      </c>
      <c r="G645">
        <v>362.27</v>
      </c>
      <c r="H645" t="s">
        <v>20</v>
      </c>
      <c r="I645" s="2">
        <v>44943</v>
      </c>
      <c r="J645" s="2">
        <v>45029</v>
      </c>
      <c r="K645" t="s">
        <v>172</v>
      </c>
    </row>
    <row r="646" spans="1:11" x14ac:dyDescent="0.25">
      <c r="A646" t="s">
        <v>33</v>
      </c>
      <c r="B646" t="s">
        <v>28</v>
      </c>
      <c r="C646">
        <v>198</v>
      </c>
      <c r="D646">
        <v>52</v>
      </c>
      <c r="E646" t="s">
        <v>13</v>
      </c>
      <c r="F646" t="s">
        <v>171</v>
      </c>
      <c r="G646">
        <v>326.04000000000002</v>
      </c>
      <c r="H646" t="s">
        <v>26</v>
      </c>
      <c r="I646" s="2">
        <v>45205</v>
      </c>
      <c r="J646" s="2">
        <v>45271</v>
      </c>
    </row>
    <row r="647" spans="1:11" x14ac:dyDescent="0.25">
      <c r="A647" t="s">
        <v>62</v>
      </c>
      <c r="B647" t="s">
        <v>28</v>
      </c>
      <c r="C647">
        <v>56</v>
      </c>
      <c r="D647">
        <v>36</v>
      </c>
      <c r="E647" t="s">
        <v>13</v>
      </c>
      <c r="F647" t="s">
        <v>171</v>
      </c>
      <c r="G647">
        <v>459.51</v>
      </c>
      <c r="H647" t="s">
        <v>26</v>
      </c>
      <c r="I647" s="2">
        <v>45251</v>
      </c>
      <c r="J647" s="2">
        <v>45315</v>
      </c>
      <c r="K647" t="s">
        <v>172</v>
      </c>
    </row>
    <row r="648" spans="1:11" x14ac:dyDescent="0.25">
      <c r="A648" t="s">
        <v>72</v>
      </c>
      <c r="B648" t="s">
        <v>28</v>
      </c>
      <c r="C648">
        <v>123</v>
      </c>
      <c r="D648">
        <v>64</v>
      </c>
      <c r="E648" t="s">
        <v>13</v>
      </c>
      <c r="F648" t="s">
        <v>170</v>
      </c>
      <c r="G648">
        <v>432.17</v>
      </c>
      <c r="H648" t="s">
        <v>26</v>
      </c>
      <c r="I648" s="2">
        <v>45045</v>
      </c>
      <c r="J648" s="2">
        <v>45086</v>
      </c>
      <c r="K648" t="s">
        <v>21</v>
      </c>
    </row>
    <row r="649" spans="1:11" x14ac:dyDescent="0.25">
      <c r="A649" t="s">
        <v>65</v>
      </c>
      <c r="B649" t="s">
        <v>16</v>
      </c>
      <c r="C649">
        <v>79</v>
      </c>
      <c r="D649">
        <v>21</v>
      </c>
      <c r="E649" t="s">
        <v>13</v>
      </c>
      <c r="F649" t="s">
        <v>173</v>
      </c>
      <c r="G649">
        <v>250.24</v>
      </c>
      <c r="H649" t="s">
        <v>20</v>
      </c>
      <c r="I649" s="2">
        <v>44962</v>
      </c>
      <c r="J649" s="2">
        <v>45039</v>
      </c>
      <c r="K649" t="s">
        <v>17</v>
      </c>
    </row>
    <row r="650" spans="1:11" x14ac:dyDescent="0.25">
      <c r="A650" t="s">
        <v>32</v>
      </c>
      <c r="B650" t="s">
        <v>12</v>
      </c>
      <c r="C650">
        <v>39</v>
      </c>
      <c r="D650">
        <v>50</v>
      </c>
      <c r="E650" t="s">
        <v>19</v>
      </c>
      <c r="F650" t="s">
        <v>173</v>
      </c>
      <c r="G650">
        <v>487.12</v>
      </c>
      <c r="H650" t="s">
        <v>26</v>
      </c>
      <c r="I650" s="2">
        <v>45169</v>
      </c>
      <c r="J650" s="2">
        <v>45218</v>
      </c>
      <c r="K650" t="s">
        <v>21</v>
      </c>
    </row>
    <row r="651" spans="1:11" x14ac:dyDescent="0.25">
      <c r="A651" t="s">
        <v>35</v>
      </c>
      <c r="B651" t="s">
        <v>12</v>
      </c>
      <c r="C651">
        <v>157</v>
      </c>
      <c r="D651">
        <v>40</v>
      </c>
      <c r="E651" t="s">
        <v>13</v>
      </c>
      <c r="F651" t="s">
        <v>170</v>
      </c>
      <c r="G651">
        <v>385.76</v>
      </c>
      <c r="H651" t="s">
        <v>14</v>
      </c>
      <c r="I651" s="2">
        <v>45241</v>
      </c>
      <c r="J651" s="2">
        <v>45269</v>
      </c>
      <c r="K651" t="s">
        <v>21</v>
      </c>
    </row>
    <row r="652" spans="1:11" x14ac:dyDescent="0.25">
      <c r="A652" t="s">
        <v>48</v>
      </c>
      <c r="B652" t="s">
        <v>23</v>
      </c>
      <c r="C652">
        <v>120</v>
      </c>
      <c r="D652">
        <v>49</v>
      </c>
      <c r="E652" t="s">
        <v>13</v>
      </c>
      <c r="F652" t="s">
        <v>173</v>
      </c>
      <c r="G652">
        <v>297.07</v>
      </c>
      <c r="H652" t="s">
        <v>14</v>
      </c>
      <c r="I652" s="2">
        <v>44965</v>
      </c>
      <c r="J652" s="2">
        <v>45045</v>
      </c>
      <c r="K652" t="s">
        <v>17</v>
      </c>
    </row>
    <row r="653" spans="1:11" x14ac:dyDescent="0.25">
      <c r="A653" t="s">
        <v>52</v>
      </c>
      <c r="B653" t="s">
        <v>16</v>
      </c>
      <c r="C653">
        <v>37</v>
      </c>
      <c r="D653">
        <v>26</v>
      </c>
      <c r="E653" t="s">
        <v>13</v>
      </c>
      <c r="F653" t="s">
        <v>171</v>
      </c>
      <c r="G653">
        <v>252.95</v>
      </c>
      <c r="H653" t="s">
        <v>14</v>
      </c>
      <c r="I653" s="2">
        <v>45026</v>
      </c>
      <c r="J653" s="2">
        <v>45056</v>
      </c>
    </row>
    <row r="654" spans="1:11" x14ac:dyDescent="0.25">
      <c r="A654" t="s">
        <v>35</v>
      </c>
      <c r="B654" t="s">
        <v>28</v>
      </c>
      <c r="C654">
        <v>20</v>
      </c>
      <c r="D654">
        <v>74</v>
      </c>
      <c r="E654" t="s">
        <v>19</v>
      </c>
      <c r="F654" t="s">
        <v>173</v>
      </c>
      <c r="G654">
        <v>257.12</v>
      </c>
      <c r="H654" t="s">
        <v>14</v>
      </c>
      <c r="I654" s="2">
        <v>45227</v>
      </c>
      <c r="J654" s="2">
        <v>45271</v>
      </c>
      <c r="K654" t="s">
        <v>17</v>
      </c>
    </row>
    <row r="655" spans="1:11" x14ac:dyDescent="0.25">
      <c r="A655" t="s">
        <v>18</v>
      </c>
      <c r="B655" t="s">
        <v>30</v>
      </c>
      <c r="C655">
        <v>128</v>
      </c>
      <c r="D655">
        <v>30</v>
      </c>
      <c r="E655" t="s">
        <v>13</v>
      </c>
      <c r="F655" t="s">
        <v>170</v>
      </c>
      <c r="G655">
        <v>375.73</v>
      </c>
      <c r="H655" t="s">
        <v>20</v>
      </c>
      <c r="I655" s="2">
        <v>45023</v>
      </c>
      <c r="J655" s="2">
        <v>45103</v>
      </c>
      <c r="K655" t="s">
        <v>17</v>
      </c>
    </row>
    <row r="656" spans="1:11" x14ac:dyDescent="0.25">
      <c r="A656" t="s">
        <v>67</v>
      </c>
      <c r="B656" t="s">
        <v>12</v>
      </c>
      <c r="C656">
        <v>151</v>
      </c>
      <c r="D656">
        <v>74</v>
      </c>
      <c r="E656" t="s">
        <v>13</v>
      </c>
      <c r="F656" t="s">
        <v>171</v>
      </c>
      <c r="G656">
        <v>31.41</v>
      </c>
      <c r="H656" t="s">
        <v>26</v>
      </c>
      <c r="I656" s="2">
        <v>45009</v>
      </c>
      <c r="J656" s="2">
        <v>45089</v>
      </c>
      <c r="K656" t="s">
        <v>21</v>
      </c>
    </row>
    <row r="657" spans="1:11" x14ac:dyDescent="0.25">
      <c r="A657" t="s">
        <v>52</v>
      </c>
      <c r="B657" t="s">
        <v>16</v>
      </c>
      <c r="C657">
        <v>167</v>
      </c>
      <c r="D657">
        <v>32</v>
      </c>
      <c r="E657" t="s">
        <v>13</v>
      </c>
      <c r="F657" t="s">
        <v>170</v>
      </c>
      <c r="G657">
        <v>424.49</v>
      </c>
      <c r="H657" t="s">
        <v>20</v>
      </c>
      <c r="I657" s="2">
        <v>45144</v>
      </c>
      <c r="J657" s="2">
        <v>45209</v>
      </c>
      <c r="K657" t="s">
        <v>17</v>
      </c>
    </row>
    <row r="658" spans="1:11" x14ac:dyDescent="0.25">
      <c r="A658" t="s">
        <v>49</v>
      </c>
      <c r="B658" t="s">
        <v>12</v>
      </c>
      <c r="C658">
        <v>15</v>
      </c>
      <c r="D658">
        <v>66</v>
      </c>
      <c r="E658" t="s">
        <v>19</v>
      </c>
      <c r="F658" t="s">
        <v>171</v>
      </c>
      <c r="G658">
        <v>76.87</v>
      </c>
      <c r="H658" t="s">
        <v>14</v>
      </c>
      <c r="I658" s="2">
        <v>45114</v>
      </c>
      <c r="J658" s="2">
        <v>45154</v>
      </c>
      <c r="K658" t="s">
        <v>17</v>
      </c>
    </row>
    <row r="659" spans="1:11" x14ac:dyDescent="0.25">
      <c r="A659" t="s">
        <v>45</v>
      </c>
      <c r="B659" t="s">
        <v>12</v>
      </c>
      <c r="C659">
        <v>113</v>
      </c>
      <c r="D659">
        <v>70</v>
      </c>
      <c r="E659" t="s">
        <v>13</v>
      </c>
      <c r="F659" t="s">
        <v>173</v>
      </c>
      <c r="G659">
        <v>174.03</v>
      </c>
      <c r="H659" t="s">
        <v>14</v>
      </c>
      <c r="I659" s="2">
        <v>44962</v>
      </c>
      <c r="J659" s="2">
        <v>45046</v>
      </c>
      <c r="K659" t="s">
        <v>21</v>
      </c>
    </row>
    <row r="660" spans="1:11" x14ac:dyDescent="0.25">
      <c r="A660" t="s">
        <v>48</v>
      </c>
      <c r="B660" t="s">
        <v>28</v>
      </c>
      <c r="C660">
        <v>101</v>
      </c>
      <c r="D660">
        <v>90</v>
      </c>
      <c r="E660" t="s">
        <v>13</v>
      </c>
      <c r="F660" t="s">
        <v>171</v>
      </c>
      <c r="G660">
        <v>302.33</v>
      </c>
      <c r="H660" t="s">
        <v>20</v>
      </c>
      <c r="I660" s="2">
        <v>45078</v>
      </c>
      <c r="J660" s="2">
        <v>45132</v>
      </c>
    </row>
    <row r="661" spans="1:11" x14ac:dyDescent="0.25">
      <c r="A661" t="s">
        <v>54</v>
      </c>
      <c r="B661" t="s">
        <v>12</v>
      </c>
      <c r="C661">
        <v>47</v>
      </c>
      <c r="D661">
        <v>56</v>
      </c>
      <c r="E661" t="s">
        <v>19</v>
      </c>
      <c r="F661" t="s">
        <v>170</v>
      </c>
      <c r="G661">
        <v>353.47</v>
      </c>
      <c r="H661" t="s">
        <v>20</v>
      </c>
      <c r="I661" s="2">
        <v>44968</v>
      </c>
      <c r="J661" s="2">
        <v>44999</v>
      </c>
      <c r="K661" t="s">
        <v>21</v>
      </c>
    </row>
    <row r="662" spans="1:11" x14ac:dyDescent="0.25">
      <c r="A662" t="s">
        <v>39</v>
      </c>
      <c r="B662" t="s">
        <v>28</v>
      </c>
      <c r="C662">
        <v>54</v>
      </c>
      <c r="D662">
        <v>97</v>
      </c>
      <c r="E662" t="s">
        <v>19</v>
      </c>
      <c r="F662" t="s">
        <v>173</v>
      </c>
      <c r="G662">
        <v>465.04</v>
      </c>
      <c r="H662" t="s">
        <v>20</v>
      </c>
      <c r="I662" s="2">
        <v>45159</v>
      </c>
      <c r="J662" s="2">
        <v>45187</v>
      </c>
      <c r="K662" t="s">
        <v>21</v>
      </c>
    </row>
    <row r="663" spans="1:11" x14ac:dyDescent="0.25">
      <c r="A663" t="s">
        <v>47</v>
      </c>
      <c r="B663" t="s">
        <v>23</v>
      </c>
      <c r="C663">
        <v>103</v>
      </c>
      <c r="D663">
        <v>62</v>
      </c>
      <c r="E663" t="s">
        <v>13</v>
      </c>
      <c r="F663" t="s">
        <v>170</v>
      </c>
      <c r="G663">
        <v>376.1</v>
      </c>
      <c r="H663" t="s">
        <v>26</v>
      </c>
      <c r="I663" s="2">
        <v>45012</v>
      </c>
      <c r="J663" s="2">
        <v>45034</v>
      </c>
      <c r="K663" t="s">
        <v>17</v>
      </c>
    </row>
    <row r="664" spans="1:11" x14ac:dyDescent="0.25">
      <c r="A664" t="s">
        <v>31</v>
      </c>
      <c r="B664" t="s">
        <v>30</v>
      </c>
      <c r="C664">
        <v>163</v>
      </c>
      <c r="D664">
        <v>28</v>
      </c>
      <c r="E664" t="s">
        <v>13</v>
      </c>
      <c r="F664" t="s">
        <v>173</v>
      </c>
      <c r="G664">
        <v>435.14</v>
      </c>
      <c r="H664" t="s">
        <v>14</v>
      </c>
      <c r="I664" s="2">
        <v>45089</v>
      </c>
      <c r="J664" s="2">
        <v>45161</v>
      </c>
      <c r="K664" t="s">
        <v>172</v>
      </c>
    </row>
    <row r="665" spans="1:11" x14ac:dyDescent="0.25">
      <c r="A665" t="s">
        <v>24</v>
      </c>
      <c r="B665" t="s">
        <v>23</v>
      </c>
      <c r="C665">
        <v>70</v>
      </c>
      <c r="D665">
        <v>51</v>
      </c>
      <c r="E665" t="s">
        <v>13</v>
      </c>
      <c r="F665" t="s">
        <v>170</v>
      </c>
      <c r="G665">
        <v>321.61</v>
      </c>
      <c r="H665" t="s">
        <v>26</v>
      </c>
      <c r="I665" s="2">
        <v>45241</v>
      </c>
      <c r="J665" s="2">
        <v>45325</v>
      </c>
      <c r="K665" t="s">
        <v>17</v>
      </c>
    </row>
    <row r="666" spans="1:11" x14ac:dyDescent="0.25">
      <c r="A666" t="s">
        <v>35</v>
      </c>
      <c r="B666" t="s">
        <v>12</v>
      </c>
      <c r="C666">
        <v>149</v>
      </c>
      <c r="D666">
        <v>48</v>
      </c>
      <c r="E666" t="s">
        <v>13</v>
      </c>
      <c r="F666" t="s">
        <v>171</v>
      </c>
      <c r="G666">
        <v>436.54</v>
      </c>
      <c r="H666" t="s">
        <v>26</v>
      </c>
      <c r="I666" s="2">
        <v>45156</v>
      </c>
      <c r="J666" s="2">
        <v>45232</v>
      </c>
      <c r="K666" t="s">
        <v>17</v>
      </c>
    </row>
    <row r="667" spans="1:11" x14ac:dyDescent="0.25">
      <c r="A667" t="s">
        <v>58</v>
      </c>
      <c r="B667" t="s">
        <v>16</v>
      </c>
      <c r="C667">
        <v>61</v>
      </c>
      <c r="D667">
        <v>82</v>
      </c>
      <c r="E667" t="s">
        <v>19</v>
      </c>
      <c r="F667" t="s">
        <v>171</v>
      </c>
      <c r="G667">
        <v>241.96</v>
      </c>
      <c r="H667" t="s">
        <v>26</v>
      </c>
      <c r="I667" s="2">
        <v>44952</v>
      </c>
      <c r="J667" s="2">
        <v>44972</v>
      </c>
      <c r="K667" t="s">
        <v>172</v>
      </c>
    </row>
    <row r="668" spans="1:11" x14ac:dyDescent="0.25">
      <c r="A668" t="s">
        <v>50</v>
      </c>
      <c r="B668" t="s">
        <v>28</v>
      </c>
      <c r="C668">
        <v>118</v>
      </c>
      <c r="D668">
        <v>32</v>
      </c>
      <c r="E668" t="s">
        <v>13</v>
      </c>
      <c r="F668" t="s">
        <v>170</v>
      </c>
      <c r="G668">
        <v>472.1</v>
      </c>
      <c r="H668" t="s">
        <v>14</v>
      </c>
      <c r="I668" s="2">
        <v>44987</v>
      </c>
      <c r="J668" s="2">
        <v>45009</v>
      </c>
      <c r="K668" t="s">
        <v>21</v>
      </c>
    </row>
    <row r="669" spans="1:11" x14ac:dyDescent="0.25">
      <c r="A669" t="s">
        <v>60</v>
      </c>
      <c r="B669" t="s">
        <v>16</v>
      </c>
      <c r="C669">
        <v>192</v>
      </c>
      <c r="D669">
        <v>56</v>
      </c>
      <c r="E669" t="s">
        <v>13</v>
      </c>
      <c r="F669" t="s">
        <v>171</v>
      </c>
      <c r="G669">
        <v>151.81</v>
      </c>
      <c r="H669" t="s">
        <v>26</v>
      </c>
      <c r="I669" s="2">
        <v>45056</v>
      </c>
      <c r="J669" s="2">
        <v>45077</v>
      </c>
    </row>
    <row r="670" spans="1:11" x14ac:dyDescent="0.25">
      <c r="A670" t="s">
        <v>36</v>
      </c>
      <c r="B670" t="s">
        <v>12</v>
      </c>
      <c r="C670">
        <v>22</v>
      </c>
      <c r="D670">
        <v>92</v>
      </c>
      <c r="E670" t="s">
        <v>19</v>
      </c>
      <c r="F670" t="s">
        <v>173</v>
      </c>
      <c r="G670">
        <v>400.69</v>
      </c>
      <c r="H670" t="s">
        <v>20</v>
      </c>
      <c r="I670" s="2">
        <v>44999</v>
      </c>
      <c r="J670" s="2">
        <v>45088</v>
      </c>
      <c r="K670" t="s">
        <v>172</v>
      </c>
    </row>
    <row r="671" spans="1:11" x14ac:dyDescent="0.25">
      <c r="A671" t="s">
        <v>48</v>
      </c>
      <c r="B671" t="s">
        <v>28</v>
      </c>
      <c r="C671">
        <v>198</v>
      </c>
      <c r="D671">
        <v>20</v>
      </c>
      <c r="E671" t="s">
        <v>13</v>
      </c>
      <c r="F671" t="s">
        <v>173</v>
      </c>
      <c r="G671">
        <v>358.14</v>
      </c>
      <c r="H671" t="s">
        <v>26</v>
      </c>
      <c r="I671" s="2">
        <v>45126</v>
      </c>
      <c r="J671" s="2">
        <v>45149</v>
      </c>
      <c r="K671" t="s">
        <v>17</v>
      </c>
    </row>
    <row r="672" spans="1:11" x14ac:dyDescent="0.25">
      <c r="A672" t="s">
        <v>70</v>
      </c>
      <c r="B672" t="s">
        <v>12</v>
      </c>
      <c r="C672">
        <v>63</v>
      </c>
      <c r="D672">
        <v>34</v>
      </c>
      <c r="E672" t="s">
        <v>13</v>
      </c>
      <c r="F672" t="s">
        <v>173</v>
      </c>
      <c r="G672">
        <v>36.57</v>
      </c>
      <c r="H672" t="s">
        <v>14</v>
      </c>
      <c r="I672" s="2">
        <v>45197</v>
      </c>
      <c r="J672" s="2">
        <v>45224</v>
      </c>
      <c r="K672" t="s">
        <v>21</v>
      </c>
    </row>
    <row r="673" spans="1:11" x14ac:dyDescent="0.25">
      <c r="A673" t="s">
        <v>69</v>
      </c>
      <c r="B673" t="s">
        <v>30</v>
      </c>
      <c r="C673">
        <v>147</v>
      </c>
      <c r="D673">
        <v>39</v>
      </c>
      <c r="E673" t="s">
        <v>13</v>
      </c>
      <c r="F673" t="s">
        <v>171</v>
      </c>
      <c r="G673">
        <v>471.95</v>
      </c>
      <c r="H673" t="s">
        <v>20</v>
      </c>
      <c r="I673" s="2">
        <v>45180</v>
      </c>
      <c r="J673" s="2">
        <v>45198</v>
      </c>
      <c r="K673" t="s">
        <v>21</v>
      </c>
    </row>
    <row r="674" spans="1:11" x14ac:dyDescent="0.25">
      <c r="A674" t="s">
        <v>41</v>
      </c>
      <c r="B674" t="s">
        <v>16</v>
      </c>
      <c r="C674">
        <v>38</v>
      </c>
      <c r="D674">
        <v>53</v>
      </c>
      <c r="E674" t="s">
        <v>19</v>
      </c>
      <c r="F674" t="s">
        <v>170</v>
      </c>
      <c r="G674">
        <v>138.38</v>
      </c>
      <c r="H674" t="s">
        <v>26</v>
      </c>
      <c r="I674" s="2">
        <v>44957</v>
      </c>
      <c r="J674" s="2">
        <v>44979</v>
      </c>
      <c r="K674" t="s">
        <v>17</v>
      </c>
    </row>
    <row r="675" spans="1:11" x14ac:dyDescent="0.25">
      <c r="A675" t="s">
        <v>39</v>
      </c>
      <c r="B675" t="s">
        <v>12</v>
      </c>
      <c r="C675">
        <v>184</v>
      </c>
      <c r="D675">
        <v>78</v>
      </c>
      <c r="E675" t="s">
        <v>13</v>
      </c>
      <c r="F675" t="s">
        <v>170</v>
      </c>
      <c r="G675">
        <v>67.37</v>
      </c>
      <c r="H675" t="s">
        <v>14</v>
      </c>
      <c r="I675" s="2">
        <v>45071</v>
      </c>
      <c r="J675" s="2">
        <v>45116</v>
      </c>
      <c r="K675" t="s">
        <v>17</v>
      </c>
    </row>
    <row r="676" spans="1:11" x14ac:dyDescent="0.25">
      <c r="A676" t="s">
        <v>66</v>
      </c>
      <c r="B676" t="s">
        <v>16</v>
      </c>
      <c r="C676">
        <v>89</v>
      </c>
      <c r="D676">
        <v>23</v>
      </c>
      <c r="E676" t="s">
        <v>13</v>
      </c>
      <c r="F676" t="s">
        <v>170</v>
      </c>
      <c r="G676">
        <v>26.11</v>
      </c>
      <c r="H676" t="s">
        <v>26</v>
      </c>
      <c r="I676" s="2">
        <v>45257</v>
      </c>
      <c r="J676" s="2">
        <v>45326</v>
      </c>
      <c r="K676" t="s">
        <v>17</v>
      </c>
    </row>
    <row r="677" spans="1:11" x14ac:dyDescent="0.25">
      <c r="A677" t="s">
        <v>42</v>
      </c>
      <c r="B677" t="s">
        <v>12</v>
      </c>
      <c r="C677">
        <v>138</v>
      </c>
      <c r="D677">
        <v>38</v>
      </c>
      <c r="E677" t="s">
        <v>13</v>
      </c>
      <c r="F677" t="s">
        <v>171</v>
      </c>
      <c r="G677">
        <v>459.27</v>
      </c>
      <c r="H677" t="s">
        <v>26</v>
      </c>
      <c r="I677" s="2">
        <v>44948</v>
      </c>
      <c r="J677" s="2">
        <v>44991</v>
      </c>
      <c r="K677" t="s">
        <v>21</v>
      </c>
    </row>
    <row r="678" spans="1:11" x14ac:dyDescent="0.25">
      <c r="A678" t="s">
        <v>29</v>
      </c>
      <c r="B678" t="s">
        <v>23</v>
      </c>
      <c r="C678">
        <v>96</v>
      </c>
      <c r="D678">
        <v>79</v>
      </c>
      <c r="E678" t="s">
        <v>13</v>
      </c>
      <c r="F678" t="s">
        <v>170</v>
      </c>
      <c r="G678">
        <v>206.46</v>
      </c>
      <c r="H678" t="s">
        <v>20</v>
      </c>
      <c r="I678" s="2">
        <v>45010</v>
      </c>
      <c r="J678" s="2">
        <v>45059</v>
      </c>
      <c r="K678" t="s">
        <v>17</v>
      </c>
    </row>
    <row r="679" spans="1:11" x14ac:dyDescent="0.25">
      <c r="A679" t="s">
        <v>62</v>
      </c>
      <c r="B679" t="s">
        <v>16</v>
      </c>
      <c r="C679">
        <v>13</v>
      </c>
      <c r="D679">
        <v>20</v>
      </c>
      <c r="E679" t="s">
        <v>19</v>
      </c>
      <c r="F679" t="s">
        <v>173</v>
      </c>
      <c r="G679">
        <v>442.84</v>
      </c>
      <c r="H679" t="s">
        <v>14</v>
      </c>
      <c r="I679" s="2">
        <v>44955</v>
      </c>
      <c r="J679" s="2">
        <v>45044</v>
      </c>
      <c r="K679" t="s">
        <v>172</v>
      </c>
    </row>
    <row r="680" spans="1:11" x14ac:dyDescent="0.25">
      <c r="A680" t="s">
        <v>56</v>
      </c>
      <c r="B680" t="s">
        <v>28</v>
      </c>
      <c r="C680">
        <v>54</v>
      </c>
      <c r="D680">
        <v>81</v>
      </c>
      <c r="E680" t="s">
        <v>19</v>
      </c>
      <c r="F680" t="s">
        <v>171</v>
      </c>
      <c r="G680">
        <v>263.95</v>
      </c>
      <c r="H680" t="s">
        <v>20</v>
      </c>
      <c r="I680" s="2">
        <v>45267</v>
      </c>
      <c r="J680" s="2">
        <v>45290</v>
      </c>
      <c r="K680" t="s">
        <v>172</v>
      </c>
    </row>
    <row r="681" spans="1:11" x14ac:dyDescent="0.25">
      <c r="A681" t="s">
        <v>40</v>
      </c>
      <c r="B681" t="s">
        <v>23</v>
      </c>
      <c r="C681">
        <v>60</v>
      </c>
      <c r="D681">
        <v>55</v>
      </c>
      <c r="E681" t="s">
        <v>13</v>
      </c>
      <c r="F681" t="s">
        <v>171</v>
      </c>
      <c r="G681">
        <v>276.89999999999998</v>
      </c>
      <c r="H681" t="s">
        <v>20</v>
      </c>
      <c r="I681" s="2">
        <v>44975</v>
      </c>
      <c r="J681" s="2">
        <v>44991</v>
      </c>
    </row>
    <row r="682" spans="1:11" x14ac:dyDescent="0.25">
      <c r="A682" t="s">
        <v>52</v>
      </c>
      <c r="B682" t="s">
        <v>28</v>
      </c>
      <c r="C682">
        <v>98</v>
      </c>
      <c r="D682">
        <v>72</v>
      </c>
      <c r="E682" t="s">
        <v>13</v>
      </c>
      <c r="F682" t="s">
        <v>170</v>
      </c>
      <c r="G682">
        <v>353.1</v>
      </c>
      <c r="H682" t="s">
        <v>26</v>
      </c>
      <c r="I682" s="2">
        <v>44965</v>
      </c>
      <c r="J682" s="2">
        <v>45042</v>
      </c>
      <c r="K682" t="s">
        <v>21</v>
      </c>
    </row>
    <row r="683" spans="1:11" x14ac:dyDescent="0.25">
      <c r="A683" t="s">
        <v>41</v>
      </c>
      <c r="B683" t="s">
        <v>16</v>
      </c>
      <c r="C683">
        <v>144</v>
      </c>
      <c r="D683">
        <v>34</v>
      </c>
      <c r="E683" t="s">
        <v>13</v>
      </c>
      <c r="F683" t="s">
        <v>170</v>
      </c>
      <c r="G683">
        <v>182.19</v>
      </c>
      <c r="H683" t="s">
        <v>26</v>
      </c>
      <c r="I683" s="2">
        <v>45042</v>
      </c>
      <c r="J683" s="2">
        <v>45116</v>
      </c>
      <c r="K683" t="s">
        <v>17</v>
      </c>
    </row>
    <row r="684" spans="1:11" x14ac:dyDescent="0.25">
      <c r="A684" t="s">
        <v>11</v>
      </c>
      <c r="B684" t="s">
        <v>28</v>
      </c>
      <c r="C684">
        <v>196</v>
      </c>
      <c r="D684">
        <v>65</v>
      </c>
      <c r="E684" t="s">
        <v>13</v>
      </c>
      <c r="F684" t="s">
        <v>171</v>
      </c>
      <c r="G684">
        <v>375.9</v>
      </c>
      <c r="H684" t="s">
        <v>26</v>
      </c>
      <c r="I684" s="2">
        <v>45040</v>
      </c>
      <c r="J684" s="2">
        <v>45116</v>
      </c>
      <c r="K684" t="s">
        <v>172</v>
      </c>
    </row>
    <row r="685" spans="1:11" x14ac:dyDescent="0.25">
      <c r="A685" t="s">
        <v>47</v>
      </c>
      <c r="B685" t="s">
        <v>28</v>
      </c>
      <c r="C685">
        <v>152</v>
      </c>
      <c r="D685">
        <v>56</v>
      </c>
      <c r="E685" t="s">
        <v>13</v>
      </c>
      <c r="F685" t="s">
        <v>173</v>
      </c>
      <c r="G685">
        <v>133.38</v>
      </c>
      <c r="H685" t="s">
        <v>20</v>
      </c>
      <c r="I685" s="2">
        <v>45165</v>
      </c>
      <c r="J685" s="2">
        <v>45250</v>
      </c>
      <c r="K685" t="s">
        <v>172</v>
      </c>
    </row>
    <row r="686" spans="1:11" x14ac:dyDescent="0.25">
      <c r="A686" t="s">
        <v>59</v>
      </c>
      <c r="B686" t="s">
        <v>23</v>
      </c>
      <c r="C686">
        <v>90</v>
      </c>
      <c r="D686">
        <v>75</v>
      </c>
      <c r="E686" t="s">
        <v>13</v>
      </c>
      <c r="F686" t="s">
        <v>173</v>
      </c>
      <c r="G686">
        <v>355.09</v>
      </c>
      <c r="H686" t="s">
        <v>14</v>
      </c>
      <c r="I686" s="2">
        <v>45149</v>
      </c>
      <c r="J686" s="2">
        <v>45165</v>
      </c>
      <c r="K686" t="s">
        <v>17</v>
      </c>
    </row>
    <row r="687" spans="1:11" x14ac:dyDescent="0.25">
      <c r="A687" t="s">
        <v>40</v>
      </c>
      <c r="B687" t="s">
        <v>23</v>
      </c>
      <c r="C687">
        <v>198</v>
      </c>
      <c r="D687">
        <v>46</v>
      </c>
      <c r="E687" t="s">
        <v>13</v>
      </c>
      <c r="F687" t="s">
        <v>170</v>
      </c>
      <c r="G687">
        <v>310.2</v>
      </c>
      <c r="H687" t="s">
        <v>26</v>
      </c>
      <c r="I687" s="2">
        <v>45040</v>
      </c>
      <c r="J687" s="2">
        <v>45112</v>
      </c>
      <c r="K687" t="s">
        <v>172</v>
      </c>
    </row>
    <row r="688" spans="1:11" x14ac:dyDescent="0.25">
      <c r="A688" t="s">
        <v>47</v>
      </c>
      <c r="B688" t="s">
        <v>12</v>
      </c>
      <c r="C688">
        <v>166</v>
      </c>
      <c r="D688">
        <v>54</v>
      </c>
      <c r="E688" t="s">
        <v>13</v>
      </c>
      <c r="F688" t="s">
        <v>173</v>
      </c>
      <c r="G688">
        <v>464.33</v>
      </c>
      <c r="H688" t="s">
        <v>20</v>
      </c>
      <c r="I688" s="2">
        <v>45234</v>
      </c>
      <c r="J688" s="2">
        <v>45272</v>
      </c>
      <c r="K688" t="s">
        <v>21</v>
      </c>
    </row>
    <row r="689" spans="1:11" x14ac:dyDescent="0.25">
      <c r="A689" t="s">
        <v>34</v>
      </c>
      <c r="B689" t="s">
        <v>28</v>
      </c>
      <c r="C689">
        <v>175</v>
      </c>
      <c r="D689">
        <v>80</v>
      </c>
      <c r="E689" t="s">
        <v>13</v>
      </c>
      <c r="F689" t="s">
        <v>171</v>
      </c>
      <c r="G689">
        <v>198.56</v>
      </c>
      <c r="H689" t="s">
        <v>26</v>
      </c>
      <c r="I689" s="2">
        <v>45011</v>
      </c>
      <c r="J689" s="2">
        <v>45091</v>
      </c>
      <c r="K689" t="s">
        <v>172</v>
      </c>
    </row>
    <row r="690" spans="1:11" x14ac:dyDescent="0.25">
      <c r="A690" t="s">
        <v>68</v>
      </c>
      <c r="B690" t="s">
        <v>16</v>
      </c>
      <c r="C690">
        <v>77</v>
      </c>
      <c r="D690">
        <v>29</v>
      </c>
      <c r="E690" t="s">
        <v>13</v>
      </c>
      <c r="F690" t="s">
        <v>171</v>
      </c>
      <c r="G690">
        <v>174.46</v>
      </c>
      <c r="H690" t="s">
        <v>14</v>
      </c>
      <c r="I690" s="2">
        <v>45134</v>
      </c>
      <c r="J690" s="2">
        <v>45181</v>
      </c>
    </row>
    <row r="691" spans="1:11" x14ac:dyDescent="0.25">
      <c r="A691" t="s">
        <v>15</v>
      </c>
      <c r="B691" t="s">
        <v>23</v>
      </c>
      <c r="C691">
        <v>70</v>
      </c>
      <c r="D691">
        <v>43</v>
      </c>
      <c r="E691" t="s">
        <v>13</v>
      </c>
      <c r="F691" t="s">
        <v>173</v>
      </c>
      <c r="G691">
        <v>150.1</v>
      </c>
      <c r="H691" t="s">
        <v>20</v>
      </c>
      <c r="I691" s="2">
        <v>45025</v>
      </c>
      <c r="J691" s="2">
        <v>45056</v>
      </c>
      <c r="K691" t="s">
        <v>17</v>
      </c>
    </row>
    <row r="692" spans="1:11" x14ac:dyDescent="0.25">
      <c r="A692" t="s">
        <v>41</v>
      </c>
      <c r="B692" t="s">
        <v>30</v>
      </c>
      <c r="C692">
        <v>54</v>
      </c>
      <c r="D692">
        <v>54</v>
      </c>
      <c r="E692" t="s">
        <v>13</v>
      </c>
      <c r="F692" t="s">
        <v>173</v>
      </c>
      <c r="G692">
        <v>96.92</v>
      </c>
      <c r="H692" t="s">
        <v>20</v>
      </c>
      <c r="I692" s="2">
        <v>45265</v>
      </c>
      <c r="J692" s="2">
        <v>45354</v>
      </c>
      <c r="K692" t="s">
        <v>172</v>
      </c>
    </row>
    <row r="693" spans="1:11" x14ac:dyDescent="0.25">
      <c r="A693" t="s">
        <v>56</v>
      </c>
      <c r="B693" t="s">
        <v>28</v>
      </c>
      <c r="C693">
        <v>19</v>
      </c>
      <c r="D693">
        <v>30</v>
      </c>
      <c r="E693" t="s">
        <v>19</v>
      </c>
      <c r="F693" t="s">
        <v>170</v>
      </c>
      <c r="G693">
        <v>24.25</v>
      </c>
      <c r="H693" t="s">
        <v>20</v>
      </c>
      <c r="I693" s="2">
        <v>45104</v>
      </c>
      <c r="J693" s="2">
        <v>45138</v>
      </c>
      <c r="K693" t="s">
        <v>172</v>
      </c>
    </row>
    <row r="694" spans="1:11" x14ac:dyDescent="0.25">
      <c r="A694" t="s">
        <v>71</v>
      </c>
      <c r="B694" t="s">
        <v>30</v>
      </c>
      <c r="C694">
        <v>6</v>
      </c>
      <c r="D694">
        <v>96</v>
      </c>
      <c r="E694" t="s">
        <v>19</v>
      </c>
      <c r="F694" t="s">
        <v>173</v>
      </c>
      <c r="G694">
        <v>224.21</v>
      </c>
      <c r="H694" t="s">
        <v>14</v>
      </c>
      <c r="I694" s="2">
        <v>44946</v>
      </c>
      <c r="J694" s="2">
        <v>44989</v>
      </c>
      <c r="K694" t="s">
        <v>172</v>
      </c>
    </row>
    <row r="695" spans="1:11" x14ac:dyDescent="0.25">
      <c r="A695" t="s">
        <v>27</v>
      </c>
      <c r="B695" t="s">
        <v>12</v>
      </c>
      <c r="C695">
        <v>112</v>
      </c>
      <c r="D695">
        <v>89</v>
      </c>
      <c r="E695" t="s">
        <v>13</v>
      </c>
      <c r="F695" t="s">
        <v>170</v>
      </c>
      <c r="G695">
        <v>367.42</v>
      </c>
      <c r="H695" t="s">
        <v>26</v>
      </c>
      <c r="I695" s="2">
        <v>45184</v>
      </c>
      <c r="J695" s="2">
        <v>45236</v>
      </c>
    </row>
    <row r="696" spans="1:11" x14ac:dyDescent="0.25">
      <c r="A696" t="s">
        <v>22</v>
      </c>
      <c r="B696" t="s">
        <v>28</v>
      </c>
      <c r="C696">
        <v>124</v>
      </c>
      <c r="D696">
        <v>71</v>
      </c>
      <c r="E696" t="s">
        <v>13</v>
      </c>
      <c r="F696" t="s">
        <v>173</v>
      </c>
      <c r="G696">
        <v>222.48</v>
      </c>
      <c r="H696" t="s">
        <v>14</v>
      </c>
      <c r="I696" s="2">
        <v>45213</v>
      </c>
      <c r="J696" s="2">
        <v>45236</v>
      </c>
      <c r="K696" t="s">
        <v>21</v>
      </c>
    </row>
    <row r="697" spans="1:11" x14ac:dyDescent="0.25">
      <c r="A697" t="s">
        <v>11</v>
      </c>
      <c r="B697" t="s">
        <v>12</v>
      </c>
      <c r="C697">
        <v>170</v>
      </c>
      <c r="D697">
        <v>39</v>
      </c>
      <c r="E697" t="s">
        <v>13</v>
      </c>
      <c r="F697" t="s">
        <v>171</v>
      </c>
      <c r="G697">
        <v>145.83000000000001</v>
      </c>
      <c r="H697" t="s">
        <v>26</v>
      </c>
      <c r="I697" s="2">
        <v>45226</v>
      </c>
      <c r="J697" s="2">
        <v>45259</v>
      </c>
      <c r="K697" t="s">
        <v>21</v>
      </c>
    </row>
    <row r="698" spans="1:11" x14ac:dyDescent="0.25">
      <c r="A698" t="s">
        <v>39</v>
      </c>
      <c r="B698" t="s">
        <v>16</v>
      </c>
      <c r="C698">
        <v>191</v>
      </c>
      <c r="D698">
        <v>93</v>
      </c>
      <c r="E698" t="s">
        <v>13</v>
      </c>
      <c r="F698" t="s">
        <v>170</v>
      </c>
      <c r="G698">
        <v>88.71</v>
      </c>
      <c r="H698" t="s">
        <v>20</v>
      </c>
      <c r="I698" s="2">
        <v>44990</v>
      </c>
      <c r="J698" s="2">
        <v>45017</v>
      </c>
      <c r="K698" t="s">
        <v>172</v>
      </c>
    </row>
    <row r="699" spans="1:11" x14ac:dyDescent="0.25">
      <c r="A699" t="s">
        <v>66</v>
      </c>
      <c r="B699" t="s">
        <v>30</v>
      </c>
      <c r="C699">
        <v>120</v>
      </c>
      <c r="D699">
        <v>68</v>
      </c>
      <c r="E699" t="s">
        <v>13</v>
      </c>
      <c r="F699" t="s">
        <v>171</v>
      </c>
      <c r="G699">
        <v>284.33</v>
      </c>
      <c r="H699" t="s">
        <v>20</v>
      </c>
      <c r="I699" s="2">
        <v>45102</v>
      </c>
      <c r="J699" s="2">
        <v>45155</v>
      </c>
    </row>
    <row r="700" spans="1:11" x14ac:dyDescent="0.25">
      <c r="A700" t="s">
        <v>45</v>
      </c>
      <c r="B700" t="s">
        <v>23</v>
      </c>
      <c r="C700">
        <v>131</v>
      </c>
      <c r="D700">
        <v>61</v>
      </c>
      <c r="E700" t="s">
        <v>13</v>
      </c>
      <c r="F700" t="s">
        <v>171</v>
      </c>
      <c r="G700">
        <v>28.19</v>
      </c>
      <c r="H700" t="s">
        <v>14</v>
      </c>
      <c r="I700" s="2">
        <v>45273</v>
      </c>
      <c r="J700" s="2">
        <v>45354</v>
      </c>
    </row>
    <row r="701" spans="1:11" x14ac:dyDescent="0.25">
      <c r="A701" t="s">
        <v>42</v>
      </c>
      <c r="B701" t="s">
        <v>16</v>
      </c>
      <c r="C701">
        <v>137</v>
      </c>
      <c r="D701">
        <v>95</v>
      </c>
      <c r="E701" t="s">
        <v>13</v>
      </c>
      <c r="F701" t="s">
        <v>171</v>
      </c>
      <c r="G701">
        <v>262.01</v>
      </c>
      <c r="H701" t="s">
        <v>14</v>
      </c>
      <c r="I701" s="2">
        <v>45255</v>
      </c>
      <c r="J701" s="2">
        <v>45319</v>
      </c>
      <c r="K701" t="s">
        <v>21</v>
      </c>
    </row>
    <row r="702" spans="1:11" x14ac:dyDescent="0.25">
      <c r="A702" t="s">
        <v>18</v>
      </c>
      <c r="B702" t="s">
        <v>30</v>
      </c>
      <c r="C702">
        <v>127</v>
      </c>
      <c r="D702">
        <v>62</v>
      </c>
      <c r="E702" t="s">
        <v>13</v>
      </c>
      <c r="F702" t="s">
        <v>171</v>
      </c>
      <c r="G702">
        <v>92.81</v>
      </c>
      <c r="H702" t="s">
        <v>26</v>
      </c>
      <c r="I702" s="2">
        <v>45196</v>
      </c>
      <c r="J702" s="2">
        <v>45245</v>
      </c>
      <c r="K702" t="s">
        <v>21</v>
      </c>
    </row>
    <row r="703" spans="1:11" x14ac:dyDescent="0.25">
      <c r="A703" t="s">
        <v>49</v>
      </c>
      <c r="B703" t="s">
        <v>12</v>
      </c>
      <c r="C703">
        <v>108</v>
      </c>
      <c r="D703">
        <v>31</v>
      </c>
      <c r="E703" t="s">
        <v>13</v>
      </c>
      <c r="F703" t="s">
        <v>171</v>
      </c>
      <c r="G703">
        <v>451.05</v>
      </c>
      <c r="H703" t="s">
        <v>20</v>
      </c>
      <c r="I703" s="2">
        <v>45182</v>
      </c>
      <c r="J703" s="2">
        <v>45225</v>
      </c>
      <c r="K703" t="s">
        <v>172</v>
      </c>
    </row>
    <row r="704" spans="1:11" x14ac:dyDescent="0.25">
      <c r="A704" t="s">
        <v>50</v>
      </c>
      <c r="B704" t="s">
        <v>16</v>
      </c>
      <c r="C704">
        <v>0</v>
      </c>
      <c r="D704">
        <v>44</v>
      </c>
      <c r="E704" t="s">
        <v>19</v>
      </c>
      <c r="F704" t="s">
        <v>170</v>
      </c>
      <c r="G704">
        <v>104.39</v>
      </c>
      <c r="H704" t="s">
        <v>20</v>
      </c>
      <c r="I704" s="2">
        <v>45276</v>
      </c>
      <c r="J704" s="2">
        <v>45321</v>
      </c>
    </row>
    <row r="705" spans="1:11" x14ac:dyDescent="0.25">
      <c r="A705" t="s">
        <v>65</v>
      </c>
      <c r="B705" t="s">
        <v>12</v>
      </c>
      <c r="C705">
        <v>123</v>
      </c>
      <c r="D705">
        <v>70</v>
      </c>
      <c r="E705" t="s">
        <v>13</v>
      </c>
      <c r="F705" t="s">
        <v>170</v>
      </c>
      <c r="G705">
        <v>218.86</v>
      </c>
      <c r="H705" t="s">
        <v>26</v>
      </c>
      <c r="I705" s="2">
        <v>45080</v>
      </c>
      <c r="J705" s="2">
        <v>45169</v>
      </c>
      <c r="K705" t="s">
        <v>21</v>
      </c>
    </row>
    <row r="706" spans="1:11" x14ac:dyDescent="0.25">
      <c r="A706" t="s">
        <v>45</v>
      </c>
      <c r="B706" t="s">
        <v>23</v>
      </c>
      <c r="C706">
        <v>84</v>
      </c>
      <c r="D706">
        <v>70</v>
      </c>
      <c r="E706" t="s">
        <v>13</v>
      </c>
      <c r="F706" t="s">
        <v>170</v>
      </c>
      <c r="G706">
        <v>54.03</v>
      </c>
      <c r="H706" t="s">
        <v>20</v>
      </c>
      <c r="I706" s="2">
        <v>45223</v>
      </c>
      <c r="J706" s="2">
        <v>45257</v>
      </c>
      <c r="K706" t="s">
        <v>21</v>
      </c>
    </row>
    <row r="707" spans="1:11" x14ac:dyDescent="0.25">
      <c r="A707" t="s">
        <v>35</v>
      </c>
      <c r="B707" t="s">
        <v>28</v>
      </c>
      <c r="C707">
        <v>3</v>
      </c>
      <c r="D707">
        <v>65</v>
      </c>
      <c r="E707" t="s">
        <v>19</v>
      </c>
      <c r="F707" t="s">
        <v>170</v>
      </c>
      <c r="G707">
        <v>418.9</v>
      </c>
      <c r="H707" t="s">
        <v>20</v>
      </c>
      <c r="I707" s="2">
        <v>44998</v>
      </c>
      <c r="J707" s="2">
        <v>45022</v>
      </c>
      <c r="K707" t="s">
        <v>17</v>
      </c>
    </row>
    <row r="708" spans="1:11" x14ac:dyDescent="0.25">
      <c r="A708" t="s">
        <v>47</v>
      </c>
      <c r="B708" t="s">
        <v>28</v>
      </c>
      <c r="C708">
        <v>111</v>
      </c>
      <c r="D708">
        <v>62</v>
      </c>
      <c r="E708" t="s">
        <v>13</v>
      </c>
      <c r="F708" t="s">
        <v>173</v>
      </c>
      <c r="G708">
        <v>453.93</v>
      </c>
      <c r="H708" t="s">
        <v>20</v>
      </c>
      <c r="I708" s="2">
        <v>45123</v>
      </c>
      <c r="J708" s="2">
        <v>45199</v>
      </c>
      <c r="K708" t="s">
        <v>17</v>
      </c>
    </row>
    <row r="709" spans="1:11" x14ac:dyDescent="0.25">
      <c r="A709" t="s">
        <v>72</v>
      </c>
      <c r="B709" t="s">
        <v>12</v>
      </c>
      <c r="C709">
        <v>86</v>
      </c>
      <c r="D709">
        <v>85</v>
      </c>
      <c r="E709" t="s">
        <v>13</v>
      </c>
      <c r="F709" t="s">
        <v>171</v>
      </c>
      <c r="G709">
        <v>154.53</v>
      </c>
      <c r="H709" t="s">
        <v>26</v>
      </c>
      <c r="I709" s="2">
        <v>45288</v>
      </c>
      <c r="J709" s="2">
        <v>45312</v>
      </c>
      <c r="K709" t="s">
        <v>21</v>
      </c>
    </row>
    <row r="710" spans="1:11" x14ac:dyDescent="0.25">
      <c r="A710" t="s">
        <v>50</v>
      </c>
      <c r="B710" t="s">
        <v>28</v>
      </c>
      <c r="C710">
        <v>17</v>
      </c>
      <c r="D710">
        <v>36</v>
      </c>
      <c r="E710" t="s">
        <v>19</v>
      </c>
      <c r="F710" t="s">
        <v>170</v>
      </c>
      <c r="G710">
        <v>92.61</v>
      </c>
      <c r="H710" t="s">
        <v>14</v>
      </c>
      <c r="I710" s="2">
        <v>45186</v>
      </c>
      <c r="J710" s="2">
        <v>45202</v>
      </c>
      <c r="K710" t="s">
        <v>21</v>
      </c>
    </row>
    <row r="711" spans="1:11" x14ac:dyDescent="0.25">
      <c r="A711" t="s">
        <v>61</v>
      </c>
      <c r="B711" t="s">
        <v>12</v>
      </c>
      <c r="C711">
        <v>152</v>
      </c>
      <c r="D711">
        <v>27</v>
      </c>
      <c r="E711" t="s">
        <v>13</v>
      </c>
      <c r="F711" t="s">
        <v>173</v>
      </c>
      <c r="G711">
        <v>65.55</v>
      </c>
      <c r="H711" t="s">
        <v>20</v>
      </c>
      <c r="I711" s="2">
        <v>45099</v>
      </c>
      <c r="J711" s="2">
        <v>45176</v>
      </c>
      <c r="K711" t="s">
        <v>172</v>
      </c>
    </row>
    <row r="712" spans="1:11" x14ac:dyDescent="0.25">
      <c r="A712" t="s">
        <v>57</v>
      </c>
      <c r="B712" t="s">
        <v>16</v>
      </c>
      <c r="C712">
        <v>147</v>
      </c>
      <c r="D712">
        <v>53</v>
      </c>
      <c r="E712" t="s">
        <v>13</v>
      </c>
      <c r="F712" t="s">
        <v>170</v>
      </c>
      <c r="G712">
        <v>382.41</v>
      </c>
      <c r="H712" t="s">
        <v>20</v>
      </c>
      <c r="I712" s="2">
        <v>45161</v>
      </c>
      <c r="J712" s="2">
        <v>45215</v>
      </c>
      <c r="K712" t="s">
        <v>172</v>
      </c>
    </row>
    <row r="713" spans="1:11" x14ac:dyDescent="0.25">
      <c r="A713" t="s">
        <v>36</v>
      </c>
      <c r="B713" t="s">
        <v>12</v>
      </c>
      <c r="C713">
        <v>23</v>
      </c>
      <c r="D713">
        <v>85</v>
      </c>
      <c r="E713" t="s">
        <v>19</v>
      </c>
      <c r="F713" t="s">
        <v>171</v>
      </c>
      <c r="G713">
        <v>103.28</v>
      </c>
      <c r="H713" t="s">
        <v>14</v>
      </c>
      <c r="I713" s="2">
        <v>44954</v>
      </c>
      <c r="J713" s="2">
        <v>44969</v>
      </c>
      <c r="K713" t="s">
        <v>21</v>
      </c>
    </row>
    <row r="714" spans="1:11" x14ac:dyDescent="0.25">
      <c r="A714" t="s">
        <v>71</v>
      </c>
      <c r="B714" t="s">
        <v>23</v>
      </c>
      <c r="C714">
        <v>5</v>
      </c>
      <c r="D714">
        <v>49</v>
      </c>
      <c r="E714" t="s">
        <v>19</v>
      </c>
      <c r="F714" t="s">
        <v>173</v>
      </c>
      <c r="G714">
        <v>417.56</v>
      </c>
      <c r="H714" t="s">
        <v>14</v>
      </c>
      <c r="I714" s="2">
        <v>45241</v>
      </c>
      <c r="J714" s="2">
        <v>45307</v>
      </c>
      <c r="K714" t="s">
        <v>172</v>
      </c>
    </row>
    <row r="715" spans="1:11" x14ac:dyDescent="0.25">
      <c r="A715" t="s">
        <v>25</v>
      </c>
      <c r="B715" t="s">
        <v>23</v>
      </c>
      <c r="C715">
        <v>50</v>
      </c>
      <c r="D715">
        <v>34</v>
      </c>
      <c r="E715" t="s">
        <v>13</v>
      </c>
      <c r="F715" t="s">
        <v>173</v>
      </c>
      <c r="G715">
        <v>8.6</v>
      </c>
      <c r="H715" t="s">
        <v>26</v>
      </c>
      <c r="I715" s="2">
        <v>45250</v>
      </c>
      <c r="J715" s="2">
        <v>45310</v>
      </c>
      <c r="K715" t="s">
        <v>172</v>
      </c>
    </row>
    <row r="716" spans="1:11" x14ac:dyDescent="0.25">
      <c r="A716" t="s">
        <v>54</v>
      </c>
      <c r="B716" t="s">
        <v>12</v>
      </c>
      <c r="C716">
        <v>23</v>
      </c>
      <c r="D716">
        <v>41</v>
      </c>
      <c r="E716" t="s">
        <v>19</v>
      </c>
      <c r="F716" t="s">
        <v>170</v>
      </c>
      <c r="G716">
        <v>112.62</v>
      </c>
      <c r="H716" t="s">
        <v>20</v>
      </c>
      <c r="I716" s="2">
        <v>45213</v>
      </c>
      <c r="J716" s="2">
        <v>45263</v>
      </c>
      <c r="K716" t="s">
        <v>17</v>
      </c>
    </row>
    <row r="717" spans="1:11" x14ac:dyDescent="0.25">
      <c r="A717" t="s">
        <v>25</v>
      </c>
      <c r="B717" t="s">
        <v>23</v>
      </c>
      <c r="C717">
        <v>25</v>
      </c>
      <c r="D717">
        <v>29</v>
      </c>
      <c r="E717" t="s">
        <v>19</v>
      </c>
      <c r="F717" t="s">
        <v>170</v>
      </c>
      <c r="G717">
        <v>362.59</v>
      </c>
      <c r="H717" t="s">
        <v>20</v>
      </c>
      <c r="I717" s="2">
        <v>45124</v>
      </c>
      <c r="J717" s="2">
        <v>45177</v>
      </c>
      <c r="K717" t="s">
        <v>21</v>
      </c>
    </row>
    <row r="718" spans="1:11" x14ac:dyDescent="0.25">
      <c r="A718" t="s">
        <v>32</v>
      </c>
      <c r="B718" t="s">
        <v>23</v>
      </c>
      <c r="C718">
        <v>174</v>
      </c>
      <c r="D718">
        <v>21</v>
      </c>
      <c r="E718" t="s">
        <v>13</v>
      </c>
      <c r="F718" t="s">
        <v>170</v>
      </c>
      <c r="G718">
        <v>65.69</v>
      </c>
      <c r="H718" t="s">
        <v>14</v>
      </c>
      <c r="I718" s="2">
        <v>45211</v>
      </c>
      <c r="J718" s="2">
        <v>45251</v>
      </c>
    </row>
    <row r="719" spans="1:11" x14ac:dyDescent="0.25">
      <c r="A719" t="s">
        <v>57</v>
      </c>
      <c r="B719" t="s">
        <v>16</v>
      </c>
      <c r="C719">
        <v>87</v>
      </c>
      <c r="D719">
        <v>48</v>
      </c>
      <c r="E719" t="s">
        <v>13</v>
      </c>
      <c r="F719" t="s">
        <v>171</v>
      </c>
      <c r="G719">
        <v>258.89999999999998</v>
      </c>
      <c r="H719" t="s">
        <v>14</v>
      </c>
      <c r="I719" s="2">
        <v>45243</v>
      </c>
      <c r="J719" s="2">
        <v>45320</v>
      </c>
      <c r="K719" t="s">
        <v>172</v>
      </c>
    </row>
    <row r="720" spans="1:11" x14ac:dyDescent="0.25">
      <c r="A720" t="s">
        <v>44</v>
      </c>
      <c r="B720" t="s">
        <v>23</v>
      </c>
      <c r="C720">
        <v>155</v>
      </c>
      <c r="D720">
        <v>72</v>
      </c>
      <c r="E720" t="s">
        <v>13</v>
      </c>
      <c r="F720" t="s">
        <v>173</v>
      </c>
      <c r="G720">
        <v>213.93</v>
      </c>
      <c r="H720" t="s">
        <v>14</v>
      </c>
      <c r="I720" s="2">
        <v>45093</v>
      </c>
      <c r="J720" s="2">
        <v>45113</v>
      </c>
    </row>
    <row r="721" spans="1:11" x14ac:dyDescent="0.25">
      <c r="A721" t="s">
        <v>50</v>
      </c>
      <c r="B721" t="s">
        <v>28</v>
      </c>
      <c r="C721">
        <v>51</v>
      </c>
      <c r="D721">
        <v>42</v>
      </c>
      <c r="E721" t="s">
        <v>13</v>
      </c>
      <c r="F721" t="s">
        <v>170</v>
      </c>
      <c r="G721">
        <v>60.92</v>
      </c>
      <c r="H721" t="s">
        <v>14</v>
      </c>
      <c r="I721" s="2">
        <v>45261</v>
      </c>
      <c r="J721" s="2">
        <v>45305</v>
      </c>
      <c r="K721" t="s">
        <v>172</v>
      </c>
    </row>
    <row r="722" spans="1:11" x14ac:dyDescent="0.25">
      <c r="A722" t="s">
        <v>34</v>
      </c>
      <c r="B722" t="s">
        <v>30</v>
      </c>
      <c r="C722">
        <v>175</v>
      </c>
      <c r="D722">
        <v>96</v>
      </c>
      <c r="E722" t="s">
        <v>13</v>
      </c>
      <c r="F722" t="s">
        <v>170</v>
      </c>
      <c r="G722">
        <v>101.69</v>
      </c>
      <c r="H722" t="s">
        <v>14</v>
      </c>
      <c r="I722" s="2">
        <v>45074</v>
      </c>
      <c r="J722" s="2">
        <v>45143</v>
      </c>
      <c r="K722" t="s">
        <v>17</v>
      </c>
    </row>
    <row r="723" spans="1:11" x14ac:dyDescent="0.25">
      <c r="A723" t="s">
        <v>46</v>
      </c>
      <c r="B723" t="s">
        <v>16</v>
      </c>
      <c r="C723">
        <v>57</v>
      </c>
      <c r="D723">
        <v>87</v>
      </c>
      <c r="E723" t="s">
        <v>19</v>
      </c>
      <c r="F723" t="s">
        <v>171</v>
      </c>
      <c r="G723">
        <v>393.69</v>
      </c>
      <c r="H723" t="s">
        <v>26</v>
      </c>
      <c r="I723" s="2">
        <v>45105</v>
      </c>
      <c r="J723" s="2">
        <v>45173</v>
      </c>
      <c r="K723" t="s">
        <v>17</v>
      </c>
    </row>
    <row r="724" spans="1:11" x14ac:dyDescent="0.25">
      <c r="A724" t="s">
        <v>25</v>
      </c>
      <c r="B724" t="s">
        <v>16</v>
      </c>
      <c r="C724">
        <v>60</v>
      </c>
      <c r="D724">
        <v>78</v>
      </c>
      <c r="E724" t="s">
        <v>19</v>
      </c>
      <c r="F724" t="s">
        <v>170</v>
      </c>
      <c r="G724">
        <v>65.290000000000006</v>
      </c>
      <c r="H724" t="s">
        <v>26</v>
      </c>
      <c r="I724" s="2">
        <v>45020</v>
      </c>
      <c r="J724" s="2">
        <v>45047</v>
      </c>
      <c r="K724" t="s">
        <v>172</v>
      </c>
    </row>
    <row r="725" spans="1:11" x14ac:dyDescent="0.25">
      <c r="A725" t="s">
        <v>33</v>
      </c>
      <c r="B725" t="s">
        <v>16</v>
      </c>
      <c r="C725">
        <v>97</v>
      </c>
      <c r="D725">
        <v>89</v>
      </c>
      <c r="E725" t="s">
        <v>13</v>
      </c>
      <c r="F725" t="s">
        <v>173</v>
      </c>
      <c r="G725">
        <v>304.42</v>
      </c>
      <c r="H725" t="s">
        <v>20</v>
      </c>
      <c r="I725" s="2">
        <v>44932</v>
      </c>
      <c r="J725" s="2">
        <v>45012</v>
      </c>
    </row>
    <row r="726" spans="1:11" x14ac:dyDescent="0.25">
      <c r="A726" t="s">
        <v>69</v>
      </c>
      <c r="B726" t="s">
        <v>23</v>
      </c>
      <c r="C726">
        <v>127</v>
      </c>
      <c r="D726">
        <v>54</v>
      </c>
      <c r="E726" t="s">
        <v>13</v>
      </c>
      <c r="F726" t="s">
        <v>170</v>
      </c>
      <c r="G726">
        <v>310.63</v>
      </c>
      <c r="H726" t="s">
        <v>14</v>
      </c>
      <c r="I726" s="2">
        <v>45278</v>
      </c>
      <c r="J726" s="2">
        <v>45342</v>
      </c>
      <c r="K726" t="s">
        <v>21</v>
      </c>
    </row>
    <row r="727" spans="1:11" x14ac:dyDescent="0.25">
      <c r="A727" t="s">
        <v>39</v>
      </c>
      <c r="B727" t="s">
        <v>30</v>
      </c>
      <c r="C727">
        <v>65</v>
      </c>
      <c r="D727">
        <v>52</v>
      </c>
      <c r="E727" t="s">
        <v>13</v>
      </c>
      <c r="F727" t="s">
        <v>173</v>
      </c>
      <c r="G727">
        <v>155.6</v>
      </c>
      <c r="H727" t="s">
        <v>20</v>
      </c>
      <c r="I727" s="2">
        <v>45011</v>
      </c>
      <c r="J727" s="2">
        <v>45067</v>
      </c>
      <c r="K727" t="s">
        <v>17</v>
      </c>
    </row>
    <row r="728" spans="1:11" x14ac:dyDescent="0.25">
      <c r="A728" t="s">
        <v>38</v>
      </c>
      <c r="B728" t="s">
        <v>16</v>
      </c>
      <c r="C728">
        <v>5</v>
      </c>
      <c r="D728">
        <v>97</v>
      </c>
      <c r="E728" t="s">
        <v>19</v>
      </c>
      <c r="F728" t="s">
        <v>170</v>
      </c>
      <c r="G728">
        <v>498.09</v>
      </c>
      <c r="H728" t="s">
        <v>26</v>
      </c>
      <c r="I728" s="2">
        <v>45262</v>
      </c>
      <c r="J728" s="2">
        <v>45314</v>
      </c>
      <c r="K728" t="s">
        <v>17</v>
      </c>
    </row>
    <row r="729" spans="1:11" x14ac:dyDescent="0.25">
      <c r="A729" t="s">
        <v>37</v>
      </c>
      <c r="B729" t="s">
        <v>28</v>
      </c>
      <c r="C729">
        <v>60</v>
      </c>
      <c r="D729">
        <v>62</v>
      </c>
      <c r="E729" t="s">
        <v>19</v>
      </c>
      <c r="F729" t="s">
        <v>173</v>
      </c>
      <c r="G729">
        <v>258.04000000000002</v>
      </c>
      <c r="H729" t="s">
        <v>14</v>
      </c>
      <c r="I729" s="2">
        <v>45081</v>
      </c>
      <c r="J729" s="2">
        <v>45104</v>
      </c>
    </row>
    <row r="730" spans="1:11" x14ac:dyDescent="0.25">
      <c r="A730" t="s">
        <v>11</v>
      </c>
      <c r="B730" t="s">
        <v>30</v>
      </c>
      <c r="C730">
        <v>189</v>
      </c>
      <c r="D730">
        <v>90</v>
      </c>
      <c r="E730" t="s">
        <v>13</v>
      </c>
      <c r="F730" t="s">
        <v>173</v>
      </c>
      <c r="G730">
        <v>483.87</v>
      </c>
      <c r="H730" t="s">
        <v>20</v>
      </c>
      <c r="I730" s="2">
        <v>45089</v>
      </c>
      <c r="J730" s="2">
        <v>45160</v>
      </c>
      <c r="K730" t="s">
        <v>17</v>
      </c>
    </row>
    <row r="731" spans="1:11" x14ac:dyDescent="0.25">
      <c r="A731" t="s">
        <v>52</v>
      </c>
      <c r="B731" t="s">
        <v>16</v>
      </c>
      <c r="C731">
        <v>6</v>
      </c>
      <c r="D731">
        <v>96</v>
      </c>
      <c r="E731" t="s">
        <v>19</v>
      </c>
      <c r="F731" t="s">
        <v>171</v>
      </c>
      <c r="G731">
        <v>181.36</v>
      </c>
      <c r="H731" t="s">
        <v>26</v>
      </c>
      <c r="I731" s="2">
        <v>45140</v>
      </c>
      <c r="J731" s="2">
        <v>45166</v>
      </c>
      <c r="K731" t="s">
        <v>172</v>
      </c>
    </row>
    <row r="732" spans="1:11" x14ac:dyDescent="0.25">
      <c r="A732" t="s">
        <v>51</v>
      </c>
      <c r="B732" t="s">
        <v>28</v>
      </c>
      <c r="C732">
        <v>1</v>
      </c>
      <c r="D732">
        <v>81</v>
      </c>
      <c r="E732" t="s">
        <v>19</v>
      </c>
      <c r="F732" t="s">
        <v>173</v>
      </c>
      <c r="G732">
        <v>438.83</v>
      </c>
      <c r="H732" t="s">
        <v>20</v>
      </c>
      <c r="I732" s="2">
        <v>45119</v>
      </c>
      <c r="J732" s="2">
        <v>45194</v>
      </c>
      <c r="K732" t="s">
        <v>172</v>
      </c>
    </row>
    <row r="733" spans="1:11" x14ac:dyDescent="0.25">
      <c r="A733" t="s">
        <v>60</v>
      </c>
      <c r="B733" t="s">
        <v>12</v>
      </c>
      <c r="C733">
        <v>88</v>
      </c>
      <c r="D733">
        <v>60</v>
      </c>
      <c r="E733" t="s">
        <v>13</v>
      </c>
      <c r="F733" t="s">
        <v>173</v>
      </c>
      <c r="G733">
        <v>57.74</v>
      </c>
      <c r="H733" t="s">
        <v>20</v>
      </c>
      <c r="I733" s="2">
        <v>45064</v>
      </c>
      <c r="J733" s="2">
        <v>45126</v>
      </c>
    </row>
    <row r="734" spans="1:11" x14ac:dyDescent="0.25">
      <c r="A734" t="s">
        <v>62</v>
      </c>
      <c r="B734" t="s">
        <v>28</v>
      </c>
      <c r="C734">
        <v>80</v>
      </c>
      <c r="D734">
        <v>88</v>
      </c>
      <c r="E734" t="s">
        <v>19</v>
      </c>
      <c r="F734" t="s">
        <v>173</v>
      </c>
      <c r="G734">
        <v>270.45</v>
      </c>
      <c r="H734" t="s">
        <v>20</v>
      </c>
      <c r="I734" s="2">
        <v>44950</v>
      </c>
      <c r="J734" s="2">
        <v>45006</v>
      </c>
    </row>
    <row r="735" spans="1:11" x14ac:dyDescent="0.25">
      <c r="A735" t="s">
        <v>47</v>
      </c>
      <c r="B735" t="s">
        <v>30</v>
      </c>
      <c r="C735">
        <v>48</v>
      </c>
      <c r="D735">
        <v>43</v>
      </c>
      <c r="E735" t="s">
        <v>13</v>
      </c>
      <c r="F735" t="s">
        <v>170</v>
      </c>
      <c r="G735">
        <v>50.68</v>
      </c>
      <c r="H735" t="s">
        <v>26</v>
      </c>
      <c r="I735" s="2">
        <v>45187</v>
      </c>
      <c r="J735" s="2">
        <v>45206</v>
      </c>
      <c r="K735" t="s">
        <v>21</v>
      </c>
    </row>
    <row r="736" spans="1:11" x14ac:dyDescent="0.25">
      <c r="A736" t="s">
        <v>56</v>
      </c>
      <c r="B736" t="s">
        <v>16</v>
      </c>
      <c r="C736">
        <v>23</v>
      </c>
      <c r="D736">
        <v>49</v>
      </c>
      <c r="E736" t="s">
        <v>19</v>
      </c>
      <c r="F736" t="s">
        <v>173</v>
      </c>
      <c r="G736">
        <v>375.21</v>
      </c>
      <c r="H736" t="s">
        <v>20</v>
      </c>
      <c r="I736" s="2">
        <v>45215</v>
      </c>
      <c r="J736" s="2">
        <v>45281</v>
      </c>
      <c r="K736" t="s">
        <v>21</v>
      </c>
    </row>
    <row r="737" spans="1:11" x14ac:dyDescent="0.25">
      <c r="A737" t="s">
        <v>18</v>
      </c>
      <c r="B737" t="s">
        <v>16</v>
      </c>
      <c r="C737">
        <v>59</v>
      </c>
      <c r="D737">
        <v>31</v>
      </c>
      <c r="E737" t="s">
        <v>13</v>
      </c>
      <c r="F737" t="s">
        <v>170</v>
      </c>
      <c r="G737">
        <v>492.29</v>
      </c>
      <c r="H737" t="s">
        <v>26</v>
      </c>
      <c r="I737" s="2">
        <v>44961</v>
      </c>
      <c r="J737" s="2">
        <v>45011</v>
      </c>
      <c r="K737" t="s">
        <v>17</v>
      </c>
    </row>
    <row r="738" spans="1:11" x14ac:dyDescent="0.25">
      <c r="A738" t="s">
        <v>47</v>
      </c>
      <c r="B738" t="s">
        <v>23</v>
      </c>
      <c r="C738">
        <v>73</v>
      </c>
      <c r="D738">
        <v>24</v>
      </c>
      <c r="E738" t="s">
        <v>13</v>
      </c>
      <c r="F738" t="s">
        <v>170</v>
      </c>
      <c r="G738">
        <v>409.45</v>
      </c>
      <c r="H738" t="s">
        <v>20</v>
      </c>
      <c r="I738" s="2">
        <v>45075</v>
      </c>
      <c r="J738" s="2">
        <v>45104</v>
      </c>
      <c r="K738" t="s">
        <v>21</v>
      </c>
    </row>
    <row r="739" spans="1:11" x14ac:dyDescent="0.25">
      <c r="A739" t="s">
        <v>22</v>
      </c>
      <c r="B739" t="s">
        <v>23</v>
      </c>
      <c r="C739">
        <v>45</v>
      </c>
      <c r="D739">
        <v>64</v>
      </c>
      <c r="E739" t="s">
        <v>19</v>
      </c>
      <c r="F739" t="s">
        <v>171</v>
      </c>
      <c r="G739">
        <v>66.569999999999993</v>
      </c>
      <c r="H739" t="s">
        <v>14</v>
      </c>
      <c r="I739" s="2">
        <v>45114</v>
      </c>
      <c r="J739" s="2">
        <v>45142</v>
      </c>
      <c r="K739" t="s">
        <v>172</v>
      </c>
    </row>
    <row r="740" spans="1:11" x14ac:dyDescent="0.25">
      <c r="A740" t="s">
        <v>57</v>
      </c>
      <c r="B740" t="s">
        <v>23</v>
      </c>
      <c r="C740">
        <v>12</v>
      </c>
      <c r="D740">
        <v>49</v>
      </c>
      <c r="E740" t="s">
        <v>19</v>
      </c>
      <c r="F740" t="s">
        <v>170</v>
      </c>
      <c r="G740">
        <v>117.82</v>
      </c>
      <c r="H740" t="s">
        <v>14</v>
      </c>
      <c r="I740" s="2">
        <v>45147</v>
      </c>
      <c r="J740" s="2">
        <v>45180</v>
      </c>
    </row>
    <row r="741" spans="1:11" x14ac:dyDescent="0.25">
      <c r="A741" t="s">
        <v>66</v>
      </c>
      <c r="B741" t="s">
        <v>30</v>
      </c>
      <c r="C741">
        <v>72</v>
      </c>
      <c r="D741">
        <v>76</v>
      </c>
      <c r="E741" t="s">
        <v>19</v>
      </c>
      <c r="F741" t="s">
        <v>171</v>
      </c>
      <c r="G741">
        <v>282.24</v>
      </c>
      <c r="H741" t="s">
        <v>14</v>
      </c>
      <c r="I741" s="2">
        <v>45277</v>
      </c>
      <c r="J741" s="2">
        <v>45303</v>
      </c>
    </row>
    <row r="742" spans="1:11" x14ac:dyDescent="0.25">
      <c r="A742" t="s">
        <v>46</v>
      </c>
      <c r="B742" t="s">
        <v>28</v>
      </c>
      <c r="C742">
        <v>198</v>
      </c>
      <c r="D742">
        <v>71</v>
      </c>
      <c r="E742" t="s">
        <v>13</v>
      </c>
      <c r="F742" t="s">
        <v>171</v>
      </c>
      <c r="G742">
        <v>277.22000000000003</v>
      </c>
      <c r="H742" t="s">
        <v>20</v>
      </c>
      <c r="I742" s="2">
        <v>45012</v>
      </c>
      <c r="J742" s="2">
        <v>45074</v>
      </c>
      <c r="K742" t="s">
        <v>21</v>
      </c>
    </row>
    <row r="743" spans="1:11" x14ac:dyDescent="0.25">
      <c r="A743" t="s">
        <v>37</v>
      </c>
      <c r="B743" t="s">
        <v>16</v>
      </c>
      <c r="C743">
        <v>183</v>
      </c>
      <c r="D743">
        <v>70</v>
      </c>
      <c r="E743" t="s">
        <v>13</v>
      </c>
      <c r="F743" t="s">
        <v>171</v>
      </c>
      <c r="G743">
        <v>413.82</v>
      </c>
      <c r="H743" t="s">
        <v>14</v>
      </c>
      <c r="I743" s="2">
        <v>45123</v>
      </c>
      <c r="J743" s="2">
        <v>45169</v>
      </c>
      <c r="K743" t="s">
        <v>17</v>
      </c>
    </row>
    <row r="744" spans="1:11" x14ac:dyDescent="0.25">
      <c r="A744" t="s">
        <v>57</v>
      </c>
      <c r="B744" t="s">
        <v>30</v>
      </c>
      <c r="C744">
        <v>84</v>
      </c>
      <c r="D744">
        <v>28</v>
      </c>
      <c r="E744" t="s">
        <v>13</v>
      </c>
      <c r="F744" t="s">
        <v>173</v>
      </c>
      <c r="G744">
        <v>424.11</v>
      </c>
      <c r="H744" t="s">
        <v>20</v>
      </c>
      <c r="I744" s="2">
        <v>45119</v>
      </c>
      <c r="J744" s="2">
        <v>45153</v>
      </c>
      <c r="K744" t="s">
        <v>172</v>
      </c>
    </row>
    <row r="745" spans="1:11" x14ac:dyDescent="0.25">
      <c r="A745" t="s">
        <v>54</v>
      </c>
      <c r="B745" t="s">
        <v>30</v>
      </c>
      <c r="C745">
        <v>159</v>
      </c>
      <c r="D745">
        <v>65</v>
      </c>
      <c r="E745" t="s">
        <v>13</v>
      </c>
      <c r="F745" t="s">
        <v>170</v>
      </c>
      <c r="G745">
        <v>473.86</v>
      </c>
      <c r="H745" t="s">
        <v>26</v>
      </c>
      <c r="I745" s="2">
        <v>45195</v>
      </c>
      <c r="J745" s="2">
        <v>45216</v>
      </c>
      <c r="K745" t="s">
        <v>17</v>
      </c>
    </row>
    <row r="746" spans="1:11" x14ac:dyDescent="0.25">
      <c r="A746" t="s">
        <v>22</v>
      </c>
      <c r="B746" t="s">
        <v>28</v>
      </c>
      <c r="C746">
        <v>33</v>
      </c>
      <c r="D746">
        <v>23</v>
      </c>
      <c r="E746" t="s">
        <v>13</v>
      </c>
      <c r="F746" t="s">
        <v>171</v>
      </c>
      <c r="G746">
        <v>396.5</v>
      </c>
      <c r="H746" t="s">
        <v>26</v>
      </c>
      <c r="I746" s="2">
        <v>45202</v>
      </c>
      <c r="J746" s="2">
        <v>45217</v>
      </c>
      <c r="K746" t="s">
        <v>21</v>
      </c>
    </row>
    <row r="747" spans="1:11" x14ac:dyDescent="0.25">
      <c r="A747" t="s">
        <v>45</v>
      </c>
      <c r="B747" t="s">
        <v>16</v>
      </c>
      <c r="C747">
        <v>191</v>
      </c>
      <c r="D747">
        <v>21</v>
      </c>
      <c r="E747" t="s">
        <v>13</v>
      </c>
      <c r="F747" t="s">
        <v>171</v>
      </c>
      <c r="G747">
        <v>152.5</v>
      </c>
      <c r="H747" t="s">
        <v>14</v>
      </c>
      <c r="I747" s="2">
        <v>45045</v>
      </c>
      <c r="J747" s="2">
        <v>45121</v>
      </c>
      <c r="K747" t="s">
        <v>17</v>
      </c>
    </row>
    <row r="748" spans="1:11" x14ac:dyDescent="0.25">
      <c r="A748" t="s">
        <v>27</v>
      </c>
      <c r="B748" t="s">
        <v>30</v>
      </c>
      <c r="C748">
        <v>172</v>
      </c>
      <c r="D748">
        <v>97</v>
      </c>
      <c r="E748" t="s">
        <v>13</v>
      </c>
      <c r="F748" t="s">
        <v>170</v>
      </c>
      <c r="G748">
        <v>27.41</v>
      </c>
      <c r="H748" t="s">
        <v>14</v>
      </c>
      <c r="I748" s="2">
        <v>45249</v>
      </c>
      <c r="J748" s="2">
        <v>45337</v>
      </c>
      <c r="K748" t="s">
        <v>21</v>
      </c>
    </row>
    <row r="749" spans="1:11" x14ac:dyDescent="0.25">
      <c r="A749" t="s">
        <v>25</v>
      </c>
      <c r="B749" t="s">
        <v>28</v>
      </c>
      <c r="C749">
        <v>162</v>
      </c>
      <c r="D749">
        <v>97</v>
      </c>
      <c r="E749" t="s">
        <v>13</v>
      </c>
      <c r="F749" t="s">
        <v>171</v>
      </c>
      <c r="G749">
        <v>480.02</v>
      </c>
      <c r="H749" t="s">
        <v>20</v>
      </c>
      <c r="I749" s="2">
        <v>45213</v>
      </c>
      <c r="J749" s="2">
        <v>45236</v>
      </c>
      <c r="K749" t="s">
        <v>21</v>
      </c>
    </row>
    <row r="750" spans="1:11" x14ac:dyDescent="0.25">
      <c r="A750" t="s">
        <v>50</v>
      </c>
      <c r="B750" t="s">
        <v>28</v>
      </c>
      <c r="C750">
        <v>104</v>
      </c>
      <c r="D750">
        <v>29</v>
      </c>
      <c r="E750" t="s">
        <v>13</v>
      </c>
      <c r="F750" t="s">
        <v>171</v>
      </c>
      <c r="G750">
        <v>314.77999999999997</v>
      </c>
      <c r="H750" t="s">
        <v>20</v>
      </c>
      <c r="I750" s="2">
        <v>45251</v>
      </c>
      <c r="J750" s="2">
        <v>45300</v>
      </c>
      <c r="K750" t="s">
        <v>172</v>
      </c>
    </row>
    <row r="751" spans="1:11" x14ac:dyDescent="0.25">
      <c r="A751" t="s">
        <v>29</v>
      </c>
      <c r="B751" t="s">
        <v>23</v>
      </c>
      <c r="C751">
        <v>153</v>
      </c>
      <c r="D751">
        <v>92</v>
      </c>
      <c r="E751" t="s">
        <v>13</v>
      </c>
      <c r="F751" t="s">
        <v>171</v>
      </c>
      <c r="G751">
        <v>317.22000000000003</v>
      </c>
      <c r="H751" t="s">
        <v>26</v>
      </c>
      <c r="I751" s="2">
        <v>45186</v>
      </c>
      <c r="J751" s="2">
        <v>45215</v>
      </c>
      <c r="K751" t="s">
        <v>21</v>
      </c>
    </row>
    <row r="752" spans="1:11" x14ac:dyDescent="0.25">
      <c r="A752" t="s">
        <v>63</v>
      </c>
      <c r="B752" t="s">
        <v>23</v>
      </c>
      <c r="C752">
        <v>14</v>
      </c>
      <c r="D752">
        <v>85</v>
      </c>
      <c r="E752" t="s">
        <v>19</v>
      </c>
      <c r="F752" t="s">
        <v>171</v>
      </c>
      <c r="G752">
        <v>10</v>
      </c>
      <c r="H752" t="s">
        <v>20</v>
      </c>
      <c r="I752" s="2">
        <v>45105</v>
      </c>
      <c r="J752" s="2">
        <v>45151</v>
      </c>
    </row>
    <row r="753" spans="1:11" x14ac:dyDescent="0.25">
      <c r="A753" t="s">
        <v>65</v>
      </c>
      <c r="B753" t="s">
        <v>12</v>
      </c>
      <c r="C753">
        <v>28</v>
      </c>
      <c r="D753">
        <v>75</v>
      </c>
      <c r="E753" t="s">
        <v>19</v>
      </c>
      <c r="F753" t="s">
        <v>173</v>
      </c>
      <c r="G753">
        <v>133.82</v>
      </c>
      <c r="H753" t="s">
        <v>20</v>
      </c>
      <c r="I753" s="2">
        <v>45154</v>
      </c>
      <c r="J753" s="2">
        <v>45181</v>
      </c>
    </row>
    <row r="754" spans="1:11" x14ac:dyDescent="0.25">
      <c r="A754" t="s">
        <v>59</v>
      </c>
      <c r="B754" t="s">
        <v>28</v>
      </c>
      <c r="C754">
        <v>160</v>
      </c>
      <c r="D754">
        <v>94</v>
      </c>
      <c r="E754" t="s">
        <v>13</v>
      </c>
      <c r="F754" t="s">
        <v>173</v>
      </c>
      <c r="G754">
        <v>286.05</v>
      </c>
      <c r="H754" t="s">
        <v>14</v>
      </c>
      <c r="I754" s="2">
        <v>45057</v>
      </c>
      <c r="J754" s="2">
        <v>45144</v>
      </c>
      <c r="K754" t="s">
        <v>21</v>
      </c>
    </row>
    <row r="755" spans="1:11" x14ac:dyDescent="0.25">
      <c r="A755" t="s">
        <v>38</v>
      </c>
      <c r="B755" t="s">
        <v>12</v>
      </c>
      <c r="C755">
        <v>52</v>
      </c>
      <c r="D755">
        <v>54</v>
      </c>
      <c r="E755" t="s">
        <v>19</v>
      </c>
      <c r="F755" t="s">
        <v>170</v>
      </c>
      <c r="G755">
        <v>182.03</v>
      </c>
      <c r="H755" t="s">
        <v>26</v>
      </c>
      <c r="I755" s="2">
        <v>45266</v>
      </c>
      <c r="J755" s="2">
        <v>45354</v>
      </c>
    </row>
    <row r="756" spans="1:11" x14ac:dyDescent="0.25">
      <c r="A756" t="s">
        <v>46</v>
      </c>
      <c r="B756" t="s">
        <v>12</v>
      </c>
      <c r="C756">
        <v>172</v>
      </c>
      <c r="D756">
        <v>24</v>
      </c>
      <c r="E756" t="s">
        <v>13</v>
      </c>
      <c r="F756" t="s">
        <v>173</v>
      </c>
      <c r="G756">
        <v>442.75</v>
      </c>
      <c r="H756" t="s">
        <v>14</v>
      </c>
      <c r="I756" s="2">
        <v>45078</v>
      </c>
      <c r="J756" s="2">
        <v>45151</v>
      </c>
    </row>
    <row r="757" spans="1:11" x14ac:dyDescent="0.25">
      <c r="A757" t="s">
        <v>52</v>
      </c>
      <c r="B757" t="s">
        <v>16</v>
      </c>
      <c r="C757">
        <v>180</v>
      </c>
      <c r="D757">
        <v>49</v>
      </c>
      <c r="E757" t="s">
        <v>13</v>
      </c>
      <c r="F757" t="s">
        <v>173</v>
      </c>
      <c r="G757">
        <v>429.83</v>
      </c>
      <c r="H757" t="s">
        <v>14</v>
      </c>
      <c r="I757" s="2">
        <v>44978</v>
      </c>
      <c r="J757" s="2">
        <v>45009</v>
      </c>
      <c r="K757" t="s">
        <v>17</v>
      </c>
    </row>
    <row r="758" spans="1:11" x14ac:dyDescent="0.25">
      <c r="A758" t="s">
        <v>51</v>
      </c>
      <c r="B758" t="s">
        <v>16</v>
      </c>
      <c r="C758">
        <v>145</v>
      </c>
      <c r="D758">
        <v>92</v>
      </c>
      <c r="E758" t="s">
        <v>13</v>
      </c>
      <c r="F758" t="s">
        <v>173</v>
      </c>
      <c r="G758">
        <v>357.23</v>
      </c>
      <c r="H758" t="s">
        <v>14</v>
      </c>
      <c r="I758" s="2">
        <v>45156</v>
      </c>
      <c r="J758" s="2">
        <v>45222</v>
      </c>
      <c r="K758" t="s">
        <v>17</v>
      </c>
    </row>
    <row r="759" spans="1:11" x14ac:dyDescent="0.25">
      <c r="A759" t="s">
        <v>18</v>
      </c>
      <c r="B759" t="s">
        <v>28</v>
      </c>
      <c r="C759">
        <v>156</v>
      </c>
      <c r="D759">
        <v>28</v>
      </c>
      <c r="E759" t="s">
        <v>13</v>
      </c>
      <c r="F759" t="s">
        <v>171</v>
      </c>
      <c r="G759">
        <v>114.94</v>
      </c>
      <c r="H759" t="s">
        <v>14</v>
      </c>
      <c r="I759" s="2">
        <v>45290</v>
      </c>
      <c r="J759" s="2">
        <v>45308</v>
      </c>
    </row>
    <row r="760" spans="1:11" x14ac:dyDescent="0.25">
      <c r="A760" t="s">
        <v>22</v>
      </c>
      <c r="B760" t="s">
        <v>28</v>
      </c>
      <c r="C760">
        <v>60</v>
      </c>
      <c r="D760">
        <v>80</v>
      </c>
      <c r="E760" t="s">
        <v>19</v>
      </c>
      <c r="F760" t="s">
        <v>171</v>
      </c>
      <c r="G760">
        <v>316.06</v>
      </c>
      <c r="H760" t="s">
        <v>20</v>
      </c>
      <c r="I760" s="2">
        <v>45004</v>
      </c>
      <c r="J760" s="2">
        <v>45019</v>
      </c>
      <c r="K760" t="s">
        <v>17</v>
      </c>
    </row>
    <row r="761" spans="1:11" x14ac:dyDescent="0.25">
      <c r="A761" t="s">
        <v>51</v>
      </c>
      <c r="B761" t="s">
        <v>12</v>
      </c>
      <c r="C761">
        <v>153</v>
      </c>
      <c r="D761">
        <v>99</v>
      </c>
      <c r="E761" t="s">
        <v>13</v>
      </c>
      <c r="F761" t="s">
        <v>171</v>
      </c>
      <c r="G761">
        <v>338.08</v>
      </c>
      <c r="H761" t="s">
        <v>26</v>
      </c>
      <c r="I761" s="2">
        <v>45186</v>
      </c>
      <c r="J761" s="2">
        <v>45258</v>
      </c>
      <c r="K761" t="s">
        <v>172</v>
      </c>
    </row>
    <row r="762" spans="1:11" x14ac:dyDescent="0.25">
      <c r="A762" t="s">
        <v>33</v>
      </c>
      <c r="B762" t="s">
        <v>30</v>
      </c>
      <c r="C762">
        <v>181</v>
      </c>
      <c r="D762">
        <v>92</v>
      </c>
      <c r="E762" t="s">
        <v>13</v>
      </c>
      <c r="F762" t="s">
        <v>170</v>
      </c>
      <c r="G762">
        <v>127.4</v>
      </c>
      <c r="H762" t="s">
        <v>20</v>
      </c>
      <c r="I762" s="2">
        <v>44994</v>
      </c>
      <c r="J762" s="2">
        <v>45080</v>
      </c>
      <c r="K762" t="s">
        <v>172</v>
      </c>
    </row>
    <row r="763" spans="1:11" x14ac:dyDescent="0.25">
      <c r="A763" t="s">
        <v>32</v>
      </c>
      <c r="B763" t="s">
        <v>28</v>
      </c>
      <c r="C763">
        <v>101</v>
      </c>
      <c r="D763">
        <v>72</v>
      </c>
      <c r="E763" t="s">
        <v>13</v>
      </c>
      <c r="F763" t="s">
        <v>171</v>
      </c>
      <c r="G763">
        <v>47.79</v>
      </c>
      <c r="H763" t="s">
        <v>26</v>
      </c>
      <c r="I763" s="2">
        <v>45121</v>
      </c>
      <c r="J763" s="2">
        <v>45210</v>
      </c>
    </row>
    <row r="764" spans="1:11" x14ac:dyDescent="0.25">
      <c r="A764" t="s">
        <v>18</v>
      </c>
      <c r="B764" t="s">
        <v>28</v>
      </c>
      <c r="C764">
        <v>65</v>
      </c>
      <c r="D764">
        <v>68</v>
      </c>
      <c r="E764" t="s">
        <v>19</v>
      </c>
      <c r="F764" t="s">
        <v>171</v>
      </c>
      <c r="G764">
        <v>283.48</v>
      </c>
      <c r="H764" t="s">
        <v>20</v>
      </c>
      <c r="I764" s="2">
        <v>44970</v>
      </c>
      <c r="J764" s="2">
        <v>45050</v>
      </c>
      <c r="K764" t="s">
        <v>21</v>
      </c>
    </row>
    <row r="765" spans="1:11" x14ac:dyDescent="0.25">
      <c r="A765" t="s">
        <v>55</v>
      </c>
      <c r="B765" t="s">
        <v>16</v>
      </c>
      <c r="C765">
        <v>130</v>
      </c>
      <c r="D765">
        <v>82</v>
      </c>
      <c r="E765" t="s">
        <v>13</v>
      </c>
      <c r="F765" t="s">
        <v>171</v>
      </c>
      <c r="G765">
        <v>95.63</v>
      </c>
      <c r="H765" t="s">
        <v>14</v>
      </c>
      <c r="I765" s="2">
        <v>45151</v>
      </c>
      <c r="J765" s="2">
        <v>45190</v>
      </c>
      <c r="K765" t="s">
        <v>17</v>
      </c>
    </row>
    <row r="766" spans="1:11" x14ac:dyDescent="0.25">
      <c r="A766" t="s">
        <v>35</v>
      </c>
      <c r="B766" t="s">
        <v>16</v>
      </c>
      <c r="C766">
        <v>96</v>
      </c>
      <c r="D766">
        <v>30</v>
      </c>
      <c r="E766" t="s">
        <v>13</v>
      </c>
      <c r="F766" t="s">
        <v>170</v>
      </c>
      <c r="G766">
        <v>370.01</v>
      </c>
      <c r="H766" t="s">
        <v>26</v>
      </c>
      <c r="I766" s="2">
        <v>45006</v>
      </c>
      <c r="J766" s="2">
        <v>45035</v>
      </c>
      <c r="K766" t="s">
        <v>17</v>
      </c>
    </row>
    <row r="767" spans="1:11" x14ac:dyDescent="0.25">
      <c r="A767" t="s">
        <v>55</v>
      </c>
      <c r="B767" t="s">
        <v>28</v>
      </c>
      <c r="C767">
        <v>101</v>
      </c>
      <c r="D767">
        <v>64</v>
      </c>
      <c r="E767" t="s">
        <v>13</v>
      </c>
      <c r="F767" t="s">
        <v>170</v>
      </c>
      <c r="G767">
        <v>400.76</v>
      </c>
      <c r="H767" t="s">
        <v>26</v>
      </c>
      <c r="I767" s="2">
        <v>45070</v>
      </c>
      <c r="J767" s="2">
        <v>45111</v>
      </c>
      <c r="K767" t="s">
        <v>21</v>
      </c>
    </row>
    <row r="768" spans="1:11" x14ac:dyDescent="0.25">
      <c r="A768" t="s">
        <v>29</v>
      </c>
      <c r="B768" t="s">
        <v>23</v>
      </c>
      <c r="C768">
        <v>12</v>
      </c>
      <c r="D768">
        <v>37</v>
      </c>
      <c r="E768" t="s">
        <v>19</v>
      </c>
      <c r="F768" t="s">
        <v>170</v>
      </c>
      <c r="G768">
        <v>488.99</v>
      </c>
      <c r="H768" t="s">
        <v>20</v>
      </c>
      <c r="I768" s="2">
        <v>45224</v>
      </c>
      <c r="J768" s="2">
        <v>45312</v>
      </c>
      <c r="K768" t="s">
        <v>172</v>
      </c>
    </row>
    <row r="769" spans="1:11" x14ac:dyDescent="0.25">
      <c r="A769" t="s">
        <v>71</v>
      </c>
      <c r="B769" t="s">
        <v>30</v>
      </c>
      <c r="C769">
        <v>6</v>
      </c>
      <c r="D769">
        <v>58</v>
      </c>
      <c r="E769" t="s">
        <v>19</v>
      </c>
      <c r="F769" t="s">
        <v>171</v>
      </c>
      <c r="G769">
        <v>7.97</v>
      </c>
      <c r="H769" t="s">
        <v>14</v>
      </c>
      <c r="I769" s="2">
        <v>44931</v>
      </c>
      <c r="J769" s="2">
        <v>44946</v>
      </c>
      <c r="K769" t="s">
        <v>172</v>
      </c>
    </row>
    <row r="770" spans="1:11" x14ac:dyDescent="0.25">
      <c r="A770" t="s">
        <v>46</v>
      </c>
      <c r="B770" t="s">
        <v>23</v>
      </c>
      <c r="C770">
        <v>55</v>
      </c>
      <c r="D770">
        <v>92</v>
      </c>
      <c r="E770" t="s">
        <v>19</v>
      </c>
      <c r="F770" t="s">
        <v>173</v>
      </c>
      <c r="G770">
        <v>432.04</v>
      </c>
      <c r="H770" t="s">
        <v>14</v>
      </c>
      <c r="I770" s="2">
        <v>45130</v>
      </c>
      <c r="J770" s="2">
        <v>45182</v>
      </c>
      <c r="K770" t="s">
        <v>172</v>
      </c>
    </row>
    <row r="771" spans="1:11" x14ac:dyDescent="0.25">
      <c r="A771" t="s">
        <v>53</v>
      </c>
      <c r="B771" t="s">
        <v>16</v>
      </c>
      <c r="C771">
        <v>61</v>
      </c>
      <c r="D771">
        <v>49</v>
      </c>
      <c r="E771" t="s">
        <v>13</v>
      </c>
      <c r="F771" t="s">
        <v>171</v>
      </c>
      <c r="G771">
        <v>52.54</v>
      </c>
      <c r="H771" t="s">
        <v>14</v>
      </c>
      <c r="I771" s="2">
        <v>44961</v>
      </c>
      <c r="J771" s="2">
        <v>45049</v>
      </c>
    </row>
    <row r="772" spans="1:11" x14ac:dyDescent="0.25">
      <c r="A772" t="s">
        <v>47</v>
      </c>
      <c r="B772" t="s">
        <v>28</v>
      </c>
      <c r="C772">
        <v>122</v>
      </c>
      <c r="D772">
        <v>45</v>
      </c>
      <c r="E772" t="s">
        <v>13</v>
      </c>
      <c r="F772" t="s">
        <v>171</v>
      </c>
      <c r="G772">
        <v>36.15</v>
      </c>
      <c r="H772" t="s">
        <v>14</v>
      </c>
      <c r="I772" s="2">
        <v>45153</v>
      </c>
      <c r="J772" s="2">
        <v>45207</v>
      </c>
      <c r="K772" t="s">
        <v>17</v>
      </c>
    </row>
    <row r="773" spans="1:11" x14ac:dyDescent="0.25">
      <c r="A773" t="s">
        <v>69</v>
      </c>
      <c r="B773" t="s">
        <v>28</v>
      </c>
      <c r="C773">
        <v>187</v>
      </c>
      <c r="D773">
        <v>27</v>
      </c>
      <c r="E773" t="s">
        <v>13</v>
      </c>
      <c r="F773" t="s">
        <v>170</v>
      </c>
      <c r="G773">
        <v>394.25</v>
      </c>
      <c r="H773" t="s">
        <v>14</v>
      </c>
      <c r="I773" s="2">
        <v>45218</v>
      </c>
      <c r="J773" s="2">
        <v>45294</v>
      </c>
      <c r="K773" t="s">
        <v>172</v>
      </c>
    </row>
    <row r="774" spans="1:11" x14ac:dyDescent="0.25">
      <c r="A774" t="s">
        <v>50</v>
      </c>
      <c r="B774" t="s">
        <v>30</v>
      </c>
      <c r="C774">
        <v>128</v>
      </c>
      <c r="D774">
        <v>42</v>
      </c>
      <c r="E774" t="s">
        <v>13</v>
      </c>
      <c r="F774" t="s">
        <v>170</v>
      </c>
      <c r="G774">
        <v>429.36</v>
      </c>
      <c r="H774" t="s">
        <v>14</v>
      </c>
      <c r="I774" s="2">
        <v>45171</v>
      </c>
      <c r="J774" s="2">
        <v>45258</v>
      </c>
      <c r="K774" t="s">
        <v>21</v>
      </c>
    </row>
    <row r="775" spans="1:11" x14ac:dyDescent="0.25">
      <c r="A775" t="s">
        <v>53</v>
      </c>
      <c r="B775" t="s">
        <v>16</v>
      </c>
      <c r="C775">
        <v>48</v>
      </c>
      <c r="D775">
        <v>80</v>
      </c>
      <c r="E775" t="s">
        <v>19</v>
      </c>
      <c r="F775" t="s">
        <v>171</v>
      </c>
      <c r="G775">
        <v>302.49</v>
      </c>
      <c r="H775" t="s">
        <v>26</v>
      </c>
      <c r="I775" s="2">
        <v>45220</v>
      </c>
      <c r="J775" s="2">
        <v>45305</v>
      </c>
    </row>
    <row r="776" spans="1:11" x14ac:dyDescent="0.25">
      <c r="A776" t="s">
        <v>60</v>
      </c>
      <c r="B776" t="s">
        <v>28</v>
      </c>
      <c r="C776">
        <v>138</v>
      </c>
      <c r="D776">
        <v>66</v>
      </c>
      <c r="E776" t="s">
        <v>13</v>
      </c>
      <c r="F776" t="s">
        <v>170</v>
      </c>
      <c r="G776">
        <v>408.65</v>
      </c>
      <c r="H776" t="s">
        <v>26</v>
      </c>
      <c r="I776" s="2">
        <v>45192</v>
      </c>
      <c r="J776" s="2">
        <v>45232</v>
      </c>
    </row>
    <row r="777" spans="1:11" x14ac:dyDescent="0.25">
      <c r="A777" t="s">
        <v>15</v>
      </c>
      <c r="B777" t="s">
        <v>28</v>
      </c>
      <c r="C777">
        <v>159</v>
      </c>
      <c r="D777">
        <v>78</v>
      </c>
      <c r="E777" t="s">
        <v>13</v>
      </c>
      <c r="F777" t="s">
        <v>170</v>
      </c>
      <c r="G777">
        <v>421.5</v>
      </c>
      <c r="H777" t="s">
        <v>20</v>
      </c>
      <c r="I777" s="2">
        <v>45265</v>
      </c>
      <c r="J777" s="2">
        <v>45301</v>
      </c>
      <c r="K777" t="s">
        <v>21</v>
      </c>
    </row>
    <row r="778" spans="1:11" x14ac:dyDescent="0.25">
      <c r="A778" t="s">
        <v>44</v>
      </c>
      <c r="B778" t="s">
        <v>12</v>
      </c>
      <c r="C778">
        <v>135</v>
      </c>
      <c r="D778">
        <v>87</v>
      </c>
      <c r="E778" t="s">
        <v>13</v>
      </c>
      <c r="F778" t="s">
        <v>170</v>
      </c>
      <c r="G778">
        <v>231.8</v>
      </c>
      <c r="H778" t="s">
        <v>20</v>
      </c>
      <c r="I778" s="2">
        <v>44996</v>
      </c>
      <c r="J778" s="2">
        <v>45075</v>
      </c>
      <c r="K778" t="s">
        <v>172</v>
      </c>
    </row>
    <row r="779" spans="1:11" x14ac:dyDescent="0.25">
      <c r="A779" t="s">
        <v>68</v>
      </c>
      <c r="B779" t="s">
        <v>28</v>
      </c>
      <c r="C779">
        <v>185</v>
      </c>
      <c r="D779">
        <v>44</v>
      </c>
      <c r="E779" t="s">
        <v>13</v>
      </c>
      <c r="F779" t="s">
        <v>171</v>
      </c>
      <c r="G779">
        <v>341.92</v>
      </c>
      <c r="H779" t="s">
        <v>20</v>
      </c>
      <c r="I779" s="2">
        <v>45174</v>
      </c>
      <c r="J779" s="2">
        <v>45239</v>
      </c>
      <c r="K779" t="s">
        <v>17</v>
      </c>
    </row>
    <row r="780" spans="1:11" x14ac:dyDescent="0.25">
      <c r="A780" t="s">
        <v>68</v>
      </c>
      <c r="B780" t="s">
        <v>16</v>
      </c>
      <c r="C780">
        <v>26</v>
      </c>
      <c r="D780">
        <v>67</v>
      </c>
      <c r="E780" t="s">
        <v>19</v>
      </c>
      <c r="F780" t="s">
        <v>171</v>
      </c>
      <c r="G780">
        <v>475.03</v>
      </c>
      <c r="H780" t="s">
        <v>20</v>
      </c>
      <c r="I780" s="2">
        <v>44962</v>
      </c>
      <c r="J780" s="2">
        <v>45049</v>
      </c>
      <c r="K780" t="s">
        <v>17</v>
      </c>
    </row>
    <row r="781" spans="1:11" x14ac:dyDescent="0.25">
      <c r="A781" t="s">
        <v>45</v>
      </c>
      <c r="B781" t="s">
        <v>30</v>
      </c>
      <c r="C781">
        <v>14</v>
      </c>
      <c r="D781">
        <v>58</v>
      </c>
      <c r="E781" t="s">
        <v>19</v>
      </c>
      <c r="F781" t="s">
        <v>170</v>
      </c>
      <c r="G781">
        <v>352.23</v>
      </c>
      <c r="H781" t="s">
        <v>14</v>
      </c>
      <c r="I781" s="2">
        <v>45176</v>
      </c>
      <c r="J781" s="2">
        <v>45198</v>
      </c>
      <c r="K781" t="s">
        <v>172</v>
      </c>
    </row>
    <row r="782" spans="1:11" x14ac:dyDescent="0.25">
      <c r="A782" t="s">
        <v>37</v>
      </c>
      <c r="B782" t="s">
        <v>30</v>
      </c>
      <c r="C782">
        <v>198</v>
      </c>
      <c r="D782">
        <v>51</v>
      </c>
      <c r="E782" t="s">
        <v>13</v>
      </c>
      <c r="F782" t="s">
        <v>171</v>
      </c>
      <c r="G782">
        <v>36.49</v>
      </c>
      <c r="H782" t="s">
        <v>26</v>
      </c>
      <c r="I782" s="2">
        <v>45263</v>
      </c>
      <c r="J782" s="2">
        <v>45297</v>
      </c>
    </row>
    <row r="783" spans="1:11" x14ac:dyDescent="0.25">
      <c r="A783" t="s">
        <v>60</v>
      </c>
      <c r="B783" t="s">
        <v>12</v>
      </c>
      <c r="C783">
        <v>44</v>
      </c>
      <c r="D783">
        <v>81</v>
      </c>
      <c r="E783" t="s">
        <v>19</v>
      </c>
      <c r="F783" t="s">
        <v>170</v>
      </c>
      <c r="G783">
        <v>149.02000000000001</v>
      </c>
      <c r="H783" t="s">
        <v>26</v>
      </c>
      <c r="I783" s="2">
        <v>45025</v>
      </c>
      <c r="J783" s="2">
        <v>45101</v>
      </c>
      <c r="K783" t="s">
        <v>17</v>
      </c>
    </row>
    <row r="784" spans="1:11" x14ac:dyDescent="0.25">
      <c r="A784" t="s">
        <v>39</v>
      </c>
      <c r="B784" t="s">
        <v>16</v>
      </c>
      <c r="C784">
        <v>68</v>
      </c>
      <c r="D784">
        <v>30</v>
      </c>
      <c r="E784" t="s">
        <v>13</v>
      </c>
      <c r="F784" t="s">
        <v>173</v>
      </c>
      <c r="G784">
        <v>229.87</v>
      </c>
      <c r="H784" t="s">
        <v>26</v>
      </c>
      <c r="I784" s="2">
        <v>45070</v>
      </c>
      <c r="J784" s="2">
        <v>45122</v>
      </c>
    </row>
    <row r="785" spans="1:11" x14ac:dyDescent="0.25">
      <c r="A785" t="s">
        <v>27</v>
      </c>
      <c r="B785" t="s">
        <v>16</v>
      </c>
      <c r="C785">
        <v>89</v>
      </c>
      <c r="D785">
        <v>84</v>
      </c>
      <c r="E785" t="s">
        <v>13</v>
      </c>
      <c r="F785" t="s">
        <v>170</v>
      </c>
      <c r="G785">
        <v>283.14</v>
      </c>
      <c r="H785" t="s">
        <v>26</v>
      </c>
      <c r="I785" s="2">
        <v>45060</v>
      </c>
      <c r="J785" s="2">
        <v>45110</v>
      </c>
      <c r="K785" t="s">
        <v>172</v>
      </c>
    </row>
    <row r="786" spans="1:11" x14ac:dyDescent="0.25">
      <c r="A786" t="s">
        <v>63</v>
      </c>
      <c r="B786" t="s">
        <v>16</v>
      </c>
      <c r="C786">
        <v>133</v>
      </c>
      <c r="D786">
        <v>73</v>
      </c>
      <c r="E786" t="s">
        <v>13</v>
      </c>
      <c r="F786" t="s">
        <v>170</v>
      </c>
      <c r="G786">
        <v>196.46</v>
      </c>
      <c r="H786" t="s">
        <v>26</v>
      </c>
      <c r="I786" s="2">
        <v>44929</v>
      </c>
      <c r="J786" s="2">
        <v>45008</v>
      </c>
    </row>
    <row r="787" spans="1:11" x14ac:dyDescent="0.25">
      <c r="A787" t="s">
        <v>41</v>
      </c>
      <c r="B787" t="s">
        <v>30</v>
      </c>
      <c r="C787">
        <v>71</v>
      </c>
      <c r="D787">
        <v>22</v>
      </c>
      <c r="E787" t="s">
        <v>13</v>
      </c>
      <c r="F787" t="s">
        <v>170</v>
      </c>
      <c r="G787">
        <v>399.69</v>
      </c>
      <c r="H787" t="s">
        <v>20</v>
      </c>
      <c r="I787" s="2">
        <v>44962</v>
      </c>
      <c r="J787" s="2">
        <v>45031</v>
      </c>
      <c r="K787" t="s">
        <v>172</v>
      </c>
    </row>
    <row r="788" spans="1:11" x14ac:dyDescent="0.25">
      <c r="A788" t="s">
        <v>41</v>
      </c>
      <c r="B788" t="s">
        <v>23</v>
      </c>
      <c r="C788">
        <v>105</v>
      </c>
      <c r="D788">
        <v>34</v>
      </c>
      <c r="E788" t="s">
        <v>13</v>
      </c>
      <c r="F788" t="s">
        <v>171</v>
      </c>
      <c r="G788">
        <v>327.74</v>
      </c>
      <c r="H788" t="s">
        <v>14</v>
      </c>
      <c r="I788" s="2">
        <v>45264</v>
      </c>
      <c r="J788" s="2">
        <v>45319</v>
      </c>
      <c r="K788" t="s">
        <v>17</v>
      </c>
    </row>
    <row r="789" spans="1:11" x14ac:dyDescent="0.25">
      <c r="A789" t="s">
        <v>25</v>
      </c>
      <c r="B789" t="s">
        <v>28</v>
      </c>
      <c r="C789">
        <v>120</v>
      </c>
      <c r="D789">
        <v>80</v>
      </c>
      <c r="E789" t="s">
        <v>13</v>
      </c>
      <c r="F789" t="s">
        <v>170</v>
      </c>
      <c r="G789">
        <v>120.48</v>
      </c>
      <c r="H789" t="s">
        <v>14</v>
      </c>
      <c r="I789" s="2">
        <v>45065</v>
      </c>
      <c r="J789" s="2">
        <v>45152</v>
      </c>
      <c r="K789" t="s">
        <v>21</v>
      </c>
    </row>
    <row r="790" spans="1:11" x14ac:dyDescent="0.25">
      <c r="A790" t="s">
        <v>49</v>
      </c>
      <c r="B790" t="s">
        <v>23</v>
      </c>
      <c r="C790">
        <v>104</v>
      </c>
      <c r="D790">
        <v>93</v>
      </c>
      <c r="E790" t="s">
        <v>13</v>
      </c>
      <c r="F790" t="s">
        <v>171</v>
      </c>
      <c r="G790">
        <v>412.32</v>
      </c>
      <c r="H790" t="s">
        <v>26</v>
      </c>
      <c r="I790" s="2">
        <v>45140</v>
      </c>
      <c r="J790" s="2">
        <v>45211</v>
      </c>
      <c r="K790" t="s">
        <v>172</v>
      </c>
    </row>
    <row r="791" spans="1:11" x14ac:dyDescent="0.25">
      <c r="A791" t="s">
        <v>48</v>
      </c>
      <c r="B791" t="s">
        <v>12</v>
      </c>
      <c r="C791">
        <v>35</v>
      </c>
      <c r="D791">
        <v>54</v>
      </c>
      <c r="E791" t="s">
        <v>19</v>
      </c>
      <c r="F791" t="s">
        <v>170</v>
      </c>
      <c r="G791">
        <v>346.89</v>
      </c>
      <c r="H791" t="s">
        <v>14</v>
      </c>
      <c r="I791" s="2">
        <v>45274</v>
      </c>
      <c r="J791" s="2">
        <v>45338</v>
      </c>
      <c r="K791" t="s">
        <v>21</v>
      </c>
    </row>
    <row r="792" spans="1:11" x14ac:dyDescent="0.25">
      <c r="A792" t="s">
        <v>37</v>
      </c>
      <c r="B792" t="s">
        <v>23</v>
      </c>
      <c r="C792">
        <v>57</v>
      </c>
      <c r="D792">
        <v>40</v>
      </c>
      <c r="E792" t="s">
        <v>13</v>
      </c>
      <c r="F792" t="s">
        <v>170</v>
      </c>
      <c r="G792">
        <v>51.61</v>
      </c>
      <c r="H792" t="s">
        <v>20</v>
      </c>
      <c r="I792" s="2">
        <v>44960</v>
      </c>
      <c r="J792" s="2">
        <v>45006</v>
      </c>
      <c r="K792" t="s">
        <v>21</v>
      </c>
    </row>
    <row r="793" spans="1:11" x14ac:dyDescent="0.25">
      <c r="A793" t="s">
        <v>33</v>
      </c>
      <c r="B793" t="s">
        <v>12</v>
      </c>
      <c r="C793">
        <v>118</v>
      </c>
      <c r="D793">
        <v>62</v>
      </c>
      <c r="E793" t="s">
        <v>13</v>
      </c>
      <c r="F793" t="s">
        <v>170</v>
      </c>
      <c r="G793">
        <v>397.62</v>
      </c>
      <c r="H793" t="s">
        <v>26</v>
      </c>
      <c r="I793" s="2">
        <v>45189</v>
      </c>
      <c r="J793" s="2">
        <v>45263</v>
      </c>
      <c r="K793" t="s">
        <v>21</v>
      </c>
    </row>
    <row r="794" spans="1:11" x14ac:dyDescent="0.25">
      <c r="A794" t="s">
        <v>11</v>
      </c>
      <c r="B794" t="s">
        <v>16</v>
      </c>
      <c r="C794">
        <v>56</v>
      </c>
      <c r="D794">
        <v>28</v>
      </c>
      <c r="E794" t="s">
        <v>13</v>
      </c>
      <c r="F794" t="s">
        <v>173</v>
      </c>
      <c r="G794">
        <v>67.069999999999993</v>
      </c>
      <c r="H794" t="s">
        <v>26</v>
      </c>
      <c r="I794" s="2">
        <v>45104</v>
      </c>
      <c r="J794" s="2">
        <v>45161</v>
      </c>
      <c r="K794" t="s">
        <v>17</v>
      </c>
    </row>
    <row r="795" spans="1:11" x14ac:dyDescent="0.25">
      <c r="A795" t="s">
        <v>44</v>
      </c>
      <c r="B795" t="s">
        <v>23</v>
      </c>
      <c r="C795">
        <v>37</v>
      </c>
      <c r="D795">
        <v>71</v>
      </c>
      <c r="E795" t="s">
        <v>19</v>
      </c>
      <c r="F795" t="s">
        <v>171</v>
      </c>
      <c r="G795">
        <v>221.14</v>
      </c>
      <c r="H795" t="s">
        <v>26</v>
      </c>
      <c r="I795" s="2">
        <v>45230</v>
      </c>
      <c r="J795" s="2">
        <v>45271</v>
      </c>
      <c r="K795" t="s">
        <v>17</v>
      </c>
    </row>
    <row r="796" spans="1:11" x14ac:dyDescent="0.25">
      <c r="A796" t="s">
        <v>15</v>
      </c>
      <c r="B796" t="s">
        <v>16</v>
      </c>
      <c r="C796">
        <v>161</v>
      </c>
      <c r="D796">
        <v>76</v>
      </c>
      <c r="E796" t="s">
        <v>13</v>
      </c>
      <c r="F796" t="s">
        <v>173</v>
      </c>
      <c r="G796">
        <v>496.99</v>
      </c>
      <c r="H796" t="s">
        <v>26</v>
      </c>
      <c r="I796" s="2">
        <v>44933</v>
      </c>
      <c r="J796" s="2">
        <v>44992</v>
      </c>
      <c r="K796" t="s">
        <v>172</v>
      </c>
    </row>
    <row r="797" spans="1:11" x14ac:dyDescent="0.25">
      <c r="A797" t="s">
        <v>51</v>
      </c>
      <c r="B797" t="s">
        <v>12</v>
      </c>
      <c r="C797">
        <v>83</v>
      </c>
      <c r="D797">
        <v>59</v>
      </c>
      <c r="E797" t="s">
        <v>13</v>
      </c>
      <c r="F797" t="s">
        <v>170</v>
      </c>
      <c r="G797">
        <v>282.05</v>
      </c>
      <c r="H797" t="s">
        <v>20</v>
      </c>
      <c r="I797" s="2">
        <v>45168</v>
      </c>
      <c r="J797" s="2">
        <v>45238</v>
      </c>
      <c r="K797" t="s">
        <v>172</v>
      </c>
    </row>
    <row r="798" spans="1:11" x14ac:dyDescent="0.25">
      <c r="A798" t="s">
        <v>54</v>
      </c>
      <c r="B798" t="s">
        <v>23</v>
      </c>
      <c r="C798">
        <v>161</v>
      </c>
      <c r="D798">
        <v>39</v>
      </c>
      <c r="E798" t="s">
        <v>13</v>
      </c>
      <c r="F798" t="s">
        <v>171</v>
      </c>
      <c r="G798">
        <v>416.5</v>
      </c>
      <c r="H798" t="s">
        <v>26</v>
      </c>
      <c r="I798" s="2">
        <v>45041</v>
      </c>
      <c r="J798" s="2">
        <v>45059</v>
      </c>
      <c r="K798" t="s">
        <v>21</v>
      </c>
    </row>
    <row r="799" spans="1:11" x14ac:dyDescent="0.25">
      <c r="A799" t="s">
        <v>58</v>
      </c>
      <c r="B799" t="s">
        <v>12</v>
      </c>
      <c r="C799">
        <v>115</v>
      </c>
      <c r="D799">
        <v>93</v>
      </c>
      <c r="E799" t="s">
        <v>13</v>
      </c>
      <c r="F799" t="s">
        <v>171</v>
      </c>
      <c r="G799">
        <v>93.64</v>
      </c>
      <c r="H799" t="s">
        <v>14</v>
      </c>
      <c r="I799" s="2">
        <v>45181</v>
      </c>
      <c r="J799" s="2">
        <v>45225</v>
      </c>
      <c r="K799" t="s">
        <v>172</v>
      </c>
    </row>
    <row r="800" spans="1:11" x14ac:dyDescent="0.25">
      <c r="A800" t="s">
        <v>42</v>
      </c>
      <c r="B800" t="s">
        <v>12</v>
      </c>
      <c r="C800">
        <v>138</v>
      </c>
      <c r="D800">
        <v>81</v>
      </c>
      <c r="E800" t="s">
        <v>13</v>
      </c>
      <c r="F800" t="s">
        <v>173</v>
      </c>
      <c r="G800">
        <v>31.86</v>
      </c>
      <c r="H800" t="s">
        <v>20</v>
      </c>
      <c r="I800" s="2">
        <v>45087</v>
      </c>
      <c r="J800" s="2">
        <v>45122</v>
      </c>
    </row>
    <row r="801" spans="1:11" x14ac:dyDescent="0.25">
      <c r="A801" t="s">
        <v>25</v>
      </c>
      <c r="B801" t="s">
        <v>28</v>
      </c>
      <c r="C801">
        <v>129</v>
      </c>
      <c r="D801">
        <v>47</v>
      </c>
      <c r="E801" t="s">
        <v>13</v>
      </c>
      <c r="F801" t="s">
        <v>171</v>
      </c>
      <c r="G801">
        <v>245.87</v>
      </c>
      <c r="H801" t="s">
        <v>26</v>
      </c>
      <c r="I801" s="2">
        <v>45160</v>
      </c>
      <c r="J801" s="2">
        <v>45204</v>
      </c>
    </row>
    <row r="802" spans="1:11" x14ac:dyDescent="0.25">
      <c r="A802" t="s">
        <v>63</v>
      </c>
      <c r="B802" t="s">
        <v>28</v>
      </c>
      <c r="C802">
        <v>0</v>
      </c>
      <c r="D802">
        <v>20</v>
      </c>
      <c r="E802" t="s">
        <v>19</v>
      </c>
      <c r="F802" t="s">
        <v>171</v>
      </c>
      <c r="G802">
        <v>432.75</v>
      </c>
      <c r="H802" t="s">
        <v>26</v>
      </c>
      <c r="I802" s="2">
        <v>45227</v>
      </c>
      <c r="J802" s="2">
        <v>45242</v>
      </c>
      <c r="K802" t="s">
        <v>21</v>
      </c>
    </row>
    <row r="803" spans="1:11" x14ac:dyDescent="0.25">
      <c r="A803" t="s">
        <v>43</v>
      </c>
      <c r="B803" t="s">
        <v>16</v>
      </c>
      <c r="C803">
        <v>180</v>
      </c>
      <c r="D803">
        <v>83</v>
      </c>
      <c r="E803" t="s">
        <v>13</v>
      </c>
      <c r="F803" t="s">
        <v>171</v>
      </c>
      <c r="G803">
        <v>429.6</v>
      </c>
      <c r="H803" t="s">
        <v>26</v>
      </c>
      <c r="I803" s="2">
        <v>45259</v>
      </c>
      <c r="J803" s="2">
        <v>45296</v>
      </c>
    </row>
    <row r="804" spans="1:11" x14ac:dyDescent="0.25">
      <c r="A804" t="s">
        <v>15</v>
      </c>
      <c r="B804" t="s">
        <v>28</v>
      </c>
      <c r="C804">
        <v>42</v>
      </c>
      <c r="D804">
        <v>59</v>
      </c>
      <c r="E804" t="s">
        <v>19</v>
      </c>
      <c r="F804" t="s">
        <v>170</v>
      </c>
      <c r="G804">
        <v>196.19</v>
      </c>
      <c r="H804" t="s">
        <v>20</v>
      </c>
      <c r="I804" s="2">
        <v>44961</v>
      </c>
      <c r="J804" s="2">
        <v>45023</v>
      </c>
      <c r="K804" t="s">
        <v>17</v>
      </c>
    </row>
    <row r="805" spans="1:11" x14ac:dyDescent="0.25">
      <c r="A805" t="s">
        <v>31</v>
      </c>
      <c r="B805" t="s">
        <v>12</v>
      </c>
      <c r="C805">
        <v>64</v>
      </c>
      <c r="D805">
        <v>33</v>
      </c>
      <c r="E805" t="s">
        <v>13</v>
      </c>
      <c r="F805" t="s">
        <v>171</v>
      </c>
      <c r="G805">
        <v>336.96</v>
      </c>
      <c r="H805" t="s">
        <v>26</v>
      </c>
      <c r="I805" s="2">
        <v>45207</v>
      </c>
      <c r="J805" s="2">
        <v>45268</v>
      </c>
      <c r="K805" t="s">
        <v>21</v>
      </c>
    </row>
    <row r="806" spans="1:11" x14ac:dyDescent="0.25">
      <c r="A806" t="s">
        <v>70</v>
      </c>
      <c r="B806" t="s">
        <v>16</v>
      </c>
      <c r="C806">
        <v>136</v>
      </c>
      <c r="D806">
        <v>75</v>
      </c>
      <c r="E806" t="s">
        <v>13</v>
      </c>
      <c r="F806" t="s">
        <v>171</v>
      </c>
      <c r="G806">
        <v>297.39</v>
      </c>
      <c r="H806" t="s">
        <v>26</v>
      </c>
      <c r="I806" s="2">
        <v>45039</v>
      </c>
      <c r="J806" s="2">
        <v>45097</v>
      </c>
      <c r="K806" t="s">
        <v>21</v>
      </c>
    </row>
    <row r="807" spans="1:11" x14ac:dyDescent="0.25">
      <c r="A807" t="s">
        <v>62</v>
      </c>
      <c r="B807" t="s">
        <v>28</v>
      </c>
      <c r="C807">
        <v>153</v>
      </c>
      <c r="D807">
        <v>35</v>
      </c>
      <c r="E807" t="s">
        <v>13</v>
      </c>
      <c r="F807" t="s">
        <v>173</v>
      </c>
      <c r="G807">
        <v>31.57</v>
      </c>
      <c r="H807" t="s">
        <v>26</v>
      </c>
      <c r="I807" s="2">
        <v>45073</v>
      </c>
      <c r="J807" s="2">
        <v>45156</v>
      </c>
      <c r="K807" t="s">
        <v>17</v>
      </c>
    </row>
    <row r="808" spans="1:11" x14ac:dyDescent="0.25">
      <c r="A808" t="s">
        <v>46</v>
      </c>
      <c r="B808" t="s">
        <v>30</v>
      </c>
      <c r="C808">
        <v>182</v>
      </c>
      <c r="D808">
        <v>83</v>
      </c>
      <c r="E808" t="s">
        <v>13</v>
      </c>
      <c r="F808" t="s">
        <v>170</v>
      </c>
      <c r="G808">
        <v>383.15</v>
      </c>
      <c r="H808" t="s">
        <v>14</v>
      </c>
      <c r="I808" s="2">
        <v>44984</v>
      </c>
      <c r="J808" s="2">
        <v>45033</v>
      </c>
      <c r="K808" t="s">
        <v>17</v>
      </c>
    </row>
    <row r="809" spans="1:11" x14ac:dyDescent="0.25">
      <c r="A809" t="s">
        <v>56</v>
      </c>
      <c r="B809" t="s">
        <v>28</v>
      </c>
      <c r="C809">
        <v>8</v>
      </c>
      <c r="D809">
        <v>35</v>
      </c>
      <c r="E809" t="s">
        <v>19</v>
      </c>
      <c r="F809" t="s">
        <v>171</v>
      </c>
      <c r="G809">
        <v>276.33</v>
      </c>
      <c r="H809" t="s">
        <v>20</v>
      </c>
      <c r="I809" s="2">
        <v>45047</v>
      </c>
      <c r="J809" s="2">
        <v>45081</v>
      </c>
      <c r="K809" t="s">
        <v>172</v>
      </c>
    </row>
    <row r="810" spans="1:11" x14ac:dyDescent="0.25">
      <c r="A810" t="s">
        <v>39</v>
      </c>
      <c r="B810" t="s">
        <v>12</v>
      </c>
      <c r="C810">
        <v>116</v>
      </c>
      <c r="D810">
        <v>60</v>
      </c>
      <c r="E810" t="s">
        <v>13</v>
      </c>
      <c r="F810" t="s">
        <v>170</v>
      </c>
      <c r="G810">
        <v>325.86</v>
      </c>
      <c r="H810" t="s">
        <v>20</v>
      </c>
      <c r="I810" s="2">
        <v>44989</v>
      </c>
      <c r="J810" s="2">
        <v>45067</v>
      </c>
      <c r="K810" t="s">
        <v>21</v>
      </c>
    </row>
    <row r="811" spans="1:11" x14ac:dyDescent="0.25">
      <c r="A811" t="s">
        <v>38</v>
      </c>
      <c r="B811" t="s">
        <v>28</v>
      </c>
      <c r="C811">
        <v>97</v>
      </c>
      <c r="D811">
        <v>79</v>
      </c>
      <c r="E811" t="s">
        <v>13</v>
      </c>
      <c r="F811" t="s">
        <v>171</v>
      </c>
      <c r="G811">
        <v>134.78</v>
      </c>
      <c r="H811" t="s">
        <v>14</v>
      </c>
      <c r="I811" s="2">
        <v>45243</v>
      </c>
      <c r="J811" s="2">
        <v>45323</v>
      </c>
      <c r="K811" t="s">
        <v>17</v>
      </c>
    </row>
    <row r="812" spans="1:11" x14ac:dyDescent="0.25">
      <c r="A812" t="s">
        <v>25</v>
      </c>
      <c r="B812" t="s">
        <v>28</v>
      </c>
      <c r="C812">
        <v>60</v>
      </c>
      <c r="D812">
        <v>77</v>
      </c>
      <c r="E812" t="s">
        <v>19</v>
      </c>
      <c r="F812" t="s">
        <v>173</v>
      </c>
      <c r="G812">
        <v>490.97</v>
      </c>
      <c r="H812" t="s">
        <v>20</v>
      </c>
      <c r="I812" s="2">
        <v>44958</v>
      </c>
      <c r="J812" s="2">
        <v>44977</v>
      </c>
      <c r="K812" t="s">
        <v>21</v>
      </c>
    </row>
    <row r="813" spans="1:11" x14ac:dyDescent="0.25">
      <c r="A813" t="s">
        <v>53</v>
      </c>
      <c r="B813" t="s">
        <v>30</v>
      </c>
      <c r="C813">
        <v>47</v>
      </c>
      <c r="D813">
        <v>69</v>
      </c>
      <c r="E813" t="s">
        <v>19</v>
      </c>
      <c r="F813" t="s">
        <v>173</v>
      </c>
      <c r="G813">
        <v>7.88</v>
      </c>
      <c r="H813" t="s">
        <v>26</v>
      </c>
      <c r="I813" s="2">
        <v>45283</v>
      </c>
      <c r="J813" s="2">
        <v>45361</v>
      </c>
      <c r="K813" t="s">
        <v>17</v>
      </c>
    </row>
    <row r="814" spans="1:11" x14ac:dyDescent="0.25">
      <c r="A814" t="s">
        <v>62</v>
      </c>
      <c r="B814" t="s">
        <v>30</v>
      </c>
      <c r="C814">
        <v>88</v>
      </c>
      <c r="D814">
        <v>55</v>
      </c>
      <c r="E814" t="s">
        <v>13</v>
      </c>
      <c r="F814" t="s">
        <v>173</v>
      </c>
      <c r="G814">
        <v>270.64</v>
      </c>
      <c r="H814" t="s">
        <v>14</v>
      </c>
      <c r="I814" s="2">
        <v>45230</v>
      </c>
      <c r="J814" s="2">
        <v>45314</v>
      </c>
      <c r="K814" t="s">
        <v>17</v>
      </c>
    </row>
    <row r="815" spans="1:11" x14ac:dyDescent="0.25">
      <c r="A815" t="s">
        <v>34</v>
      </c>
      <c r="B815" t="s">
        <v>16</v>
      </c>
      <c r="C815">
        <v>42</v>
      </c>
      <c r="D815">
        <v>46</v>
      </c>
      <c r="E815" t="s">
        <v>19</v>
      </c>
      <c r="F815" t="s">
        <v>173</v>
      </c>
      <c r="G815">
        <v>225.92</v>
      </c>
      <c r="H815" t="s">
        <v>14</v>
      </c>
      <c r="I815" s="2">
        <v>45057</v>
      </c>
      <c r="J815" s="2">
        <v>45090</v>
      </c>
    </row>
    <row r="816" spans="1:11" x14ac:dyDescent="0.25">
      <c r="A816" t="s">
        <v>56</v>
      </c>
      <c r="B816" t="s">
        <v>28</v>
      </c>
      <c r="C816">
        <v>109</v>
      </c>
      <c r="D816">
        <v>93</v>
      </c>
      <c r="E816" t="s">
        <v>13</v>
      </c>
      <c r="F816" t="s">
        <v>171</v>
      </c>
      <c r="G816">
        <v>220.71</v>
      </c>
      <c r="H816" t="s">
        <v>26</v>
      </c>
      <c r="I816" s="2">
        <v>45006</v>
      </c>
      <c r="J816" s="2">
        <v>45045</v>
      </c>
    </row>
    <row r="817" spans="1:11" x14ac:dyDescent="0.25">
      <c r="A817" t="s">
        <v>46</v>
      </c>
      <c r="B817" t="s">
        <v>12</v>
      </c>
      <c r="C817">
        <v>22</v>
      </c>
      <c r="D817">
        <v>28</v>
      </c>
      <c r="E817" t="s">
        <v>19</v>
      </c>
      <c r="F817" t="s">
        <v>171</v>
      </c>
      <c r="G817">
        <v>113.44</v>
      </c>
      <c r="H817" t="s">
        <v>14</v>
      </c>
      <c r="I817" s="2">
        <v>45202</v>
      </c>
      <c r="J817" s="2">
        <v>45230</v>
      </c>
    </row>
    <row r="818" spans="1:11" x14ac:dyDescent="0.25">
      <c r="A818" t="s">
        <v>70</v>
      </c>
      <c r="B818" t="s">
        <v>12</v>
      </c>
      <c r="C818">
        <v>154</v>
      </c>
      <c r="D818">
        <v>97</v>
      </c>
      <c r="E818" t="s">
        <v>13</v>
      </c>
      <c r="F818" t="s">
        <v>171</v>
      </c>
      <c r="G818">
        <v>319.75</v>
      </c>
      <c r="H818" t="s">
        <v>20</v>
      </c>
      <c r="I818" s="2">
        <v>44993</v>
      </c>
      <c r="J818" s="2">
        <v>45053</v>
      </c>
      <c r="K818" t="s">
        <v>21</v>
      </c>
    </row>
    <row r="819" spans="1:11" x14ac:dyDescent="0.25">
      <c r="A819" t="s">
        <v>33</v>
      </c>
      <c r="B819" t="s">
        <v>16</v>
      </c>
      <c r="C819">
        <v>20</v>
      </c>
      <c r="D819">
        <v>79</v>
      </c>
      <c r="E819" t="s">
        <v>19</v>
      </c>
      <c r="F819" t="s">
        <v>173</v>
      </c>
      <c r="G819">
        <v>305.37</v>
      </c>
      <c r="H819" t="s">
        <v>14</v>
      </c>
      <c r="I819" s="2">
        <v>45242</v>
      </c>
      <c r="J819" s="2">
        <v>45266</v>
      </c>
    </row>
    <row r="820" spans="1:11" x14ac:dyDescent="0.25">
      <c r="A820" t="s">
        <v>33</v>
      </c>
      <c r="B820" t="s">
        <v>28</v>
      </c>
      <c r="C820">
        <v>131</v>
      </c>
      <c r="D820">
        <v>28</v>
      </c>
      <c r="E820" t="s">
        <v>13</v>
      </c>
      <c r="F820" t="s">
        <v>173</v>
      </c>
      <c r="G820">
        <v>143.96</v>
      </c>
      <c r="H820" t="s">
        <v>26</v>
      </c>
      <c r="I820" s="2">
        <v>45232</v>
      </c>
      <c r="J820" s="2">
        <v>45290</v>
      </c>
      <c r="K820" t="s">
        <v>17</v>
      </c>
    </row>
    <row r="821" spans="1:11" x14ac:dyDescent="0.25">
      <c r="A821" t="s">
        <v>29</v>
      </c>
      <c r="B821" t="s">
        <v>28</v>
      </c>
      <c r="C821">
        <v>191</v>
      </c>
      <c r="D821">
        <v>26</v>
      </c>
      <c r="E821" t="s">
        <v>13</v>
      </c>
      <c r="F821" t="s">
        <v>170</v>
      </c>
      <c r="G821">
        <v>114.74</v>
      </c>
      <c r="H821" t="s">
        <v>20</v>
      </c>
      <c r="I821" s="2">
        <v>45240</v>
      </c>
      <c r="J821" s="2">
        <v>45303</v>
      </c>
    </row>
    <row r="822" spans="1:11" x14ac:dyDescent="0.25">
      <c r="A822" t="s">
        <v>71</v>
      </c>
      <c r="B822" t="s">
        <v>12</v>
      </c>
      <c r="C822">
        <v>25</v>
      </c>
      <c r="D822">
        <v>57</v>
      </c>
      <c r="E822" t="s">
        <v>19</v>
      </c>
      <c r="F822" t="s">
        <v>173</v>
      </c>
      <c r="G822">
        <v>422.4</v>
      </c>
      <c r="H822" t="s">
        <v>14</v>
      </c>
      <c r="I822" s="2">
        <v>45059</v>
      </c>
      <c r="J822" s="2">
        <v>45120</v>
      </c>
      <c r="K822" t="s">
        <v>172</v>
      </c>
    </row>
    <row r="823" spans="1:11" x14ac:dyDescent="0.25">
      <c r="A823" t="s">
        <v>72</v>
      </c>
      <c r="B823" t="s">
        <v>28</v>
      </c>
      <c r="C823">
        <v>118</v>
      </c>
      <c r="D823">
        <v>77</v>
      </c>
      <c r="E823" t="s">
        <v>13</v>
      </c>
      <c r="F823" t="s">
        <v>170</v>
      </c>
      <c r="G823">
        <v>497.88</v>
      </c>
      <c r="H823" t="s">
        <v>20</v>
      </c>
      <c r="I823" s="2">
        <v>44972</v>
      </c>
      <c r="J823" s="2">
        <v>44999</v>
      </c>
      <c r="K823" t="s">
        <v>172</v>
      </c>
    </row>
    <row r="824" spans="1:11" x14ac:dyDescent="0.25">
      <c r="A824" t="s">
        <v>69</v>
      </c>
      <c r="B824" t="s">
        <v>23</v>
      </c>
      <c r="C824">
        <v>61</v>
      </c>
      <c r="D824">
        <v>23</v>
      </c>
      <c r="E824" t="s">
        <v>13</v>
      </c>
      <c r="F824" t="s">
        <v>173</v>
      </c>
      <c r="G824">
        <v>252.28</v>
      </c>
      <c r="H824" t="s">
        <v>26</v>
      </c>
      <c r="I824" s="2">
        <v>45082</v>
      </c>
      <c r="J824" s="2">
        <v>45113</v>
      </c>
      <c r="K824" t="s">
        <v>21</v>
      </c>
    </row>
    <row r="825" spans="1:11" x14ac:dyDescent="0.25">
      <c r="A825" t="s">
        <v>41</v>
      </c>
      <c r="B825" t="s">
        <v>12</v>
      </c>
      <c r="C825">
        <v>196</v>
      </c>
      <c r="D825">
        <v>36</v>
      </c>
      <c r="E825" t="s">
        <v>13</v>
      </c>
      <c r="F825" t="s">
        <v>171</v>
      </c>
      <c r="G825">
        <v>177.01</v>
      </c>
      <c r="H825" t="s">
        <v>20</v>
      </c>
      <c r="I825" s="2">
        <v>45112</v>
      </c>
      <c r="J825" s="2">
        <v>45169</v>
      </c>
    </row>
    <row r="826" spans="1:11" x14ac:dyDescent="0.25">
      <c r="A826" t="s">
        <v>24</v>
      </c>
      <c r="B826" t="s">
        <v>23</v>
      </c>
      <c r="C826">
        <v>195</v>
      </c>
      <c r="D826">
        <v>43</v>
      </c>
      <c r="E826" t="s">
        <v>13</v>
      </c>
      <c r="F826" t="s">
        <v>171</v>
      </c>
      <c r="G826">
        <v>320.05</v>
      </c>
      <c r="H826" t="s">
        <v>14</v>
      </c>
      <c r="I826" s="2">
        <v>45227</v>
      </c>
      <c r="J826" s="2">
        <v>45247</v>
      </c>
      <c r="K826" t="s">
        <v>17</v>
      </c>
    </row>
    <row r="827" spans="1:11" x14ac:dyDescent="0.25">
      <c r="A827" t="s">
        <v>45</v>
      </c>
      <c r="B827" t="s">
        <v>30</v>
      </c>
      <c r="C827">
        <v>123</v>
      </c>
      <c r="D827">
        <v>49</v>
      </c>
      <c r="E827" t="s">
        <v>13</v>
      </c>
      <c r="F827" t="s">
        <v>170</v>
      </c>
      <c r="G827">
        <v>474.11</v>
      </c>
      <c r="H827" t="s">
        <v>14</v>
      </c>
      <c r="I827" s="2">
        <v>45161</v>
      </c>
      <c r="J827" s="2">
        <v>45187</v>
      </c>
      <c r="K827" t="s">
        <v>17</v>
      </c>
    </row>
    <row r="828" spans="1:11" x14ac:dyDescent="0.25">
      <c r="A828" t="s">
        <v>72</v>
      </c>
      <c r="B828" t="s">
        <v>23</v>
      </c>
      <c r="C828">
        <v>169</v>
      </c>
      <c r="D828">
        <v>98</v>
      </c>
      <c r="E828" t="s">
        <v>13</v>
      </c>
      <c r="F828" t="s">
        <v>170</v>
      </c>
      <c r="G828">
        <v>201.62</v>
      </c>
      <c r="H828" t="s">
        <v>26</v>
      </c>
      <c r="I828" s="2">
        <v>45188</v>
      </c>
      <c r="J828" s="2">
        <v>45244</v>
      </c>
    </row>
    <row r="829" spans="1:11" x14ac:dyDescent="0.25">
      <c r="A829" t="s">
        <v>56</v>
      </c>
      <c r="B829" t="s">
        <v>23</v>
      </c>
      <c r="C829">
        <v>79</v>
      </c>
      <c r="D829">
        <v>67</v>
      </c>
      <c r="E829" t="s">
        <v>13</v>
      </c>
      <c r="F829" t="s">
        <v>173</v>
      </c>
      <c r="G829">
        <v>492.8</v>
      </c>
      <c r="H829" t="s">
        <v>14</v>
      </c>
      <c r="I829" s="2">
        <v>45221</v>
      </c>
      <c r="J829" s="2">
        <v>45285</v>
      </c>
      <c r="K829" t="s">
        <v>21</v>
      </c>
    </row>
    <row r="830" spans="1:11" x14ac:dyDescent="0.25">
      <c r="A830" t="s">
        <v>45</v>
      </c>
      <c r="B830" t="s">
        <v>23</v>
      </c>
      <c r="C830">
        <v>170</v>
      </c>
      <c r="D830">
        <v>27</v>
      </c>
      <c r="E830" t="s">
        <v>13</v>
      </c>
      <c r="F830" t="s">
        <v>171</v>
      </c>
      <c r="G830">
        <v>320.89999999999998</v>
      </c>
      <c r="H830" t="s">
        <v>14</v>
      </c>
      <c r="I830" s="2">
        <v>45125</v>
      </c>
      <c r="J830" s="2">
        <v>45166</v>
      </c>
      <c r="K830" t="s">
        <v>21</v>
      </c>
    </row>
    <row r="831" spans="1:11" x14ac:dyDescent="0.25">
      <c r="A831" t="s">
        <v>49</v>
      </c>
      <c r="B831" t="s">
        <v>23</v>
      </c>
      <c r="C831">
        <v>156</v>
      </c>
      <c r="D831">
        <v>31</v>
      </c>
      <c r="E831" t="s">
        <v>13</v>
      </c>
      <c r="F831" t="s">
        <v>170</v>
      </c>
      <c r="G831">
        <v>428.69</v>
      </c>
      <c r="H831" t="s">
        <v>14</v>
      </c>
      <c r="I831" s="2">
        <v>45129</v>
      </c>
      <c r="J831" s="2">
        <v>45158</v>
      </c>
    </row>
    <row r="832" spans="1:11" x14ac:dyDescent="0.25">
      <c r="A832" t="s">
        <v>71</v>
      </c>
      <c r="B832" t="s">
        <v>30</v>
      </c>
      <c r="C832">
        <v>90</v>
      </c>
      <c r="D832">
        <v>29</v>
      </c>
      <c r="E832" t="s">
        <v>13</v>
      </c>
      <c r="F832" t="s">
        <v>171</v>
      </c>
      <c r="G832">
        <v>472.95</v>
      </c>
      <c r="H832" t="s">
        <v>26</v>
      </c>
      <c r="I832" s="2">
        <v>45207</v>
      </c>
      <c r="J832" s="2">
        <v>45232</v>
      </c>
      <c r="K832" t="s">
        <v>17</v>
      </c>
    </row>
    <row r="833" spans="1:11" x14ac:dyDescent="0.25">
      <c r="A833" t="s">
        <v>31</v>
      </c>
      <c r="B833" t="s">
        <v>12</v>
      </c>
      <c r="C833">
        <v>187</v>
      </c>
      <c r="D833">
        <v>96</v>
      </c>
      <c r="E833" t="s">
        <v>13</v>
      </c>
      <c r="F833" t="s">
        <v>173</v>
      </c>
      <c r="G833">
        <v>84.19</v>
      </c>
      <c r="H833" t="s">
        <v>14</v>
      </c>
      <c r="I833" s="2">
        <v>45087</v>
      </c>
      <c r="J833" s="2">
        <v>45153</v>
      </c>
    </row>
    <row r="834" spans="1:11" x14ac:dyDescent="0.25">
      <c r="A834" t="s">
        <v>62</v>
      </c>
      <c r="B834" t="s">
        <v>28</v>
      </c>
      <c r="C834">
        <v>138</v>
      </c>
      <c r="D834">
        <v>92</v>
      </c>
      <c r="E834" t="s">
        <v>13</v>
      </c>
      <c r="F834" t="s">
        <v>170</v>
      </c>
      <c r="G834">
        <v>46.18</v>
      </c>
      <c r="H834" t="s">
        <v>26</v>
      </c>
      <c r="I834" s="2">
        <v>44996</v>
      </c>
      <c r="J834" s="2">
        <v>45059</v>
      </c>
      <c r="K834" t="s">
        <v>172</v>
      </c>
    </row>
    <row r="835" spans="1:11" x14ac:dyDescent="0.25">
      <c r="A835" t="s">
        <v>58</v>
      </c>
      <c r="B835" t="s">
        <v>30</v>
      </c>
      <c r="C835">
        <v>141</v>
      </c>
      <c r="D835">
        <v>88</v>
      </c>
      <c r="E835" t="s">
        <v>13</v>
      </c>
      <c r="F835" t="s">
        <v>171</v>
      </c>
      <c r="G835">
        <v>480.74</v>
      </c>
      <c r="H835" t="s">
        <v>26</v>
      </c>
      <c r="I835" s="2">
        <v>44998</v>
      </c>
      <c r="J835" s="2">
        <v>45028</v>
      </c>
    </row>
    <row r="836" spans="1:11" x14ac:dyDescent="0.25">
      <c r="A836" t="s">
        <v>68</v>
      </c>
      <c r="B836" t="s">
        <v>28</v>
      </c>
      <c r="C836">
        <v>62</v>
      </c>
      <c r="D836">
        <v>79</v>
      </c>
      <c r="E836" t="s">
        <v>19</v>
      </c>
      <c r="F836" t="s">
        <v>173</v>
      </c>
      <c r="G836">
        <v>19.75</v>
      </c>
      <c r="H836" t="s">
        <v>14</v>
      </c>
      <c r="I836" s="2">
        <v>45055</v>
      </c>
      <c r="J836" s="2">
        <v>45121</v>
      </c>
    </row>
    <row r="837" spans="1:11" x14ac:dyDescent="0.25">
      <c r="A837" t="s">
        <v>31</v>
      </c>
      <c r="B837" t="s">
        <v>30</v>
      </c>
      <c r="C837">
        <v>193</v>
      </c>
      <c r="D837">
        <v>56</v>
      </c>
      <c r="E837" t="s">
        <v>13</v>
      </c>
      <c r="F837" t="s">
        <v>173</v>
      </c>
      <c r="G837">
        <v>350.04</v>
      </c>
      <c r="H837" t="s">
        <v>14</v>
      </c>
      <c r="I837" s="2">
        <v>45266</v>
      </c>
      <c r="J837" s="2">
        <v>45347</v>
      </c>
      <c r="K837" t="s">
        <v>21</v>
      </c>
    </row>
    <row r="838" spans="1:11" x14ac:dyDescent="0.25">
      <c r="A838" t="s">
        <v>61</v>
      </c>
      <c r="B838" t="s">
        <v>23</v>
      </c>
      <c r="C838">
        <v>164</v>
      </c>
      <c r="D838">
        <v>53</v>
      </c>
      <c r="E838" t="s">
        <v>13</v>
      </c>
      <c r="F838" t="s">
        <v>170</v>
      </c>
      <c r="G838">
        <v>171.54</v>
      </c>
      <c r="H838" t="s">
        <v>20</v>
      </c>
      <c r="I838" s="2">
        <v>45209</v>
      </c>
      <c r="J838" s="2">
        <v>45232</v>
      </c>
      <c r="K838" t="s">
        <v>21</v>
      </c>
    </row>
    <row r="839" spans="1:11" x14ac:dyDescent="0.25">
      <c r="A839" t="s">
        <v>43</v>
      </c>
      <c r="B839" t="s">
        <v>12</v>
      </c>
      <c r="C839">
        <v>96</v>
      </c>
      <c r="D839">
        <v>33</v>
      </c>
      <c r="E839" t="s">
        <v>13</v>
      </c>
      <c r="F839" t="s">
        <v>173</v>
      </c>
      <c r="G839">
        <v>368.22</v>
      </c>
      <c r="H839" t="s">
        <v>26</v>
      </c>
      <c r="I839" s="2">
        <v>44929</v>
      </c>
      <c r="J839" s="2">
        <v>44968</v>
      </c>
      <c r="K839" t="s">
        <v>17</v>
      </c>
    </row>
    <row r="840" spans="1:11" x14ac:dyDescent="0.25">
      <c r="A840" t="s">
        <v>63</v>
      </c>
      <c r="B840" t="s">
        <v>28</v>
      </c>
      <c r="C840">
        <v>36</v>
      </c>
      <c r="D840">
        <v>88</v>
      </c>
      <c r="E840" t="s">
        <v>19</v>
      </c>
      <c r="F840" t="s">
        <v>173</v>
      </c>
      <c r="G840">
        <v>417.74</v>
      </c>
      <c r="H840" t="s">
        <v>20</v>
      </c>
      <c r="I840" s="2">
        <v>45012</v>
      </c>
      <c r="J840" s="2">
        <v>45061</v>
      </c>
      <c r="K840" t="s">
        <v>172</v>
      </c>
    </row>
    <row r="841" spans="1:11" x14ac:dyDescent="0.25">
      <c r="A841" t="s">
        <v>54</v>
      </c>
      <c r="B841" t="s">
        <v>28</v>
      </c>
      <c r="C841">
        <v>88</v>
      </c>
      <c r="D841">
        <v>92</v>
      </c>
      <c r="E841" t="s">
        <v>19</v>
      </c>
      <c r="F841" t="s">
        <v>171</v>
      </c>
      <c r="G841">
        <v>110.96</v>
      </c>
      <c r="H841" t="s">
        <v>20</v>
      </c>
      <c r="I841" s="2">
        <v>45019</v>
      </c>
      <c r="J841" s="2">
        <v>45039</v>
      </c>
    </row>
    <row r="842" spans="1:11" x14ac:dyDescent="0.25">
      <c r="A842" t="s">
        <v>68</v>
      </c>
      <c r="B842" t="s">
        <v>16</v>
      </c>
      <c r="C842">
        <v>6</v>
      </c>
      <c r="D842">
        <v>92</v>
      </c>
      <c r="E842" t="s">
        <v>19</v>
      </c>
      <c r="F842" t="s">
        <v>171</v>
      </c>
      <c r="G842">
        <v>22.5</v>
      </c>
      <c r="H842" t="s">
        <v>26</v>
      </c>
      <c r="I842" s="2">
        <v>45022</v>
      </c>
      <c r="J842" s="2">
        <v>45056</v>
      </c>
    </row>
    <row r="843" spans="1:11" x14ac:dyDescent="0.25">
      <c r="A843" t="s">
        <v>11</v>
      </c>
      <c r="B843" t="s">
        <v>12</v>
      </c>
      <c r="C843">
        <v>66</v>
      </c>
      <c r="D843">
        <v>68</v>
      </c>
      <c r="E843" t="s">
        <v>19</v>
      </c>
      <c r="F843" t="s">
        <v>170</v>
      </c>
      <c r="G843">
        <v>80.23</v>
      </c>
      <c r="H843" t="s">
        <v>26</v>
      </c>
      <c r="I843" s="2">
        <v>45205</v>
      </c>
      <c r="J843" s="2">
        <v>45276</v>
      </c>
      <c r="K843" t="s">
        <v>172</v>
      </c>
    </row>
    <row r="844" spans="1:11" x14ac:dyDescent="0.25">
      <c r="A844" t="s">
        <v>15</v>
      </c>
      <c r="B844" t="s">
        <v>28</v>
      </c>
      <c r="C844">
        <v>26</v>
      </c>
      <c r="D844">
        <v>54</v>
      </c>
      <c r="E844" t="s">
        <v>19</v>
      </c>
      <c r="F844" t="s">
        <v>171</v>
      </c>
      <c r="G844">
        <v>235.37</v>
      </c>
      <c r="H844" t="s">
        <v>26</v>
      </c>
      <c r="I844" s="2">
        <v>45124</v>
      </c>
      <c r="J844" s="2">
        <v>45141</v>
      </c>
      <c r="K844" t="s">
        <v>21</v>
      </c>
    </row>
    <row r="845" spans="1:11" x14ac:dyDescent="0.25">
      <c r="A845" t="s">
        <v>15</v>
      </c>
      <c r="B845" t="s">
        <v>23</v>
      </c>
      <c r="C845">
        <v>27</v>
      </c>
      <c r="D845">
        <v>93</v>
      </c>
      <c r="E845" t="s">
        <v>19</v>
      </c>
      <c r="F845" t="s">
        <v>171</v>
      </c>
      <c r="G845">
        <v>216.15</v>
      </c>
      <c r="H845" t="s">
        <v>20</v>
      </c>
      <c r="I845" s="2">
        <v>45162</v>
      </c>
      <c r="J845" s="2">
        <v>45225</v>
      </c>
      <c r="K845" t="s">
        <v>172</v>
      </c>
    </row>
    <row r="846" spans="1:11" x14ac:dyDescent="0.25">
      <c r="A846" t="s">
        <v>24</v>
      </c>
      <c r="B846" t="s">
        <v>30</v>
      </c>
      <c r="C846">
        <v>100</v>
      </c>
      <c r="D846">
        <v>95</v>
      </c>
      <c r="E846" t="s">
        <v>13</v>
      </c>
      <c r="F846" t="s">
        <v>173</v>
      </c>
      <c r="G846">
        <v>372.26</v>
      </c>
      <c r="H846" t="s">
        <v>26</v>
      </c>
      <c r="I846" s="2">
        <v>44951</v>
      </c>
      <c r="J846" s="2">
        <v>45038</v>
      </c>
      <c r="K846" t="s">
        <v>17</v>
      </c>
    </row>
    <row r="847" spans="1:11" x14ac:dyDescent="0.25">
      <c r="A847" t="s">
        <v>51</v>
      </c>
      <c r="B847" t="s">
        <v>16</v>
      </c>
      <c r="C847">
        <v>81</v>
      </c>
      <c r="D847">
        <v>21</v>
      </c>
      <c r="E847" t="s">
        <v>13</v>
      </c>
      <c r="F847" t="s">
        <v>171</v>
      </c>
      <c r="G847">
        <v>435.42</v>
      </c>
      <c r="H847" t="s">
        <v>20</v>
      </c>
      <c r="I847" s="2">
        <v>45022</v>
      </c>
      <c r="J847" s="2">
        <v>45093</v>
      </c>
      <c r="K847" t="s">
        <v>172</v>
      </c>
    </row>
    <row r="848" spans="1:11" x14ac:dyDescent="0.25">
      <c r="A848" t="s">
        <v>37</v>
      </c>
      <c r="B848" t="s">
        <v>16</v>
      </c>
      <c r="C848">
        <v>86</v>
      </c>
      <c r="D848">
        <v>55</v>
      </c>
      <c r="E848" t="s">
        <v>13</v>
      </c>
      <c r="F848" t="s">
        <v>170</v>
      </c>
      <c r="G848">
        <v>341.99</v>
      </c>
      <c r="H848" t="s">
        <v>20</v>
      </c>
      <c r="I848" s="2">
        <v>44944</v>
      </c>
      <c r="J848" s="2">
        <v>45030</v>
      </c>
      <c r="K848" t="s">
        <v>21</v>
      </c>
    </row>
    <row r="849" spans="1:11" x14ac:dyDescent="0.25">
      <c r="A849" t="s">
        <v>43</v>
      </c>
      <c r="B849" t="s">
        <v>28</v>
      </c>
      <c r="C849">
        <v>154</v>
      </c>
      <c r="D849">
        <v>24</v>
      </c>
      <c r="E849" t="s">
        <v>13</v>
      </c>
      <c r="F849" t="s">
        <v>170</v>
      </c>
      <c r="G849">
        <v>159.06</v>
      </c>
      <c r="H849" t="s">
        <v>20</v>
      </c>
      <c r="I849" s="2">
        <v>45041</v>
      </c>
      <c r="J849" s="2">
        <v>45063</v>
      </c>
    </row>
    <row r="850" spans="1:11" x14ac:dyDescent="0.25">
      <c r="A850" t="s">
        <v>25</v>
      </c>
      <c r="B850" t="s">
        <v>12</v>
      </c>
      <c r="C850">
        <v>7</v>
      </c>
      <c r="D850">
        <v>54</v>
      </c>
      <c r="E850" t="s">
        <v>19</v>
      </c>
      <c r="F850" t="s">
        <v>171</v>
      </c>
      <c r="G850">
        <v>345.1</v>
      </c>
      <c r="H850" t="s">
        <v>14</v>
      </c>
      <c r="I850" s="2">
        <v>45287</v>
      </c>
      <c r="J850" s="2">
        <v>45370</v>
      </c>
    </row>
    <row r="851" spans="1:11" x14ac:dyDescent="0.25">
      <c r="A851" t="s">
        <v>53</v>
      </c>
      <c r="B851" t="s">
        <v>30</v>
      </c>
      <c r="C851">
        <v>36</v>
      </c>
      <c r="D851">
        <v>87</v>
      </c>
      <c r="E851" t="s">
        <v>19</v>
      </c>
      <c r="F851" t="s">
        <v>173</v>
      </c>
      <c r="G851">
        <v>403.77</v>
      </c>
      <c r="H851" t="s">
        <v>14</v>
      </c>
      <c r="I851" s="2">
        <v>45210</v>
      </c>
      <c r="J851" s="2">
        <v>45228</v>
      </c>
    </row>
    <row r="852" spans="1:11" x14ac:dyDescent="0.25">
      <c r="A852" t="s">
        <v>25</v>
      </c>
      <c r="B852" t="s">
        <v>30</v>
      </c>
      <c r="C852">
        <v>199</v>
      </c>
      <c r="D852">
        <v>28</v>
      </c>
      <c r="E852" t="s">
        <v>13</v>
      </c>
      <c r="F852" t="s">
        <v>173</v>
      </c>
      <c r="G852">
        <v>135.96</v>
      </c>
      <c r="H852" t="s">
        <v>20</v>
      </c>
      <c r="I852" s="2">
        <v>45163</v>
      </c>
      <c r="J852" s="2">
        <v>45183</v>
      </c>
      <c r="K852" t="s">
        <v>172</v>
      </c>
    </row>
    <row r="853" spans="1:11" x14ac:dyDescent="0.25">
      <c r="A853" t="s">
        <v>22</v>
      </c>
      <c r="B853" t="s">
        <v>16</v>
      </c>
      <c r="C853">
        <v>141</v>
      </c>
      <c r="D853">
        <v>89</v>
      </c>
      <c r="E853" t="s">
        <v>13</v>
      </c>
      <c r="F853" t="s">
        <v>173</v>
      </c>
      <c r="G853">
        <v>366.96</v>
      </c>
      <c r="H853" t="s">
        <v>26</v>
      </c>
      <c r="I853" s="2">
        <v>44948</v>
      </c>
      <c r="J853" s="2">
        <v>45011</v>
      </c>
    </row>
    <row r="854" spans="1:11" x14ac:dyDescent="0.25">
      <c r="A854" t="s">
        <v>52</v>
      </c>
      <c r="B854" t="s">
        <v>16</v>
      </c>
      <c r="C854">
        <v>60</v>
      </c>
      <c r="D854">
        <v>73</v>
      </c>
      <c r="E854" t="s">
        <v>19</v>
      </c>
      <c r="F854" t="s">
        <v>170</v>
      </c>
      <c r="G854">
        <v>382.7</v>
      </c>
      <c r="H854" t="s">
        <v>14</v>
      </c>
      <c r="I854" s="2">
        <v>45063</v>
      </c>
      <c r="J854" s="2">
        <v>45082</v>
      </c>
      <c r="K854" t="s">
        <v>17</v>
      </c>
    </row>
    <row r="855" spans="1:11" x14ac:dyDescent="0.25">
      <c r="A855" t="s">
        <v>70</v>
      </c>
      <c r="B855" t="s">
        <v>16</v>
      </c>
      <c r="C855">
        <v>28</v>
      </c>
      <c r="D855">
        <v>58</v>
      </c>
      <c r="E855" t="s">
        <v>19</v>
      </c>
      <c r="F855" t="s">
        <v>171</v>
      </c>
      <c r="G855">
        <v>300.67</v>
      </c>
      <c r="H855" t="s">
        <v>14</v>
      </c>
      <c r="I855" s="2">
        <v>44983</v>
      </c>
      <c r="J855" s="2">
        <v>45066</v>
      </c>
    </row>
    <row r="856" spans="1:11" x14ac:dyDescent="0.25">
      <c r="A856" t="s">
        <v>62</v>
      </c>
      <c r="B856" t="s">
        <v>12</v>
      </c>
      <c r="C856">
        <v>34</v>
      </c>
      <c r="D856">
        <v>91</v>
      </c>
      <c r="E856" t="s">
        <v>19</v>
      </c>
      <c r="F856" t="s">
        <v>173</v>
      </c>
      <c r="G856">
        <v>152.61000000000001</v>
      </c>
      <c r="H856" t="s">
        <v>26</v>
      </c>
      <c r="I856" s="2">
        <v>44970</v>
      </c>
      <c r="J856" s="2">
        <v>45042</v>
      </c>
      <c r="K856" t="s">
        <v>17</v>
      </c>
    </row>
    <row r="857" spans="1:11" x14ac:dyDescent="0.25">
      <c r="A857" t="s">
        <v>54</v>
      </c>
      <c r="B857" t="s">
        <v>12</v>
      </c>
      <c r="C857">
        <v>145</v>
      </c>
      <c r="D857">
        <v>85</v>
      </c>
      <c r="E857" t="s">
        <v>13</v>
      </c>
      <c r="F857" t="s">
        <v>170</v>
      </c>
      <c r="G857">
        <v>63.52</v>
      </c>
      <c r="H857" t="s">
        <v>14</v>
      </c>
      <c r="I857" s="2">
        <v>44939</v>
      </c>
      <c r="J857" s="2">
        <v>44964</v>
      </c>
      <c r="K857" t="s">
        <v>17</v>
      </c>
    </row>
    <row r="858" spans="1:11" x14ac:dyDescent="0.25">
      <c r="A858" t="s">
        <v>27</v>
      </c>
      <c r="B858" t="s">
        <v>16</v>
      </c>
      <c r="C858">
        <v>2</v>
      </c>
      <c r="D858">
        <v>83</v>
      </c>
      <c r="E858" t="s">
        <v>19</v>
      </c>
      <c r="F858" t="s">
        <v>173</v>
      </c>
      <c r="G858">
        <v>427.89</v>
      </c>
      <c r="H858" t="s">
        <v>26</v>
      </c>
      <c r="I858" s="2">
        <v>45033</v>
      </c>
      <c r="J858" s="2">
        <v>45094</v>
      </c>
      <c r="K858" t="s">
        <v>21</v>
      </c>
    </row>
    <row r="859" spans="1:11" x14ac:dyDescent="0.25">
      <c r="A859" t="s">
        <v>37</v>
      </c>
      <c r="B859" t="s">
        <v>23</v>
      </c>
      <c r="C859">
        <v>26</v>
      </c>
      <c r="D859">
        <v>55</v>
      </c>
      <c r="E859" t="s">
        <v>19</v>
      </c>
      <c r="F859" t="s">
        <v>170</v>
      </c>
      <c r="G859">
        <v>400.23</v>
      </c>
      <c r="H859" t="s">
        <v>20</v>
      </c>
      <c r="I859" s="2">
        <v>45156</v>
      </c>
      <c r="J859" s="2">
        <v>45214</v>
      </c>
      <c r="K859" t="s">
        <v>21</v>
      </c>
    </row>
    <row r="860" spans="1:11" x14ac:dyDescent="0.25">
      <c r="A860" t="s">
        <v>65</v>
      </c>
      <c r="B860" t="s">
        <v>12</v>
      </c>
      <c r="C860">
        <v>8</v>
      </c>
      <c r="D860">
        <v>67</v>
      </c>
      <c r="E860" t="s">
        <v>19</v>
      </c>
      <c r="F860" t="s">
        <v>170</v>
      </c>
      <c r="G860">
        <v>351.98</v>
      </c>
      <c r="H860" t="s">
        <v>14</v>
      </c>
      <c r="I860" s="2">
        <v>45095</v>
      </c>
      <c r="J860" s="2">
        <v>45127</v>
      </c>
      <c r="K860" t="s">
        <v>172</v>
      </c>
    </row>
    <row r="861" spans="1:11" x14ac:dyDescent="0.25">
      <c r="A861" t="s">
        <v>72</v>
      </c>
      <c r="B861" t="s">
        <v>23</v>
      </c>
      <c r="C861">
        <v>164</v>
      </c>
      <c r="D861">
        <v>46</v>
      </c>
      <c r="E861" t="s">
        <v>13</v>
      </c>
      <c r="F861" t="s">
        <v>170</v>
      </c>
      <c r="G861">
        <v>261.54000000000002</v>
      </c>
      <c r="H861" t="s">
        <v>20</v>
      </c>
      <c r="I861" s="2">
        <v>45046</v>
      </c>
      <c r="J861" s="2">
        <v>45081</v>
      </c>
    </row>
    <row r="862" spans="1:11" x14ac:dyDescent="0.25">
      <c r="A862" t="s">
        <v>18</v>
      </c>
      <c r="B862" t="s">
        <v>28</v>
      </c>
      <c r="C862">
        <v>76</v>
      </c>
      <c r="D862">
        <v>45</v>
      </c>
      <c r="E862" t="s">
        <v>13</v>
      </c>
      <c r="F862" t="s">
        <v>171</v>
      </c>
      <c r="G862">
        <v>328.46</v>
      </c>
      <c r="H862" t="s">
        <v>14</v>
      </c>
      <c r="I862" s="2">
        <v>45175</v>
      </c>
      <c r="J862" s="2">
        <v>45243</v>
      </c>
      <c r="K862" t="s">
        <v>21</v>
      </c>
    </row>
    <row r="863" spans="1:11" x14ac:dyDescent="0.25">
      <c r="A863" t="s">
        <v>33</v>
      </c>
      <c r="B863" t="s">
        <v>30</v>
      </c>
      <c r="C863">
        <v>19</v>
      </c>
      <c r="D863">
        <v>75</v>
      </c>
      <c r="E863" t="s">
        <v>19</v>
      </c>
      <c r="F863" t="s">
        <v>173</v>
      </c>
      <c r="G863">
        <v>127.54</v>
      </c>
      <c r="H863" t="s">
        <v>26</v>
      </c>
      <c r="I863" s="2">
        <v>45260</v>
      </c>
      <c r="J863" s="2">
        <v>45327</v>
      </c>
      <c r="K863" t="s">
        <v>172</v>
      </c>
    </row>
    <row r="864" spans="1:11" x14ac:dyDescent="0.25">
      <c r="A864" t="s">
        <v>45</v>
      </c>
      <c r="B864" t="s">
        <v>23</v>
      </c>
      <c r="C864">
        <v>39</v>
      </c>
      <c r="D864">
        <v>98</v>
      </c>
      <c r="E864" t="s">
        <v>19</v>
      </c>
      <c r="F864" t="s">
        <v>173</v>
      </c>
      <c r="G864">
        <v>209.6</v>
      </c>
      <c r="H864" t="s">
        <v>14</v>
      </c>
      <c r="I864" s="2">
        <v>44973</v>
      </c>
      <c r="J864" s="2">
        <v>45043</v>
      </c>
      <c r="K864" t="s">
        <v>21</v>
      </c>
    </row>
    <row r="865" spans="1:11" x14ac:dyDescent="0.25">
      <c r="A865" t="s">
        <v>61</v>
      </c>
      <c r="B865" t="s">
        <v>28</v>
      </c>
      <c r="C865">
        <v>182</v>
      </c>
      <c r="D865">
        <v>38</v>
      </c>
      <c r="E865" t="s">
        <v>13</v>
      </c>
      <c r="F865" t="s">
        <v>170</v>
      </c>
      <c r="G865">
        <v>87.07</v>
      </c>
      <c r="H865" t="s">
        <v>26</v>
      </c>
      <c r="I865" s="2">
        <v>45047</v>
      </c>
      <c r="J865" s="2">
        <v>45076</v>
      </c>
      <c r="K865" t="s">
        <v>172</v>
      </c>
    </row>
    <row r="866" spans="1:11" x14ac:dyDescent="0.25">
      <c r="A866" t="s">
        <v>33</v>
      </c>
      <c r="B866" t="s">
        <v>16</v>
      </c>
      <c r="C866">
        <v>186</v>
      </c>
      <c r="D866">
        <v>25</v>
      </c>
      <c r="E866" t="s">
        <v>13</v>
      </c>
      <c r="F866" t="s">
        <v>170</v>
      </c>
      <c r="G866">
        <v>266.5</v>
      </c>
      <c r="H866" t="s">
        <v>14</v>
      </c>
      <c r="I866" s="2">
        <v>45229</v>
      </c>
      <c r="J866" s="2">
        <v>45259</v>
      </c>
    </row>
    <row r="867" spans="1:11" x14ac:dyDescent="0.25">
      <c r="A867" t="s">
        <v>33</v>
      </c>
      <c r="B867" t="s">
        <v>23</v>
      </c>
      <c r="C867">
        <v>142</v>
      </c>
      <c r="D867">
        <v>91</v>
      </c>
      <c r="E867" t="s">
        <v>13</v>
      </c>
      <c r="F867" t="s">
        <v>171</v>
      </c>
      <c r="G867">
        <v>191.74</v>
      </c>
      <c r="H867" t="s">
        <v>20</v>
      </c>
      <c r="I867" s="2">
        <v>45126</v>
      </c>
      <c r="J867" s="2">
        <v>45163</v>
      </c>
      <c r="K867" t="s">
        <v>17</v>
      </c>
    </row>
    <row r="868" spans="1:11" x14ac:dyDescent="0.25">
      <c r="A868" t="s">
        <v>71</v>
      </c>
      <c r="B868" t="s">
        <v>12</v>
      </c>
      <c r="C868">
        <v>193</v>
      </c>
      <c r="D868">
        <v>88</v>
      </c>
      <c r="E868" t="s">
        <v>13</v>
      </c>
      <c r="F868" t="s">
        <v>171</v>
      </c>
      <c r="G868">
        <v>158.91999999999999</v>
      </c>
      <c r="H868" t="s">
        <v>14</v>
      </c>
      <c r="I868" s="2">
        <v>45036</v>
      </c>
      <c r="J868" s="2">
        <v>45090</v>
      </c>
      <c r="K868" t="s">
        <v>21</v>
      </c>
    </row>
    <row r="869" spans="1:11" x14ac:dyDescent="0.25">
      <c r="A869" t="s">
        <v>59</v>
      </c>
      <c r="B869" t="s">
        <v>30</v>
      </c>
      <c r="C869">
        <v>34</v>
      </c>
      <c r="D869">
        <v>97</v>
      </c>
      <c r="E869" t="s">
        <v>19</v>
      </c>
      <c r="F869" t="s">
        <v>173</v>
      </c>
      <c r="G869">
        <v>131.03</v>
      </c>
      <c r="H869" t="s">
        <v>20</v>
      </c>
      <c r="I869" s="2">
        <v>45005</v>
      </c>
      <c r="J869" s="2">
        <v>45088</v>
      </c>
      <c r="K869" t="s">
        <v>17</v>
      </c>
    </row>
    <row r="870" spans="1:11" x14ac:dyDescent="0.25">
      <c r="A870" t="s">
        <v>51</v>
      </c>
      <c r="B870" t="s">
        <v>23</v>
      </c>
      <c r="C870">
        <v>30</v>
      </c>
      <c r="D870">
        <v>24</v>
      </c>
      <c r="E870" t="s">
        <v>13</v>
      </c>
      <c r="F870" t="s">
        <v>170</v>
      </c>
      <c r="G870">
        <v>94.98</v>
      </c>
      <c r="H870" t="s">
        <v>14</v>
      </c>
      <c r="I870" s="2">
        <v>45208</v>
      </c>
      <c r="J870" s="2">
        <v>45264</v>
      </c>
    </row>
    <row r="871" spans="1:11" x14ac:dyDescent="0.25">
      <c r="A871" t="s">
        <v>52</v>
      </c>
      <c r="B871" t="s">
        <v>30</v>
      </c>
      <c r="C871">
        <v>83</v>
      </c>
      <c r="D871">
        <v>51</v>
      </c>
      <c r="E871" t="s">
        <v>13</v>
      </c>
      <c r="F871" t="s">
        <v>173</v>
      </c>
      <c r="G871">
        <v>134.72</v>
      </c>
      <c r="H871" t="s">
        <v>26</v>
      </c>
      <c r="I871" s="2">
        <v>45131</v>
      </c>
      <c r="J871" s="2">
        <v>45218</v>
      </c>
      <c r="K871" t="s">
        <v>17</v>
      </c>
    </row>
    <row r="872" spans="1:11" x14ac:dyDescent="0.25">
      <c r="A872" t="s">
        <v>35</v>
      </c>
      <c r="B872" t="s">
        <v>12</v>
      </c>
      <c r="C872">
        <v>96</v>
      </c>
      <c r="D872">
        <v>36</v>
      </c>
      <c r="E872" t="s">
        <v>13</v>
      </c>
      <c r="F872" t="s">
        <v>171</v>
      </c>
      <c r="G872">
        <v>468.79</v>
      </c>
      <c r="H872" t="s">
        <v>26</v>
      </c>
      <c r="I872" s="2">
        <v>45066</v>
      </c>
      <c r="J872" s="2">
        <v>45094</v>
      </c>
      <c r="K872" t="s">
        <v>17</v>
      </c>
    </row>
    <row r="873" spans="1:11" x14ac:dyDescent="0.25">
      <c r="A873" t="s">
        <v>47</v>
      </c>
      <c r="B873" t="s">
        <v>30</v>
      </c>
      <c r="C873">
        <v>45</v>
      </c>
      <c r="D873">
        <v>62</v>
      </c>
      <c r="E873" t="s">
        <v>19</v>
      </c>
      <c r="F873" t="s">
        <v>170</v>
      </c>
      <c r="G873">
        <v>332.12</v>
      </c>
      <c r="H873" t="s">
        <v>26</v>
      </c>
      <c r="I873" s="2">
        <v>45026</v>
      </c>
      <c r="J873" s="2">
        <v>45090</v>
      </c>
      <c r="K873" t="s">
        <v>172</v>
      </c>
    </row>
    <row r="874" spans="1:11" x14ac:dyDescent="0.25">
      <c r="A874" t="s">
        <v>54</v>
      </c>
      <c r="B874" t="s">
        <v>30</v>
      </c>
      <c r="C874">
        <v>179</v>
      </c>
      <c r="D874">
        <v>45</v>
      </c>
      <c r="E874" t="s">
        <v>13</v>
      </c>
      <c r="F874" t="s">
        <v>173</v>
      </c>
      <c r="G874">
        <v>261.89</v>
      </c>
      <c r="H874" t="s">
        <v>20</v>
      </c>
      <c r="I874" s="2">
        <v>45169</v>
      </c>
      <c r="J874" s="2">
        <v>45252</v>
      </c>
      <c r="K874" t="s">
        <v>17</v>
      </c>
    </row>
    <row r="875" spans="1:11" x14ac:dyDescent="0.25">
      <c r="A875" t="s">
        <v>15</v>
      </c>
      <c r="B875" t="s">
        <v>12</v>
      </c>
      <c r="C875">
        <v>185</v>
      </c>
      <c r="D875">
        <v>34</v>
      </c>
      <c r="E875" t="s">
        <v>13</v>
      </c>
      <c r="F875" t="s">
        <v>171</v>
      </c>
      <c r="G875">
        <v>277.99</v>
      </c>
      <c r="H875" t="s">
        <v>14</v>
      </c>
      <c r="I875" s="2">
        <v>45090</v>
      </c>
      <c r="J875" s="2">
        <v>45115</v>
      </c>
      <c r="K875" t="s">
        <v>21</v>
      </c>
    </row>
    <row r="876" spans="1:11" x14ac:dyDescent="0.25">
      <c r="A876" t="s">
        <v>27</v>
      </c>
      <c r="B876" t="s">
        <v>28</v>
      </c>
      <c r="C876">
        <v>41</v>
      </c>
      <c r="D876">
        <v>83</v>
      </c>
      <c r="E876" t="s">
        <v>19</v>
      </c>
      <c r="F876" t="s">
        <v>173</v>
      </c>
      <c r="G876">
        <v>269.93</v>
      </c>
      <c r="H876" t="s">
        <v>20</v>
      </c>
      <c r="I876" s="2">
        <v>45071</v>
      </c>
      <c r="J876" s="2">
        <v>45130</v>
      </c>
    </row>
    <row r="877" spans="1:11" x14ac:dyDescent="0.25">
      <c r="A877" t="s">
        <v>53</v>
      </c>
      <c r="B877" t="s">
        <v>23</v>
      </c>
      <c r="C877">
        <v>109</v>
      </c>
      <c r="D877">
        <v>21</v>
      </c>
      <c r="E877" t="s">
        <v>13</v>
      </c>
      <c r="F877" t="s">
        <v>171</v>
      </c>
      <c r="G877">
        <v>268.73</v>
      </c>
      <c r="H877" t="s">
        <v>14</v>
      </c>
      <c r="I877" s="2">
        <v>45026</v>
      </c>
      <c r="J877" s="2">
        <v>45103</v>
      </c>
      <c r="K877" t="s">
        <v>17</v>
      </c>
    </row>
    <row r="878" spans="1:11" x14ac:dyDescent="0.25">
      <c r="A878" t="s">
        <v>31</v>
      </c>
      <c r="B878" t="s">
        <v>28</v>
      </c>
      <c r="C878">
        <v>4</v>
      </c>
      <c r="D878">
        <v>80</v>
      </c>
      <c r="E878" t="s">
        <v>19</v>
      </c>
      <c r="F878" t="s">
        <v>170</v>
      </c>
      <c r="G878">
        <v>399.36</v>
      </c>
      <c r="H878" t="s">
        <v>26</v>
      </c>
      <c r="I878" s="2">
        <v>45024</v>
      </c>
      <c r="J878" s="2">
        <v>45043</v>
      </c>
    </row>
    <row r="879" spans="1:11" x14ac:dyDescent="0.25">
      <c r="A879" t="s">
        <v>43</v>
      </c>
      <c r="B879" t="s">
        <v>16</v>
      </c>
      <c r="C879">
        <v>164</v>
      </c>
      <c r="D879">
        <v>94</v>
      </c>
      <c r="E879" t="s">
        <v>13</v>
      </c>
      <c r="F879" t="s">
        <v>173</v>
      </c>
      <c r="G879">
        <v>448.1</v>
      </c>
      <c r="H879" t="s">
        <v>26</v>
      </c>
      <c r="I879" s="2">
        <v>45251</v>
      </c>
      <c r="J879" s="2">
        <v>45281</v>
      </c>
      <c r="K879" t="s">
        <v>172</v>
      </c>
    </row>
    <row r="880" spans="1:11" x14ac:dyDescent="0.25">
      <c r="A880" t="s">
        <v>29</v>
      </c>
      <c r="B880" t="s">
        <v>12</v>
      </c>
      <c r="C880">
        <v>189</v>
      </c>
      <c r="D880">
        <v>45</v>
      </c>
      <c r="E880" t="s">
        <v>13</v>
      </c>
      <c r="F880" t="s">
        <v>171</v>
      </c>
      <c r="G880">
        <v>391.68</v>
      </c>
      <c r="H880" t="s">
        <v>20</v>
      </c>
      <c r="I880" s="2">
        <v>45133</v>
      </c>
      <c r="J880" s="2">
        <v>45151</v>
      </c>
    </row>
    <row r="881" spans="1:11" x14ac:dyDescent="0.25">
      <c r="A881" t="s">
        <v>52</v>
      </c>
      <c r="B881" t="s">
        <v>23</v>
      </c>
      <c r="C881">
        <v>177</v>
      </c>
      <c r="D881">
        <v>21</v>
      </c>
      <c r="E881" t="s">
        <v>13</v>
      </c>
      <c r="F881" t="s">
        <v>171</v>
      </c>
      <c r="G881">
        <v>68.540000000000006</v>
      </c>
      <c r="H881" t="s">
        <v>20</v>
      </c>
      <c r="I881" s="2">
        <v>45132</v>
      </c>
      <c r="J881" s="2">
        <v>45199</v>
      </c>
      <c r="K881" t="s">
        <v>172</v>
      </c>
    </row>
    <row r="882" spans="1:11" x14ac:dyDescent="0.25">
      <c r="A882" t="s">
        <v>50</v>
      </c>
      <c r="B882" t="s">
        <v>16</v>
      </c>
      <c r="C882">
        <v>86</v>
      </c>
      <c r="D882">
        <v>35</v>
      </c>
      <c r="E882" t="s">
        <v>13</v>
      </c>
      <c r="F882" t="s">
        <v>171</v>
      </c>
      <c r="G882">
        <v>421.44</v>
      </c>
      <c r="H882" t="s">
        <v>26</v>
      </c>
      <c r="I882" s="2">
        <v>45213</v>
      </c>
      <c r="J882" s="2">
        <v>45290</v>
      </c>
    </row>
    <row r="883" spans="1:11" x14ac:dyDescent="0.25">
      <c r="A883" t="s">
        <v>38</v>
      </c>
      <c r="B883" t="s">
        <v>23</v>
      </c>
      <c r="C883">
        <v>83</v>
      </c>
      <c r="D883">
        <v>66</v>
      </c>
      <c r="E883" t="s">
        <v>13</v>
      </c>
      <c r="F883" t="s">
        <v>170</v>
      </c>
      <c r="G883">
        <v>86.4</v>
      </c>
      <c r="H883" t="s">
        <v>26</v>
      </c>
      <c r="I883" s="2">
        <v>45275</v>
      </c>
      <c r="J883" s="2">
        <v>45295</v>
      </c>
      <c r="K883" t="s">
        <v>172</v>
      </c>
    </row>
    <row r="884" spans="1:11" x14ac:dyDescent="0.25">
      <c r="A884" t="s">
        <v>67</v>
      </c>
      <c r="B884" t="s">
        <v>12</v>
      </c>
      <c r="C884">
        <v>163</v>
      </c>
      <c r="D884">
        <v>61</v>
      </c>
      <c r="E884" t="s">
        <v>13</v>
      </c>
      <c r="F884" t="s">
        <v>173</v>
      </c>
      <c r="G884">
        <v>468.39</v>
      </c>
      <c r="H884" t="s">
        <v>26</v>
      </c>
      <c r="I884" s="2">
        <v>45286</v>
      </c>
      <c r="J884" s="2">
        <v>45331</v>
      </c>
    </row>
    <row r="885" spans="1:11" x14ac:dyDescent="0.25">
      <c r="A885" t="s">
        <v>39</v>
      </c>
      <c r="B885" t="s">
        <v>12</v>
      </c>
      <c r="C885">
        <v>170</v>
      </c>
      <c r="D885">
        <v>88</v>
      </c>
      <c r="E885" t="s">
        <v>13</v>
      </c>
      <c r="F885" t="s">
        <v>170</v>
      </c>
      <c r="G885">
        <v>113.69</v>
      </c>
      <c r="H885" t="s">
        <v>14</v>
      </c>
      <c r="I885" s="2">
        <v>45004</v>
      </c>
      <c r="J885" s="2">
        <v>45054</v>
      </c>
      <c r="K885" t="s">
        <v>21</v>
      </c>
    </row>
    <row r="886" spans="1:11" x14ac:dyDescent="0.25">
      <c r="A886" t="s">
        <v>49</v>
      </c>
      <c r="B886" t="s">
        <v>30</v>
      </c>
      <c r="C886">
        <v>55</v>
      </c>
      <c r="D886">
        <v>31</v>
      </c>
      <c r="E886" t="s">
        <v>13</v>
      </c>
      <c r="F886" t="s">
        <v>171</v>
      </c>
      <c r="G886">
        <v>237.8</v>
      </c>
      <c r="H886" t="s">
        <v>20</v>
      </c>
      <c r="I886" s="2">
        <v>44996</v>
      </c>
      <c r="J886" s="2">
        <v>45019</v>
      </c>
      <c r="K886" t="s">
        <v>17</v>
      </c>
    </row>
    <row r="887" spans="1:11" x14ac:dyDescent="0.25">
      <c r="A887" t="s">
        <v>36</v>
      </c>
      <c r="B887" t="s">
        <v>16</v>
      </c>
      <c r="C887">
        <v>49</v>
      </c>
      <c r="D887">
        <v>86</v>
      </c>
      <c r="E887" t="s">
        <v>19</v>
      </c>
      <c r="F887" t="s">
        <v>171</v>
      </c>
      <c r="G887">
        <v>156.29</v>
      </c>
      <c r="H887" t="s">
        <v>26</v>
      </c>
      <c r="I887" s="2">
        <v>45255</v>
      </c>
      <c r="J887" s="2">
        <v>45279</v>
      </c>
    </row>
    <row r="888" spans="1:11" x14ac:dyDescent="0.25">
      <c r="A888" t="s">
        <v>64</v>
      </c>
      <c r="B888" t="s">
        <v>28</v>
      </c>
      <c r="C888">
        <v>113</v>
      </c>
      <c r="D888">
        <v>25</v>
      </c>
      <c r="E888" t="s">
        <v>13</v>
      </c>
      <c r="F888" t="s">
        <v>170</v>
      </c>
      <c r="G888">
        <v>282.27</v>
      </c>
      <c r="H888" t="s">
        <v>26</v>
      </c>
      <c r="I888" s="2">
        <v>45003</v>
      </c>
      <c r="J888" s="2">
        <v>45065</v>
      </c>
      <c r="K888" t="s">
        <v>21</v>
      </c>
    </row>
    <row r="889" spans="1:11" x14ac:dyDescent="0.25">
      <c r="A889" t="s">
        <v>11</v>
      </c>
      <c r="B889" t="s">
        <v>12</v>
      </c>
      <c r="C889">
        <v>0</v>
      </c>
      <c r="D889">
        <v>83</v>
      </c>
      <c r="E889" t="s">
        <v>19</v>
      </c>
      <c r="F889" t="s">
        <v>171</v>
      </c>
      <c r="G889">
        <v>424.43</v>
      </c>
      <c r="H889" t="s">
        <v>14</v>
      </c>
      <c r="I889" s="2">
        <v>45065</v>
      </c>
      <c r="J889" s="2">
        <v>45120</v>
      </c>
    </row>
    <row r="890" spans="1:11" x14ac:dyDescent="0.25">
      <c r="A890" t="s">
        <v>54</v>
      </c>
      <c r="B890" t="s">
        <v>16</v>
      </c>
      <c r="C890">
        <v>189</v>
      </c>
      <c r="D890">
        <v>87</v>
      </c>
      <c r="E890" t="s">
        <v>13</v>
      </c>
      <c r="F890" t="s">
        <v>170</v>
      </c>
      <c r="G890">
        <v>109.73</v>
      </c>
      <c r="H890" t="s">
        <v>14</v>
      </c>
      <c r="I890" s="2">
        <v>45022</v>
      </c>
      <c r="J890" s="2">
        <v>45086</v>
      </c>
      <c r="K890" t="s">
        <v>172</v>
      </c>
    </row>
    <row r="891" spans="1:11" x14ac:dyDescent="0.25">
      <c r="A891" t="s">
        <v>39</v>
      </c>
      <c r="B891" t="s">
        <v>23</v>
      </c>
      <c r="C891">
        <v>123</v>
      </c>
      <c r="D891">
        <v>21</v>
      </c>
      <c r="E891" t="s">
        <v>13</v>
      </c>
      <c r="F891" t="s">
        <v>171</v>
      </c>
      <c r="G891">
        <v>327.3</v>
      </c>
      <c r="H891" t="s">
        <v>14</v>
      </c>
      <c r="I891" s="2">
        <v>44997</v>
      </c>
      <c r="J891" s="2">
        <v>45066</v>
      </c>
    </row>
    <row r="892" spans="1:11" x14ac:dyDescent="0.25">
      <c r="A892" t="s">
        <v>33</v>
      </c>
      <c r="B892" t="s">
        <v>23</v>
      </c>
      <c r="C892">
        <v>120</v>
      </c>
      <c r="D892">
        <v>91</v>
      </c>
      <c r="E892" t="s">
        <v>13</v>
      </c>
      <c r="F892" t="s">
        <v>171</v>
      </c>
      <c r="G892">
        <v>446.94</v>
      </c>
      <c r="H892" t="s">
        <v>20</v>
      </c>
      <c r="I892" s="2">
        <v>45113</v>
      </c>
      <c r="J892" s="2">
        <v>45154</v>
      </c>
    </row>
    <row r="893" spans="1:11" x14ac:dyDescent="0.25">
      <c r="A893" t="s">
        <v>62</v>
      </c>
      <c r="B893" t="s">
        <v>23</v>
      </c>
      <c r="C893">
        <v>194</v>
      </c>
      <c r="D893">
        <v>88</v>
      </c>
      <c r="E893" t="s">
        <v>13</v>
      </c>
      <c r="F893" t="s">
        <v>173</v>
      </c>
      <c r="G893">
        <v>365.08</v>
      </c>
      <c r="H893" t="s">
        <v>14</v>
      </c>
      <c r="I893" s="2">
        <v>45028</v>
      </c>
      <c r="J893" s="2">
        <v>45078</v>
      </c>
      <c r="K893" t="s">
        <v>172</v>
      </c>
    </row>
    <row r="894" spans="1:11" x14ac:dyDescent="0.25">
      <c r="A894" t="s">
        <v>65</v>
      </c>
      <c r="B894" t="s">
        <v>23</v>
      </c>
      <c r="C894">
        <v>48</v>
      </c>
      <c r="D894">
        <v>58</v>
      </c>
      <c r="E894" t="s">
        <v>19</v>
      </c>
      <c r="F894" t="s">
        <v>173</v>
      </c>
      <c r="G894">
        <v>53.84</v>
      </c>
      <c r="H894" t="s">
        <v>20</v>
      </c>
      <c r="I894" s="2">
        <v>45203</v>
      </c>
      <c r="J894" s="2">
        <v>45257</v>
      </c>
      <c r="K894" t="s">
        <v>17</v>
      </c>
    </row>
    <row r="895" spans="1:11" x14ac:dyDescent="0.25">
      <c r="A895" t="s">
        <v>63</v>
      </c>
      <c r="B895" t="s">
        <v>16</v>
      </c>
      <c r="C895">
        <v>8</v>
      </c>
      <c r="D895">
        <v>51</v>
      </c>
      <c r="E895" t="s">
        <v>19</v>
      </c>
      <c r="F895" t="s">
        <v>173</v>
      </c>
      <c r="G895">
        <v>251.94</v>
      </c>
      <c r="H895" t="s">
        <v>26</v>
      </c>
      <c r="I895" s="2">
        <v>44960</v>
      </c>
      <c r="J895" s="2">
        <v>45001</v>
      </c>
      <c r="K895" t="s">
        <v>17</v>
      </c>
    </row>
    <row r="896" spans="1:11" x14ac:dyDescent="0.25">
      <c r="A896" t="s">
        <v>72</v>
      </c>
      <c r="B896" t="s">
        <v>16</v>
      </c>
      <c r="C896">
        <v>33</v>
      </c>
      <c r="D896">
        <v>51</v>
      </c>
      <c r="E896" t="s">
        <v>19</v>
      </c>
      <c r="F896" t="s">
        <v>170</v>
      </c>
      <c r="G896">
        <v>496.39</v>
      </c>
      <c r="H896" t="s">
        <v>14</v>
      </c>
      <c r="I896" s="2">
        <v>45186</v>
      </c>
      <c r="J896" s="2">
        <v>45259</v>
      </c>
    </row>
    <row r="897" spans="1:11" x14ac:dyDescent="0.25">
      <c r="A897" t="s">
        <v>39</v>
      </c>
      <c r="B897" t="s">
        <v>12</v>
      </c>
      <c r="C897">
        <v>198</v>
      </c>
      <c r="D897">
        <v>40</v>
      </c>
      <c r="E897" t="s">
        <v>13</v>
      </c>
      <c r="F897" t="s">
        <v>171</v>
      </c>
      <c r="G897">
        <v>221.51</v>
      </c>
      <c r="H897" t="s">
        <v>20</v>
      </c>
      <c r="I897" s="2">
        <v>45089</v>
      </c>
      <c r="J897" s="2">
        <v>45144</v>
      </c>
      <c r="K897" t="s">
        <v>21</v>
      </c>
    </row>
    <row r="898" spans="1:11" x14ac:dyDescent="0.25">
      <c r="A898" t="s">
        <v>65</v>
      </c>
      <c r="B898" t="s">
        <v>16</v>
      </c>
      <c r="C898">
        <v>179</v>
      </c>
      <c r="D898">
        <v>84</v>
      </c>
      <c r="E898" t="s">
        <v>13</v>
      </c>
      <c r="F898" t="s">
        <v>170</v>
      </c>
      <c r="G898">
        <v>53.91</v>
      </c>
      <c r="H898" t="s">
        <v>20</v>
      </c>
      <c r="I898" s="2">
        <v>45260</v>
      </c>
      <c r="J898" s="2">
        <v>45333</v>
      </c>
      <c r="K898" t="s">
        <v>21</v>
      </c>
    </row>
    <row r="899" spans="1:11" x14ac:dyDescent="0.25">
      <c r="A899" t="s">
        <v>32</v>
      </c>
      <c r="B899" t="s">
        <v>16</v>
      </c>
      <c r="C899">
        <v>124</v>
      </c>
      <c r="D899">
        <v>67</v>
      </c>
      <c r="E899" t="s">
        <v>13</v>
      </c>
      <c r="F899" t="s">
        <v>170</v>
      </c>
      <c r="G899">
        <v>350.14</v>
      </c>
      <c r="H899" t="s">
        <v>20</v>
      </c>
      <c r="I899" s="2">
        <v>44981</v>
      </c>
      <c r="J899" s="2">
        <v>45027</v>
      </c>
      <c r="K899" t="s">
        <v>17</v>
      </c>
    </row>
    <row r="900" spans="1:11" x14ac:dyDescent="0.25">
      <c r="A900" t="s">
        <v>58</v>
      </c>
      <c r="B900" t="s">
        <v>12</v>
      </c>
      <c r="C900">
        <v>5</v>
      </c>
      <c r="D900">
        <v>88</v>
      </c>
      <c r="E900" t="s">
        <v>19</v>
      </c>
      <c r="F900" t="s">
        <v>173</v>
      </c>
      <c r="G900">
        <v>478.19</v>
      </c>
      <c r="H900" t="s">
        <v>26</v>
      </c>
      <c r="I900" s="2">
        <v>45202</v>
      </c>
      <c r="J900" s="2">
        <v>45256</v>
      </c>
      <c r="K900" t="s">
        <v>17</v>
      </c>
    </row>
    <row r="901" spans="1:11" x14ac:dyDescent="0.25">
      <c r="A901" t="s">
        <v>41</v>
      </c>
      <c r="B901" t="s">
        <v>12</v>
      </c>
      <c r="C901">
        <v>109</v>
      </c>
      <c r="D901">
        <v>76</v>
      </c>
      <c r="E901" t="s">
        <v>13</v>
      </c>
      <c r="F901" t="s">
        <v>170</v>
      </c>
      <c r="G901">
        <v>435.82</v>
      </c>
      <c r="H901" t="s">
        <v>26</v>
      </c>
      <c r="I901" s="2">
        <v>45199</v>
      </c>
      <c r="J901" s="2">
        <v>45215</v>
      </c>
    </row>
    <row r="902" spans="1:11" x14ac:dyDescent="0.25">
      <c r="A902" t="s">
        <v>55</v>
      </c>
      <c r="B902" t="s">
        <v>23</v>
      </c>
      <c r="C902">
        <v>27</v>
      </c>
      <c r="D902">
        <v>56</v>
      </c>
      <c r="E902" t="s">
        <v>19</v>
      </c>
      <c r="F902" t="s">
        <v>171</v>
      </c>
      <c r="G902">
        <v>57.06</v>
      </c>
      <c r="H902" t="s">
        <v>14</v>
      </c>
      <c r="I902" s="2">
        <v>45160</v>
      </c>
      <c r="J902" s="2">
        <v>45226</v>
      </c>
      <c r="K902" t="s">
        <v>17</v>
      </c>
    </row>
    <row r="903" spans="1:11" x14ac:dyDescent="0.25">
      <c r="A903" t="s">
        <v>63</v>
      </c>
      <c r="B903" t="s">
        <v>23</v>
      </c>
      <c r="C903">
        <v>71</v>
      </c>
      <c r="D903">
        <v>20</v>
      </c>
      <c r="E903" t="s">
        <v>13</v>
      </c>
      <c r="F903" t="s">
        <v>171</v>
      </c>
      <c r="G903">
        <v>450</v>
      </c>
      <c r="H903" t="s">
        <v>26</v>
      </c>
      <c r="I903" s="2">
        <v>45001</v>
      </c>
      <c r="J903" s="2">
        <v>45078</v>
      </c>
      <c r="K903" t="s">
        <v>17</v>
      </c>
    </row>
    <row r="904" spans="1:11" x14ac:dyDescent="0.25">
      <c r="A904" t="s">
        <v>25</v>
      </c>
      <c r="B904" t="s">
        <v>28</v>
      </c>
      <c r="C904">
        <v>110</v>
      </c>
      <c r="D904">
        <v>28</v>
      </c>
      <c r="E904" t="s">
        <v>13</v>
      </c>
      <c r="F904" t="s">
        <v>173</v>
      </c>
      <c r="G904">
        <v>475.91</v>
      </c>
      <c r="H904" t="s">
        <v>14</v>
      </c>
      <c r="I904" s="2">
        <v>45023</v>
      </c>
      <c r="J904" s="2">
        <v>45048</v>
      </c>
      <c r="K904" t="s">
        <v>172</v>
      </c>
    </row>
    <row r="905" spans="1:11" x14ac:dyDescent="0.25">
      <c r="A905" t="s">
        <v>59</v>
      </c>
      <c r="B905" t="s">
        <v>30</v>
      </c>
      <c r="C905">
        <v>108</v>
      </c>
      <c r="D905">
        <v>38</v>
      </c>
      <c r="E905" t="s">
        <v>13</v>
      </c>
      <c r="F905" t="s">
        <v>173</v>
      </c>
      <c r="G905">
        <v>151.12</v>
      </c>
      <c r="H905" t="s">
        <v>26</v>
      </c>
      <c r="I905" s="2">
        <v>44942</v>
      </c>
      <c r="J905" s="2">
        <v>45023</v>
      </c>
      <c r="K905" t="s">
        <v>17</v>
      </c>
    </row>
    <row r="906" spans="1:11" x14ac:dyDescent="0.25">
      <c r="A906" t="s">
        <v>72</v>
      </c>
      <c r="B906" t="s">
        <v>28</v>
      </c>
      <c r="C906">
        <v>62</v>
      </c>
      <c r="D906">
        <v>65</v>
      </c>
      <c r="E906" t="s">
        <v>19</v>
      </c>
      <c r="F906" t="s">
        <v>171</v>
      </c>
      <c r="G906">
        <v>359.13</v>
      </c>
      <c r="H906" t="s">
        <v>14</v>
      </c>
      <c r="I906" s="2">
        <v>45161</v>
      </c>
      <c r="J906" s="2">
        <v>45192</v>
      </c>
      <c r="K906" t="s">
        <v>172</v>
      </c>
    </row>
    <row r="907" spans="1:11" x14ac:dyDescent="0.25">
      <c r="A907" t="s">
        <v>15</v>
      </c>
      <c r="B907" t="s">
        <v>23</v>
      </c>
      <c r="C907">
        <v>159</v>
      </c>
      <c r="D907">
        <v>40</v>
      </c>
      <c r="E907" t="s">
        <v>13</v>
      </c>
      <c r="F907" t="s">
        <v>171</v>
      </c>
      <c r="G907">
        <v>156.38999999999999</v>
      </c>
      <c r="H907" t="s">
        <v>26</v>
      </c>
      <c r="I907" s="2">
        <v>45154</v>
      </c>
      <c r="J907" s="2">
        <v>45185</v>
      </c>
    </row>
    <row r="908" spans="1:11" x14ac:dyDescent="0.25">
      <c r="A908" t="s">
        <v>32</v>
      </c>
      <c r="B908" t="s">
        <v>16</v>
      </c>
      <c r="C908">
        <v>6</v>
      </c>
      <c r="D908">
        <v>98</v>
      </c>
      <c r="E908" t="s">
        <v>19</v>
      </c>
      <c r="F908" t="s">
        <v>173</v>
      </c>
      <c r="G908">
        <v>175.91</v>
      </c>
      <c r="H908" t="s">
        <v>14</v>
      </c>
      <c r="I908" s="2">
        <v>45085</v>
      </c>
      <c r="J908" s="2">
        <v>45118</v>
      </c>
      <c r="K908" t="s">
        <v>17</v>
      </c>
    </row>
    <row r="909" spans="1:11" x14ac:dyDescent="0.25">
      <c r="A909" t="s">
        <v>43</v>
      </c>
      <c r="B909" t="s">
        <v>23</v>
      </c>
      <c r="C909">
        <v>27</v>
      </c>
      <c r="D909">
        <v>44</v>
      </c>
      <c r="E909" t="s">
        <v>19</v>
      </c>
      <c r="F909" t="s">
        <v>171</v>
      </c>
      <c r="G909">
        <v>498.67</v>
      </c>
      <c r="H909" t="s">
        <v>26</v>
      </c>
      <c r="I909" s="2">
        <v>45008</v>
      </c>
      <c r="J909" s="2">
        <v>45051</v>
      </c>
    </row>
    <row r="910" spans="1:11" x14ac:dyDescent="0.25">
      <c r="A910" t="s">
        <v>27</v>
      </c>
      <c r="B910" t="s">
        <v>28</v>
      </c>
      <c r="C910">
        <v>105</v>
      </c>
      <c r="D910">
        <v>93</v>
      </c>
      <c r="E910" t="s">
        <v>13</v>
      </c>
      <c r="F910" t="s">
        <v>173</v>
      </c>
      <c r="G910">
        <v>153.78</v>
      </c>
      <c r="H910" t="s">
        <v>20</v>
      </c>
      <c r="I910" s="2">
        <v>44999</v>
      </c>
      <c r="J910" s="2">
        <v>45014</v>
      </c>
      <c r="K910" t="s">
        <v>21</v>
      </c>
    </row>
    <row r="911" spans="1:11" x14ac:dyDescent="0.25">
      <c r="A911" t="s">
        <v>47</v>
      </c>
      <c r="B911" t="s">
        <v>12</v>
      </c>
      <c r="C911">
        <v>1</v>
      </c>
      <c r="D911">
        <v>52</v>
      </c>
      <c r="E911" t="s">
        <v>19</v>
      </c>
      <c r="F911" t="s">
        <v>170</v>
      </c>
      <c r="G911">
        <v>229.78</v>
      </c>
      <c r="H911" t="s">
        <v>20</v>
      </c>
      <c r="I911" s="2">
        <v>44984</v>
      </c>
      <c r="J911" s="2">
        <v>45008</v>
      </c>
    </row>
    <row r="912" spans="1:11" x14ac:dyDescent="0.25">
      <c r="A912" t="s">
        <v>46</v>
      </c>
      <c r="B912" t="s">
        <v>16</v>
      </c>
      <c r="C912">
        <v>171</v>
      </c>
      <c r="D912">
        <v>33</v>
      </c>
      <c r="E912" t="s">
        <v>13</v>
      </c>
      <c r="F912" t="s">
        <v>173</v>
      </c>
      <c r="G912">
        <v>70.61</v>
      </c>
      <c r="H912" t="s">
        <v>26</v>
      </c>
      <c r="I912" s="2">
        <v>45013</v>
      </c>
      <c r="J912" s="2">
        <v>45070</v>
      </c>
      <c r="K912" t="s">
        <v>21</v>
      </c>
    </row>
    <row r="913" spans="1:11" x14ac:dyDescent="0.25">
      <c r="A913" t="s">
        <v>51</v>
      </c>
      <c r="B913" t="s">
        <v>16</v>
      </c>
      <c r="C913">
        <v>69</v>
      </c>
      <c r="D913">
        <v>52</v>
      </c>
      <c r="E913" t="s">
        <v>13</v>
      </c>
      <c r="F913" t="s">
        <v>170</v>
      </c>
      <c r="G913">
        <v>368</v>
      </c>
      <c r="H913" t="s">
        <v>26</v>
      </c>
      <c r="I913" s="2">
        <v>45038</v>
      </c>
      <c r="J913" s="2">
        <v>45069</v>
      </c>
      <c r="K913" t="s">
        <v>172</v>
      </c>
    </row>
    <row r="914" spans="1:11" x14ac:dyDescent="0.25">
      <c r="A914" t="s">
        <v>71</v>
      </c>
      <c r="B914" t="s">
        <v>16</v>
      </c>
      <c r="C914">
        <v>93</v>
      </c>
      <c r="D914">
        <v>23</v>
      </c>
      <c r="E914" t="s">
        <v>13</v>
      </c>
      <c r="F914" t="s">
        <v>171</v>
      </c>
      <c r="G914">
        <v>273.48</v>
      </c>
      <c r="H914" t="s">
        <v>14</v>
      </c>
      <c r="I914" s="2">
        <v>45048</v>
      </c>
      <c r="J914" s="2">
        <v>45136</v>
      </c>
      <c r="K914" t="s">
        <v>21</v>
      </c>
    </row>
    <row r="915" spans="1:11" x14ac:dyDescent="0.25">
      <c r="A915" t="s">
        <v>44</v>
      </c>
      <c r="B915" t="s">
        <v>16</v>
      </c>
      <c r="C915">
        <v>101</v>
      </c>
      <c r="D915">
        <v>51</v>
      </c>
      <c r="E915" t="s">
        <v>13</v>
      </c>
      <c r="F915" t="s">
        <v>173</v>
      </c>
      <c r="G915">
        <v>341.53</v>
      </c>
      <c r="H915" t="s">
        <v>20</v>
      </c>
      <c r="I915" s="2">
        <v>45053</v>
      </c>
      <c r="J915" s="2">
        <v>45112</v>
      </c>
    </row>
    <row r="916" spans="1:11" x14ac:dyDescent="0.25">
      <c r="A916" t="s">
        <v>72</v>
      </c>
      <c r="B916" t="s">
        <v>16</v>
      </c>
      <c r="C916">
        <v>86</v>
      </c>
      <c r="D916">
        <v>84</v>
      </c>
      <c r="E916" t="s">
        <v>13</v>
      </c>
      <c r="F916" t="s">
        <v>173</v>
      </c>
      <c r="G916">
        <v>101.76</v>
      </c>
      <c r="H916" t="s">
        <v>26</v>
      </c>
      <c r="I916" s="2">
        <v>44931</v>
      </c>
      <c r="J916" s="2">
        <v>44954</v>
      </c>
      <c r="K916" t="s">
        <v>21</v>
      </c>
    </row>
    <row r="917" spans="1:11" x14ac:dyDescent="0.25">
      <c r="A917" t="s">
        <v>11</v>
      </c>
      <c r="B917" t="s">
        <v>16</v>
      </c>
      <c r="C917">
        <v>137</v>
      </c>
      <c r="D917">
        <v>94</v>
      </c>
      <c r="E917" t="s">
        <v>13</v>
      </c>
      <c r="F917" t="s">
        <v>170</v>
      </c>
      <c r="G917">
        <v>319.85000000000002</v>
      </c>
      <c r="H917" t="s">
        <v>20</v>
      </c>
      <c r="I917" s="2">
        <v>44927</v>
      </c>
      <c r="J917" s="2">
        <v>44974</v>
      </c>
      <c r="K917" t="s">
        <v>172</v>
      </c>
    </row>
    <row r="918" spans="1:11" x14ac:dyDescent="0.25">
      <c r="A918" t="s">
        <v>15</v>
      </c>
      <c r="B918" t="s">
        <v>12</v>
      </c>
      <c r="C918">
        <v>106</v>
      </c>
      <c r="D918">
        <v>88</v>
      </c>
      <c r="E918" t="s">
        <v>13</v>
      </c>
      <c r="F918" t="s">
        <v>171</v>
      </c>
      <c r="G918">
        <v>269.99</v>
      </c>
      <c r="H918" t="s">
        <v>26</v>
      </c>
      <c r="I918" s="2">
        <v>45029</v>
      </c>
      <c r="J918" s="2">
        <v>45083</v>
      </c>
      <c r="K918" t="s">
        <v>172</v>
      </c>
    </row>
    <row r="919" spans="1:11" x14ac:dyDescent="0.25">
      <c r="A919" t="s">
        <v>71</v>
      </c>
      <c r="B919" t="s">
        <v>28</v>
      </c>
      <c r="C919">
        <v>125</v>
      </c>
      <c r="D919">
        <v>83</v>
      </c>
      <c r="E919" t="s">
        <v>13</v>
      </c>
      <c r="F919" t="s">
        <v>170</v>
      </c>
      <c r="G919">
        <v>103.22</v>
      </c>
      <c r="H919" t="s">
        <v>26</v>
      </c>
      <c r="I919" s="2">
        <v>45045</v>
      </c>
      <c r="J919" s="2">
        <v>45115</v>
      </c>
      <c r="K919" t="s">
        <v>172</v>
      </c>
    </row>
    <row r="920" spans="1:11" x14ac:dyDescent="0.25">
      <c r="A920" t="s">
        <v>37</v>
      </c>
      <c r="B920" t="s">
        <v>28</v>
      </c>
      <c r="C920">
        <v>114</v>
      </c>
      <c r="D920">
        <v>72</v>
      </c>
      <c r="E920" t="s">
        <v>13</v>
      </c>
      <c r="F920" t="s">
        <v>170</v>
      </c>
      <c r="G920">
        <v>380.38</v>
      </c>
      <c r="H920" t="s">
        <v>20</v>
      </c>
      <c r="I920" s="2">
        <v>45150</v>
      </c>
      <c r="J920" s="2">
        <v>45192</v>
      </c>
    </row>
    <row r="921" spans="1:11" x14ac:dyDescent="0.25">
      <c r="A921" t="s">
        <v>31</v>
      </c>
      <c r="B921" t="s">
        <v>23</v>
      </c>
      <c r="C921">
        <v>148</v>
      </c>
      <c r="D921">
        <v>20</v>
      </c>
      <c r="E921" t="s">
        <v>13</v>
      </c>
      <c r="F921" t="s">
        <v>171</v>
      </c>
      <c r="G921">
        <v>412.7</v>
      </c>
      <c r="H921" t="s">
        <v>26</v>
      </c>
      <c r="I921" s="2">
        <v>45145</v>
      </c>
      <c r="J921" s="2">
        <v>45212</v>
      </c>
      <c r="K921" t="s">
        <v>17</v>
      </c>
    </row>
    <row r="922" spans="1:11" x14ac:dyDescent="0.25">
      <c r="A922" t="s">
        <v>40</v>
      </c>
      <c r="B922" t="s">
        <v>28</v>
      </c>
      <c r="C922">
        <v>16</v>
      </c>
      <c r="D922">
        <v>49</v>
      </c>
      <c r="E922" t="s">
        <v>19</v>
      </c>
      <c r="F922" t="s">
        <v>173</v>
      </c>
      <c r="G922">
        <v>498.17</v>
      </c>
      <c r="H922" t="s">
        <v>26</v>
      </c>
      <c r="I922" s="2">
        <v>45234</v>
      </c>
      <c r="J922" s="2">
        <v>45284</v>
      </c>
      <c r="K922" t="s">
        <v>17</v>
      </c>
    </row>
    <row r="923" spans="1:11" x14ac:dyDescent="0.25">
      <c r="A923" t="s">
        <v>38</v>
      </c>
      <c r="B923" t="s">
        <v>12</v>
      </c>
      <c r="C923">
        <v>31</v>
      </c>
      <c r="D923">
        <v>73</v>
      </c>
      <c r="E923" t="s">
        <v>19</v>
      </c>
      <c r="F923" t="s">
        <v>173</v>
      </c>
      <c r="G923">
        <v>204.36</v>
      </c>
      <c r="H923" t="s">
        <v>20</v>
      </c>
      <c r="I923" s="2">
        <v>44953</v>
      </c>
      <c r="J923" s="2">
        <v>44985</v>
      </c>
    </row>
    <row r="924" spans="1:11" x14ac:dyDescent="0.25">
      <c r="A924" t="s">
        <v>45</v>
      </c>
      <c r="B924" t="s">
        <v>16</v>
      </c>
      <c r="C924">
        <v>90</v>
      </c>
      <c r="D924">
        <v>60</v>
      </c>
      <c r="E924" t="s">
        <v>13</v>
      </c>
      <c r="F924" t="s">
        <v>171</v>
      </c>
      <c r="G924">
        <v>104.63</v>
      </c>
      <c r="H924" t="s">
        <v>14</v>
      </c>
      <c r="I924" s="2">
        <v>45065</v>
      </c>
      <c r="J924" s="2">
        <v>45113</v>
      </c>
      <c r="K924" t="s">
        <v>172</v>
      </c>
    </row>
    <row r="925" spans="1:11" x14ac:dyDescent="0.25">
      <c r="A925" t="s">
        <v>38</v>
      </c>
      <c r="B925" t="s">
        <v>28</v>
      </c>
      <c r="C925">
        <v>45</v>
      </c>
      <c r="D925">
        <v>97</v>
      </c>
      <c r="E925" t="s">
        <v>19</v>
      </c>
      <c r="F925" t="s">
        <v>173</v>
      </c>
      <c r="G925">
        <v>432.31</v>
      </c>
      <c r="H925" t="s">
        <v>14</v>
      </c>
      <c r="I925" s="2">
        <v>45041</v>
      </c>
      <c r="J925" s="2">
        <v>45102</v>
      </c>
      <c r="K925" t="s">
        <v>17</v>
      </c>
    </row>
    <row r="926" spans="1:11" x14ac:dyDescent="0.25">
      <c r="A926" t="s">
        <v>15</v>
      </c>
      <c r="B926" t="s">
        <v>28</v>
      </c>
      <c r="C926">
        <v>2</v>
      </c>
      <c r="D926">
        <v>71</v>
      </c>
      <c r="E926" t="s">
        <v>19</v>
      </c>
      <c r="F926" t="s">
        <v>173</v>
      </c>
      <c r="G926">
        <v>476.95</v>
      </c>
      <c r="H926" t="s">
        <v>26</v>
      </c>
      <c r="I926" s="2">
        <v>45152</v>
      </c>
      <c r="J926" s="2">
        <v>45214</v>
      </c>
      <c r="K926" t="s">
        <v>21</v>
      </c>
    </row>
    <row r="927" spans="1:11" x14ac:dyDescent="0.25">
      <c r="A927" t="s">
        <v>67</v>
      </c>
      <c r="B927" t="s">
        <v>23</v>
      </c>
      <c r="C927">
        <v>94</v>
      </c>
      <c r="D927">
        <v>74</v>
      </c>
      <c r="E927" t="s">
        <v>13</v>
      </c>
      <c r="F927" t="s">
        <v>170</v>
      </c>
      <c r="G927">
        <v>231.31</v>
      </c>
      <c r="H927" t="s">
        <v>26</v>
      </c>
      <c r="I927" s="2">
        <v>44943</v>
      </c>
      <c r="J927" s="2">
        <v>44963</v>
      </c>
      <c r="K927" t="s">
        <v>21</v>
      </c>
    </row>
    <row r="928" spans="1:11" x14ac:dyDescent="0.25">
      <c r="A928" t="s">
        <v>54</v>
      </c>
      <c r="B928" t="s">
        <v>28</v>
      </c>
      <c r="C928">
        <v>110</v>
      </c>
      <c r="D928">
        <v>35</v>
      </c>
      <c r="E928" t="s">
        <v>13</v>
      </c>
      <c r="F928" t="s">
        <v>173</v>
      </c>
      <c r="G928">
        <v>341.12</v>
      </c>
      <c r="H928" t="s">
        <v>20</v>
      </c>
      <c r="I928" s="2">
        <v>45213</v>
      </c>
      <c r="J928" s="2">
        <v>45232</v>
      </c>
      <c r="K928" t="s">
        <v>17</v>
      </c>
    </row>
    <row r="929" spans="1:11" x14ac:dyDescent="0.25">
      <c r="A929" t="s">
        <v>27</v>
      </c>
      <c r="B929" t="s">
        <v>16</v>
      </c>
      <c r="C929">
        <v>194</v>
      </c>
      <c r="D929">
        <v>73</v>
      </c>
      <c r="E929" t="s">
        <v>13</v>
      </c>
      <c r="F929" t="s">
        <v>171</v>
      </c>
      <c r="G929">
        <v>309.95</v>
      </c>
      <c r="H929" t="s">
        <v>20</v>
      </c>
      <c r="I929" s="2">
        <v>45018</v>
      </c>
      <c r="J929" s="2">
        <v>45095</v>
      </c>
      <c r="K929" t="s">
        <v>17</v>
      </c>
    </row>
    <row r="930" spans="1:11" x14ac:dyDescent="0.25">
      <c r="A930" t="s">
        <v>24</v>
      </c>
      <c r="B930" t="s">
        <v>30</v>
      </c>
      <c r="C930">
        <v>170</v>
      </c>
      <c r="D930">
        <v>97</v>
      </c>
      <c r="E930" t="s">
        <v>13</v>
      </c>
      <c r="F930" t="s">
        <v>170</v>
      </c>
      <c r="G930">
        <v>395.59</v>
      </c>
      <c r="H930" t="s">
        <v>26</v>
      </c>
      <c r="I930" s="2">
        <v>45080</v>
      </c>
      <c r="J930" s="2">
        <v>45100</v>
      </c>
      <c r="K930" t="s">
        <v>17</v>
      </c>
    </row>
    <row r="931" spans="1:11" x14ac:dyDescent="0.25">
      <c r="A931" t="s">
        <v>22</v>
      </c>
      <c r="B931" t="s">
        <v>23</v>
      </c>
      <c r="C931">
        <v>11</v>
      </c>
      <c r="D931">
        <v>23</v>
      </c>
      <c r="E931" t="s">
        <v>19</v>
      </c>
      <c r="F931" t="s">
        <v>171</v>
      </c>
      <c r="G931">
        <v>346</v>
      </c>
      <c r="H931" t="s">
        <v>26</v>
      </c>
      <c r="I931" s="2">
        <v>45137</v>
      </c>
      <c r="J931" s="2">
        <v>45166</v>
      </c>
      <c r="K931" t="s">
        <v>21</v>
      </c>
    </row>
    <row r="932" spans="1:11" x14ac:dyDescent="0.25">
      <c r="A932" t="s">
        <v>67</v>
      </c>
      <c r="B932" t="s">
        <v>12</v>
      </c>
      <c r="C932">
        <v>18</v>
      </c>
      <c r="D932">
        <v>95</v>
      </c>
      <c r="E932" t="s">
        <v>19</v>
      </c>
      <c r="F932" t="s">
        <v>171</v>
      </c>
      <c r="G932">
        <v>333.78</v>
      </c>
      <c r="H932" t="s">
        <v>20</v>
      </c>
      <c r="I932" s="2">
        <v>45143</v>
      </c>
      <c r="J932" s="2">
        <v>45177</v>
      </c>
    </row>
    <row r="933" spans="1:11" x14ac:dyDescent="0.25">
      <c r="A933" t="s">
        <v>71</v>
      </c>
      <c r="B933" t="s">
        <v>28</v>
      </c>
      <c r="C933">
        <v>23</v>
      </c>
      <c r="D933">
        <v>40</v>
      </c>
      <c r="E933" t="s">
        <v>19</v>
      </c>
      <c r="F933" t="s">
        <v>171</v>
      </c>
      <c r="G933">
        <v>187</v>
      </c>
      <c r="H933" t="s">
        <v>14</v>
      </c>
      <c r="I933" s="2">
        <v>45133</v>
      </c>
      <c r="J933" s="2">
        <v>45213</v>
      </c>
    </row>
    <row r="934" spans="1:11" x14ac:dyDescent="0.25">
      <c r="A934" t="s">
        <v>57</v>
      </c>
      <c r="B934" t="s">
        <v>12</v>
      </c>
      <c r="C934">
        <v>63</v>
      </c>
      <c r="D934">
        <v>42</v>
      </c>
      <c r="E934" t="s">
        <v>13</v>
      </c>
      <c r="F934" t="s">
        <v>173</v>
      </c>
      <c r="G934">
        <v>205.92</v>
      </c>
      <c r="H934" t="s">
        <v>20</v>
      </c>
      <c r="I934" s="2">
        <v>44998</v>
      </c>
      <c r="J934" s="2">
        <v>45084</v>
      </c>
      <c r="K934" t="s">
        <v>17</v>
      </c>
    </row>
    <row r="935" spans="1:11" x14ac:dyDescent="0.25">
      <c r="A935" t="s">
        <v>35</v>
      </c>
      <c r="B935" t="s">
        <v>16</v>
      </c>
      <c r="C935">
        <v>159</v>
      </c>
      <c r="D935">
        <v>85</v>
      </c>
      <c r="E935" t="s">
        <v>13</v>
      </c>
      <c r="F935" t="s">
        <v>173</v>
      </c>
      <c r="G935">
        <v>422.85</v>
      </c>
      <c r="H935" t="s">
        <v>14</v>
      </c>
      <c r="I935" s="2">
        <v>44972</v>
      </c>
      <c r="J935" s="2">
        <v>45032</v>
      </c>
      <c r="K935" t="s">
        <v>17</v>
      </c>
    </row>
    <row r="936" spans="1:11" x14ac:dyDescent="0.25">
      <c r="A936" t="s">
        <v>72</v>
      </c>
      <c r="B936" t="s">
        <v>12</v>
      </c>
      <c r="C936">
        <v>187</v>
      </c>
      <c r="D936">
        <v>68</v>
      </c>
      <c r="E936" t="s">
        <v>13</v>
      </c>
      <c r="F936" t="s">
        <v>171</v>
      </c>
      <c r="G936">
        <v>131.38</v>
      </c>
      <c r="H936" t="s">
        <v>20</v>
      </c>
      <c r="I936" s="2">
        <v>44951</v>
      </c>
      <c r="J936" s="2">
        <v>44982</v>
      </c>
    </row>
    <row r="937" spans="1:11" x14ac:dyDescent="0.25">
      <c r="A937" t="s">
        <v>65</v>
      </c>
      <c r="B937" t="s">
        <v>12</v>
      </c>
      <c r="C937">
        <v>71</v>
      </c>
      <c r="D937">
        <v>40</v>
      </c>
      <c r="E937" t="s">
        <v>13</v>
      </c>
      <c r="F937" t="s">
        <v>170</v>
      </c>
      <c r="G937">
        <v>457.23</v>
      </c>
      <c r="H937" t="s">
        <v>20</v>
      </c>
      <c r="I937" s="2">
        <v>45083</v>
      </c>
      <c r="J937" s="2">
        <v>45148</v>
      </c>
    </row>
    <row r="938" spans="1:11" x14ac:dyDescent="0.25">
      <c r="A938" t="s">
        <v>42</v>
      </c>
      <c r="B938" t="s">
        <v>16</v>
      </c>
      <c r="C938">
        <v>68</v>
      </c>
      <c r="D938">
        <v>84</v>
      </c>
      <c r="E938" t="s">
        <v>19</v>
      </c>
      <c r="F938" t="s">
        <v>170</v>
      </c>
      <c r="G938">
        <v>30.93</v>
      </c>
      <c r="H938" t="s">
        <v>14</v>
      </c>
      <c r="I938" s="2">
        <v>45034</v>
      </c>
      <c r="J938" s="2">
        <v>45063</v>
      </c>
      <c r="K938" t="s">
        <v>17</v>
      </c>
    </row>
    <row r="939" spans="1:11" x14ac:dyDescent="0.25">
      <c r="A939" t="s">
        <v>29</v>
      </c>
      <c r="B939" t="s">
        <v>28</v>
      </c>
      <c r="C939">
        <v>10</v>
      </c>
      <c r="D939">
        <v>88</v>
      </c>
      <c r="E939" t="s">
        <v>19</v>
      </c>
      <c r="F939" t="s">
        <v>170</v>
      </c>
      <c r="G939">
        <v>187.69</v>
      </c>
      <c r="H939" t="s">
        <v>14</v>
      </c>
      <c r="I939" s="2">
        <v>45186</v>
      </c>
      <c r="J939" s="2">
        <v>45225</v>
      </c>
      <c r="K939" t="s">
        <v>172</v>
      </c>
    </row>
    <row r="940" spans="1:11" x14ac:dyDescent="0.25">
      <c r="A940" t="s">
        <v>63</v>
      </c>
      <c r="B940" t="s">
        <v>12</v>
      </c>
      <c r="C940">
        <v>162</v>
      </c>
      <c r="D940">
        <v>84</v>
      </c>
      <c r="E940" t="s">
        <v>13</v>
      </c>
      <c r="F940" t="s">
        <v>170</v>
      </c>
      <c r="G940">
        <v>388.41</v>
      </c>
      <c r="H940" t="s">
        <v>26</v>
      </c>
      <c r="I940" s="2">
        <v>45237</v>
      </c>
      <c r="J940" s="2">
        <v>45278</v>
      </c>
      <c r="K940" t="s">
        <v>21</v>
      </c>
    </row>
    <row r="941" spans="1:11" x14ac:dyDescent="0.25">
      <c r="A941" t="s">
        <v>45</v>
      </c>
      <c r="B941" t="s">
        <v>16</v>
      </c>
      <c r="C941">
        <v>66</v>
      </c>
      <c r="D941">
        <v>40</v>
      </c>
      <c r="E941" t="s">
        <v>13</v>
      </c>
      <c r="F941" t="s">
        <v>170</v>
      </c>
      <c r="G941">
        <v>58.38</v>
      </c>
      <c r="H941" t="s">
        <v>14</v>
      </c>
      <c r="I941" s="2">
        <v>45281</v>
      </c>
      <c r="J941" s="2">
        <v>45366</v>
      </c>
      <c r="K941" t="s">
        <v>172</v>
      </c>
    </row>
    <row r="942" spans="1:11" x14ac:dyDescent="0.25">
      <c r="A942" t="s">
        <v>54</v>
      </c>
      <c r="B942" t="s">
        <v>12</v>
      </c>
      <c r="C942">
        <v>83</v>
      </c>
      <c r="D942">
        <v>77</v>
      </c>
      <c r="E942" t="s">
        <v>13</v>
      </c>
      <c r="F942" t="s">
        <v>173</v>
      </c>
      <c r="G942">
        <v>190.01</v>
      </c>
      <c r="H942" t="s">
        <v>26</v>
      </c>
      <c r="I942" s="2">
        <v>44963</v>
      </c>
      <c r="J942" s="2">
        <v>45045</v>
      </c>
    </row>
    <row r="943" spans="1:11" x14ac:dyDescent="0.25">
      <c r="A943" t="s">
        <v>55</v>
      </c>
      <c r="B943" t="s">
        <v>16</v>
      </c>
      <c r="C943">
        <v>198</v>
      </c>
      <c r="D943">
        <v>31</v>
      </c>
      <c r="E943" t="s">
        <v>13</v>
      </c>
      <c r="F943" t="s">
        <v>173</v>
      </c>
      <c r="G943">
        <v>418.06</v>
      </c>
      <c r="H943" t="s">
        <v>14</v>
      </c>
      <c r="I943" s="2">
        <v>45227</v>
      </c>
      <c r="J943" s="2">
        <v>45267</v>
      </c>
    </row>
    <row r="944" spans="1:11" x14ac:dyDescent="0.25">
      <c r="A944" t="s">
        <v>62</v>
      </c>
      <c r="B944" t="s">
        <v>30</v>
      </c>
      <c r="C944">
        <v>81</v>
      </c>
      <c r="D944">
        <v>89</v>
      </c>
      <c r="E944" t="s">
        <v>19</v>
      </c>
      <c r="F944" t="s">
        <v>173</v>
      </c>
      <c r="G944">
        <v>418.97</v>
      </c>
      <c r="H944" t="s">
        <v>26</v>
      </c>
      <c r="I944" s="2">
        <v>45038</v>
      </c>
      <c r="J944" s="2">
        <v>45089</v>
      </c>
      <c r="K944" t="s">
        <v>17</v>
      </c>
    </row>
    <row r="945" spans="1:11" x14ac:dyDescent="0.25">
      <c r="A945" t="s">
        <v>31</v>
      </c>
      <c r="B945" t="s">
        <v>28</v>
      </c>
      <c r="C945">
        <v>142</v>
      </c>
      <c r="D945">
        <v>54</v>
      </c>
      <c r="E945" t="s">
        <v>13</v>
      </c>
      <c r="F945" t="s">
        <v>171</v>
      </c>
      <c r="G945">
        <v>80.23</v>
      </c>
      <c r="H945" t="s">
        <v>26</v>
      </c>
      <c r="I945" s="2">
        <v>45109</v>
      </c>
      <c r="J945" s="2">
        <v>45157</v>
      </c>
      <c r="K945" t="s">
        <v>21</v>
      </c>
    </row>
    <row r="946" spans="1:11" x14ac:dyDescent="0.25">
      <c r="A946" t="s">
        <v>41</v>
      </c>
      <c r="B946" t="s">
        <v>28</v>
      </c>
      <c r="C946">
        <v>59</v>
      </c>
      <c r="D946">
        <v>64</v>
      </c>
      <c r="E946" t="s">
        <v>19</v>
      </c>
      <c r="F946" t="s">
        <v>171</v>
      </c>
      <c r="G946">
        <v>408.54</v>
      </c>
      <c r="H946" t="s">
        <v>26</v>
      </c>
      <c r="I946" s="2">
        <v>45219</v>
      </c>
      <c r="J946" s="2">
        <v>45262</v>
      </c>
    </row>
    <row r="947" spans="1:11" x14ac:dyDescent="0.25">
      <c r="A947" t="s">
        <v>60</v>
      </c>
      <c r="B947" t="s">
        <v>23</v>
      </c>
      <c r="C947">
        <v>23</v>
      </c>
      <c r="D947">
        <v>84</v>
      </c>
      <c r="E947" t="s">
        <v>19</v>
      </c>
      <c r="F947" t="s">
        <v>170</v>
      </c>
      <c r="G947">
        <v>493.58</v>
      </c>
      <c r="H947" t="s">
        <v>26</v>
      </c>
      <c r="I947" s="2">
        <v>44979</v>
      </c>
      <c r="J947" s="2">
        <v>44999</v>
      </c>
      <c r="K947" t="s">
        <v>21</v>
      </c>
    </row>
    <row r="948" spans="1:11" x14ac:dyDescent="0.25">
      <c r="A948" t="s">
        <v>53</v>
      </c>
      <c r="B948" t="s">
        <v>16</v>
      </c>
      <c r="C948">
        <v>113</v>
      </c>
      <c r="D948">
        <v>20</v>
      </c>
      <c r="E948" t="s">
        <v>13</v>
      </c>
      <c r="F948" t="s">
        <v>173</v>
      </c>
      <c r="G948">
        <v>70.430000000000007</v>
      </c>
      <c r="H948" t="s">
        <v>20</v>
      </c>
      <c r="I948" s="2">
        <v>45224</v>
      </c>
      <c r="J948" s="2">
        <v>45302</v>
      </c>
      <c r="K948" t="s">
        <v>17</v>
      </c>
    </row>
    <row r="949" spans="1:11" x14ac:dyDescent="0.25">
      <c r="A949" t="s">
        <v>34</v>
      </c>
      <c r="B949" t="s">
        <v>12</v>
      </c>
      <c r="C949">
        <v>46</v>
      </c>
      <c r="D949">
        <v>98</v>
      </c>
      <c r="E949" t="s">
        <v>19</v>
      </c>
      <c r="F949" t="s">
        <v>170</v>
      </c>
      <c r="G949">
        <v>379.38</v>
      </c>
      <c r="H949" t="s">
        <v>26</v>
      </c>
      <c r="I949" s="2">
        <v>45067</v>
      </c>
      <c r="J949" s="2">
        <v>45092</v>
      </c>
      <c r="K949" t="s">
        <v>172</v>
      </c>
    </row>
    <row r="950" spans="1:11" x14ac:dyDescent="0.25">
      <c r="A950" t="s">
        <v>59</v>
      </c>
      <c r="B950" t="s">
        <v>28</v>
      </c>
      <c r="C950">
        <v>178</v>
      </c>
      <c r="D950">
        <v>55</v>
      </c>
      <c r="E950" t="s">
        <v>13</v>
      </c>
      <c r="F950" t="s">
        <v>170</v>
      </c>
      <c r="G950">
        <v>17.559999999999999</v>
      </c>
      <c r="H950" t="s">
        <v>26</v>
      </c>
      <c r="I950" s="2">
        <v>45282</v>
      </c>
      <c r="J950" s="2">
        <v>45309</v>
      </c>
      <c r="K950" t="s">
        <v>17</v>
      </c>
    </row>
    <row r="951" spans="1:11" x14ac:dyDescent="0.25">
      <c r="A951" t="s">
        <v>43</v>
      </c>
      <c r="B951" t="s">
        <v>30</v>
      </c>
      <c r="C951">
        <v>165</v>
      </c>
      <c r="D951">
        <v>21</v>
      </c>
      <c r="E951" t="s">
        <v>13</v>
      </c>
      <c r="F951" t="s">
        <v>173</v>
      </c>
      <c r="G951">
        <v>213.86</v>
      </c>
      <c r="H951" t="s">
        <v>26</v>
      </c>
      <c r="I951" s="2">
        <v>45176</v>
      </c>
      <c r="J951" s="2">
        <v>45245</v>
      </c>
    </row>
    <row r="952" spans="1:11" x14ac:dyDescent="0.25">
      <c r="A952" t="s">
        <v>71</v>
      </c>
      <c r="B952" t="s">
        <v>23</v>
      </c>
      <c r="C952">
        <v>104</v>
      </c>
      <c r="D952">
        <v>91</v>
      </c>
      <c r="E952" t="s">
        <v>13</v>
      </c>
      <c r="F952" t="s">
        <v>173</v>
      </c>
      <c r="G952">
        <v>206.02</v>
      </c>
      <c r="H952" t="s">
        <v>20</v>
      </c>
      <c r="I952" s="2">
        <v>45010</v>
      </c>
      <c r="J952" s="2">
        <v>45061</v>
      </c>
      <c r="K952" t="s">
        <v>172</v>
      </c>
    </row>
    <row r="953" spans="1:11" x14ac:dyDescent="0.25">
      <c r="A953" t="s">
        <v>47</v>
      </c>
      <c r="B953" t="s">
        <v>23</v>
      </c>
      <c r="C953">
        <v>146</v>
      </c>
      <c r="D953">
        <v>75</v>
      </c>
      <c r="E953" t="s">
        <v>13</v>
      </c>
      <c r="F953" t="s">
        <v>171</v>
      </c>
      <c r="G953">
        <v>386.52</v>
      </c>
      <c r="H953" t="s">
        <v>26</v>
      </c>
      <c r="I953" s="2">
        <v>45160</v>
      </c>
      <c r="J953" s="2">
        <v>45196</v>
      </c>
      <c r="K953" t="s">
        <v>17</v>
      </c>
    </row>
    <row r="954" spans="1:11" x14ac:dyDescent="0.25">
      <c r="A954" t="s">
        <v>68</v>
      </c>
      <c r="B954" t="s">
        <v>30</v>
      </c>
      <c r="C954">
        <v>76</v>
      </c>
      <c r="D954">
        <v>61</v>
      </c>
      <c r="E954" t="s">
        <v>13</v>
      </c>
      <c r="F954" t="s">
        <v>173</v>
      </c>
      <c r="G954">
        <v>430.25</v>
      </c>
      <c r="H954" t="s">
        <v>20</v>
      </c>
      <c r="I954" s="2">
        <v>45121</v>
      </c>
      <c r="J954" s="2">
        <v>45182</v>
      </c>
      <c r="K954" t="s">
        <v>17</v>
      </c>
    </row>
    <row r="955" spans="1:11" x14ac:dyDescent="0.25">
      <c r="A955" t="s">
        <v>15</v>
      </c>
      <c r="B955" t="s">
        <v>12</v>
      </c>
      <c r="C955">
        <v>62</v>
      </c>
      <c r="D955">
        <v>43</v>
      </c>
      <c r="E955" t="s">
        <v>13</v>
      </c>
      <c r="F955" t="s">
        <v>173</v>
      </c>
      <c r="G955">
        <v>401.46</v>
      </c>
      <c r="H955" t="s">
        <v>26</v>
      </c>
      <c r="I955" s="2">
        <v>45239</v>
      </c>
      <c r="J955" s="2">
        <v>45277</v>
      </c>
      <c r="K955" t="s">
        <v>21</v>
      </c>
    </row>
    <row r="956" spans="1:11" x14ac:dyDescent="0.25">
      <c r="A956" t="s">
        <v>49</v>
      </c>
      <c r="B956" t="s">
        <v>28</v>
      </c>
      <c r="C956">
        <v>131</v>
      </c>
      <c r="D956">
        <v>83</v>
      </c>
      <c r="E956" t="s">
        <v>13</v>
      </c>
      <c r="F956" t="s">
        <v>170</v>
      </c>
      <c r="G956">
        <v>396.32</v>
      </c>
      <c r="H956" t="s">
        <v>26</v>
      </c>
      <c r="I956" s="2">
        <v>45142</v>
      </c>
      <c r="J956" s="2">
        <v>45200</v>
      </c>
      <c r="K956" t="s">
        <v>21</v>
      </c>
    </row>
    <row r="957" spans="1:11" x14ac:dyDescent="0.25">
      <c r="A957" t="s">
        <v>27</v>
      </c>
      <c r="B957" t="s">
        <v>28</v>
      </c>
      <c r="C957">
        <v>85</v>
      </c>
      <c r="D957">
        <v>43</v>
      </c>
      <c r="E957" t="s">
        <v>13</v>
      </c>
      <c r="F957" t="s">
        <v>170</v>
      </c>
      <c r="G957">
        <v>313.60000000000002</v>
      </c>
      <c r="H957" t="s">
        <v>26</v>
      </c>
      <c r="I957" s="2">
        <v>45040</v>
      </c>
      <c r="J957" s="2">
        <v>45080</v>
      </c>
      <c r="K957" t="s">
        <v>21</v>
      </c>
    </row>
    <row r="958" spans="1:11" x14ac:dyDescent="0.25">
      <c r="A958" t="s">
        <v>38</v>
      </c>
      <c r="B958" t="s">
        <v>12</v>
      </c>
      <c r="C958">
        <v>40</v>
      </c>
      <c r="D958">
        <v>95</v>
      </c>
      <c r="E958" t="s">
        <v>19</v>
      </c>
      <c r="F958" t="s">
        <v>170</v>
      </c>
      <c r="G958">
        <v>433.82</v>
      </c>
      <c r="H958" t="s">
        <v>20</v>
      </c>
      <c r="I958" s="2">
        <v>45142</v>
      </c>
      <c r="J958" s="2">
        <v>45229</v>
      </c>
      <c r="K958" t="s">
        <v>17</v>
      </c>
    </row>
    <row r="959" spans="1:11" x14ac:dyDescent="0.25">
      <c r="A959" t="s">
        <v>24</v>
      </c>
      <c r="B959" t="s">
        <v>30</v>
      </c>
      <c r="C959">
        <v>62</v>
      </c>
      <c r="D959">
        <v>83</v>
      </c>
      <c r="E959" t="s">
        <v>19</v>
      </c>
      <c r="F959" t="s">
        <v>170</v>
      </c>
      <c r="G959">
        <v>254.07</v>
      </c>
      <c r="H959" t="s">
        <v>14</v>
      </c>
      <c r="I959" s="2">
        <v>45139</v>
      </c>
      <c r="J959" s="2">
        <v>45221</v>
      </c>
      <c r="K959" t="s">
        <v>172</v>
      </c>
    </row>
    <row r="960" spans="1:11" x14ac:dyDescent="0.25">
      <c r="A960" t="s">
        <v>31</v>
      </c>
      <c r="B960" t="s">
        <v>12</v>
      </c>
      <c r="C960">
        <v>43</v>
      </c>
      <c r="D960">
        <v>36</v>
      </c>
      <c r="E960" t="s">
        <v>13</v>
      </c>
      <c r="F960" t="s">
        <v>170</v>
      </c>
      <c r="G960">
        <v>160.07</v>
      </c>
      <c r="H960" t="s">
        <v>14</v>
      </c>
      <c r="I960" s="2">
        <v>45130</v>
      </c>
      <c r="J960" s="2">
        <v>45219</v>
      </c>
      <c r="K960" t="s">
        <v>172</v>
      </c>
    </row>
    <row r="961" spans="1:11" x14ac:dyDescent="0.25">
      <c r="A961" t="s">
        <v>58</v>
      </c>
      <c r="B961" t="s">
        <v>23</v>
      </c>
      <c r="C961">
        <v>199</v>
      </c>
      <c r="D961">
        <v>63</v>
      </c>
      <c r="E961" t="s">
        <v>13</v>
      </c>
      <c r="F961" t="s">
        <v>173</v>
      </c>
      <c r="G961">
        <v>91.24</v>
      </c>
      <c r="H961" t="s">
        <v>20</v>
      </c>
      <c r="I961" s="2">
        <v>44966</v>
      </c>
      <c r="J961" s="2">
        <v>45023</v>
      </c>
    </row>
    <row r="962" spans="1:11" x14ac:dyDescent="0.25">
      <c r="A962" t="s">
        <v>64</v>
      </c>
      <c r="B962" t="s">
        <v>16</v>
      </c>
      <c r="C962">
        <v>194</v>
      </c>
      <c r="D962">
        <v>81</v>
      </c>
      <c r="E962" t="s">
        <v>13</v>
      </c>
      <c r="F962" t="s">
        <v>171</v>
      </c>
      <c r="G962">
        <v>408.79</v>
      </c>
      <c r="H962" t="s">
        <v>26</v>
      </c>
      <c r="I962" s="2">
        <v>45216</v>
      </c>
      <c r="J962" s="2">
        <v>45254</v>
      </c>
    </row>
    <row r="963" spans="1:11" x14ac:dyDescent="0.25">
      <c r="A963" t="s">
        <v>64</v>
      </c>
      <c r="B963" t="s">
        <v>16</v>
      </c>
      <c r="C963">
        <v>167</v>
      </c>
      <c r="D963">
        <v>32</v>
      </c>
      <c r="E963" t="s">
        <v>13</v>
      </c>
      <c r="F963" t="s">
        <v>171</v>
      </c>
      <c r="G963">
        <v>19.649999999999999</v>
      </c>
      <c r="H963" t="s">
        <v>20</v>
      </c>
      <c r="I963" s="2">
        <v>45243</v>
      </c>
      <c r="J963" s="2">
        <v>45264</v>
      </c>
      <c r="K963" t="s">
        <v>17</v>
      </c>
    </row>
    <row r="964" spans="1:11" x14ac:dyDescent="0.25">
      <c r="A964" t="s">
        <v>22</v>
      </c>
      <c r="B964" t="s">
        <v>28</v>
      </c>
      <c r="C964">
        <v>52</v>
      </c>
      <c r="D964">
        <v>81</v>
      </c>
      <c r="E964" t="s">
        <v>19</v>
      </c>
      <c r="F964" t="s">
        <v>170</v>
      </c>
      <c r="G964">
        <v>477.87</v>
      </c>
      <c r="H964" t="s">
        <v>14</v>
      </c>
      <c r="I964" s="2">
        <v>45086</v>
      </c>
      <c r="J964" s="2">
        <v>45133</v>
      </c>
      <c r="K964" t="s">
        <v>17</v>
      </c>
    </row>
    <row r="965" spans="1:11" x14ac:dyDescent="0.25">
      <c r="A965" t="s">
        <v>39</v>
      </c>
      <c r="B965" t="s">
        <v>23</v>
      </c>
      <c r="C965">
        <v>4</v>
      </c>
      <c r="D965">
        <v>47</v>
      </c>
      <c r="E965" t="s">
        <v>19</v>
      </c>
      <c r="F965" t="s">
        <v>173</v>
      </c>
      <c r="G965">
        <v>455.79</v>
      </c>
      <c r="H965" t="s">
        <v>14</v>
      </c>
      <c r="I965" s="2">
        <v>45026</v>
      </c>
      <c r="J965" s="2">
        <v>45081</v>
      </c>
      <c r="K965" t="s">
        <v>172</v>
      </c>
    </row>
    <row r="966" spans="1:11" x14ac:dyDescent="0.25">
      <c r="A966" t="s">
        <v>27</v>
      </c>
      <c r="B966" t="s">
        <v>16</v>
      </c>
      <c r="C966">
        <v>131</v>
      </c>
      <c r="D966">
        <v>25</v>
      </c>
      <c r="E966" t="s">
        <v>13</v>
      </c>
      <c r="F966" t="s">
        <v>173</v>
      </c>
      <c r="G966">
        <v>335.9</v>
      </c>
      <c r="H966" t="s">
        <v>20</v>
      </c>
      <c r="I966" s="2">
        <v>45072</v>
      </c>
      <c r="J966" s="2">
        <v>45120</v>
      </c>
      <c r="K966" t="s">
        <v>17</v>
      </c>
    </row>
    <row r="967" spans="1:11" x14ac:dyDescent="0.25">
      <c r="A967" t="s">
        <v>27</v>
      </c>
      <c r="B967" t="s">
        <v>30</v>
      </c>
      <c r="C967">
        <v>7</v>
      </c>
      <c r="D967">
        <v>83</v>
      </c>
      <c r="E967" t="s">
        <v>19</v>
      </c>
      <c r="F967" t="s">
        <v>170</v>
      </c>
      <c r="G967">
        <v>250.96</v>
      </c>
      <c r="H967" t="s">
        <v>20</v>
      </c>
      <c r="I967" s="2">
        <v>45149</v>
      </c>
      <c r="J967" s="2">
        <v>45197</v>
      </c>
      <c r="K967" t="s">
        <v>17</v>
      </c>
    </row>
    <row r="968" spans="1:11" x14ac:dyDescent="0.25">
      <c r="A968" t="s">
        <v>65</v>
      </c>
      <c r="B968" t="s">
        <v>23</v>
      </c>
      <c r="C968">
        <v>145</v>
      </c>
      <c r="D968">
        <v>60</v>
      </c>
      <c r="E968" t="s">
        <v>13</v>
      </c>
      <c r="F968" t="s">
        <v>173</v>
      </c>
      <c r="G968">
        <v>222.14</v>
      </c>
      <c r="H968" t="s">
        <v>26</v>
      </c>
      <c r="I968" s="2">
        <v>44988</v>
      </c>
      <c r="J968" s="2">
        <v>45034</v>
      </c>
      <c r="K968" t="s">
        <v>17</v>
      </c>
    </row>
    <row r="969" spans="1:11" x14ac:dyDescent="0.25">
      <c r="A969" t="s">
        <v>44</v>
      </c>
      <c r="B969" t="s">
        <v>28</v>
      </c>
      <c r="C969">
        <v>156</v>
      </c>
      <c r="D969">
        <v>50</v>
      </c>
      <c r="E969" t="s">
        <v>13</v>
      </c>
      <c r="F969" t="s">
        <v>170</v>
      </c>
      <c r="G969">
        <v>87.2</v>
      </c>
      <c r="H969" t="s">
        <v>20</v>
      </c>
      <c r="I969" s="2">
        <v>45127</v>
      </c>
      <c r="J969" s="2">
        <v>45144</v>
      </c>
      <c r="K969" t="s">
        <v>21</v>
      </c>
    </row>
    <row r="970" spans="1:11" x14ac:dyDescent="0.25">
      <c r="A970" t="s">
        <v>27</v>
      </c>
      <c r="B970" t="s">
        <v>28</v>
      </c>
      <c r="C970">
        <v>122</v>
      </c>
      <c r="D970">
        <v>21</v>
      </c>
      <c r="E970" t="s">
        <v>13</v>
      </c>
      <c r="F970" t="s">
        <v>171</v>
      </c>
      <c r="G970">
        <v>5.5</v>
      </c>
      <c r="H970" t="s">
        <v>20</v>
      </c>
      <c r="I970" s="2">
        <v>45098</v>
      </c>
      <c r="J970" s="2">
        <v>45162</v>
      </c>
    </row>
    <row r="971" spans="1:11" x14ac:dyDescent="0.25">
      <c r="A971" t="s">
        <v>64</v>
      </c>
      <c r="B971" t="s">
        <v>23</v>
      </c>
      <c r="C971">
        <v>82</v>
      </c>
      <c r="D971">
        <v>34</v>
      </c>
      <c r="E971" t="s">
        <v>13</v>
      </c>
      <c r="F971" t="s">
        <v>173</v>
      </c>
      <c r="G971">
        <v>199.21</v>
      </c>
      <c r="H971" t="s">
        <v>20</v>
      </c>
      <c r="I971" s="2">
        <v>45207</v>
      </c>
      <c r="J971" s="2">
        <v>45236</v>
      </c>
      <c r="K971" t="s">
        <v>172</v>
      </c>
    </row>
    <row r="972" spans="1:11" x14ac:dyDescent="0.25">
      <c r="A972" t="s">
        <v>36</v>
      </c>
      <c r="B972" t="s">
        <v>16</v>
      </c>
      <c r="C972">
        <v>15</v>
      </c>
      <c r="D972">
        <v>91</v>
      </c>
      <c r="E972" t="s">
        <v>19</v>
      </c>
      <c r="F972" t="s">
        <v>173</v>
      </c>
      <c r="G972">
        <v>273.8</v>
      </c>
      <c r="H972" t="s">
        <v>14</v>
      </c>
      <c r="I972" s="2">
        <v>45191</v>
      </c>
      <c r="J972" s="2">
        <v>45266</v>
      </c>
    </row>
    <row r="973" spans="1:11" x14ac:dyDescent="0.25">
      <c r="A973" t="s">
        <v>24</v>
      </c>
      <c r="B973" t="s">
        <v>28</v>
      </c>
      <c r="C973">
        <v>128</v>
      </c>
      <c r="D973">
        <v>91</v>
      </c>
      <c r="E973" t="s">
        <v>13</v>
      </c>
      <c r="F973" t="s">
        <v>170</v>
      </c>
      <c r="G973">
        <v>278.2</v>
      </c>
      <c r="H973" t="s">
        <v>20</v>
      </c>
      <c r="I973" s="2">
        <v>45123</v>
      </c>
      <c r="J973" s="2">
        <v>45163</v>
      </c>
      <c r="K973" t="s">
        <v>172</v>
      </c>
    </row>
    <row r="974" spans="1:11" x14ac:dyDescent="0.25">
      <c r="A974" t="s">
        <v>22</v>
      </c>
      <c r="B974" t="s">
        <v>12</v>
      </c>
      <c r="C974">
        <v>63</v>
      </c>
      <c r="D974">
        <v>62</v>
      </c>
      <c r="E974" t="s">
        <v>13</v>
      </c>
      <c r="F974" t="s">
        <v>170</v>
      </c>
      <c r="G974">
        <v>276.77999999999997</v>
      </c>
      <c r="H974" t="s">
        <v>26</v>
      </c>
      <c r="I974" s="2">
        <v>45178</v>
      </c>
      <c r="J974" s="2">
        <v>45246</v>
      </c>
      <c r="K974" t="s">
        <v>17</v>
      </c>
    </row>
    <row r="975" spans="1:11" x14ac:dyDescent="0.25">
      <c r="A975" t="s">
        <v>60</v>
      </c>
      <c r="B975" t="s">
        <v>12</v>
      </c>
      <c r="C975">
        <v>54</v>
      </c>
      <c r="D975">
        <v>59</v>
      </c>
      <c r="E975" t="s">
        <v>19</v>
      </c>
      <c r="F975" t="s">
        <v>173</v>
      </c>
      <c r="G975">
        <v>26.77</v>
      </c>
      <c r="H975" t="s">
        <v>14</v>
      </c>
      <c r="I975" s="2">
        <v>44986</v>
      </c>
      <c r="J975" s="2">
        <v>45029</v>
      </c>
    </row>
    <row r="976" spans="1:11" x14ac:dyDescent="0.25">
      <c r="A976" t="s">
        <v>60</v>
      </c>
      <c r="B976" t="s">
        <v>30</v>
      </c>
      <c r="C976">
        <v>53</v>
      </c>
      <c r="D976">
        <v>81</v>
      </c>
      <c r="E976" t="s">
        <v>19</v>
      </c>
      <c r="F976" t="s">
        <v>170</v>
      </c>
      <c r="G976">
        <v>118.77</v>
      </c>
      <c r="H976" t="s">
        <v>14</v>
      </c>
      <c r="I976" s="2">
        <v>45178</v>
      </c>
      <c r="J976" s="2">
        <v>45248</v>
      </c>
    </row>
    <row r="977" spans="1:11" x14ac:dyDescent="0.25">
      <c r="A977" t="s">
        <v>64</v>
      </c>
      <c r="B977" t="s">
        <v>12</v>
      </c>
      <c r="C977">
        <v>102</v>
      </c>
      <c r="D977">
        <v>73</v>
      </c>
      <c r="E977" t="s">
        <v>13</v>
      </c>
      <c r="F977" t="s">
        <v>173</v>
      </c>
      <c r="G977">
        <v>146.15</v>
      </c>
      <c r="H977" t="s">
        <v>26</v>
      </c>
      <c r="I977" s="2">
        <v>44940</v>
      </c>
      <c r="J977" s="2">
        <v>44975</v>
      </c>
      <c r="K977" t="s">
        <v>21</v>
      </c>
    </row>
    <row r="978" spans="1:11" x14ac:dyDescent="0.25">
      <c r="A978" t="s">
        <v>37</v>
      </c>
      <c r="B978" t="s">
        <v>28</v>
      </c>
      <c r="C978">
        <v>117</v>
      </c>
      <c r="D978">
        <v>42</v>
      </c>
      <c r="E978" t="s">
        <v>13</v>
      </c>
      <c r="F978" t="s">
        <v>171</v>
      </c>
      <c r="G978">
        <v>486.23</v>
      </c>
      <c r="H978" t="s">
        <v>14</v>
      </c>
      <c r="I978" s="2">
        <v>45195</v>
      </c>
      <c r="J978" s="2">
        <v>45270</v>
      </c>
    </row>
    <row r="979" spans="1:11" x14ac:dyDescent="0.25">
      <c r="A979" t="s">
        <v>35</v>
      </c>
      <c r="B979" t="s">
        <v>12</v>
      </c>
      <c r="C979">
        <v>118</v>
      </c>
      <c r="D979">
        <v>84</v>
      </c>
      <c r="E979" t="s">
        <v>13</v>
      </c>
      <c r="F979" t="s">
        <v>171</v>
      </c>
      <c r="G979">
        <v>332.7</v>
      </c>
      <c r="H979" t="s">
        <v>14</v>
      </c>
      <c r="I979" s="2">
        <v>45138</v>
      </c>
      <c r="J979" s="2">
        <v>45206</v>
      </c>
      <c r="K979" t="s">
        <v>21</v>
      </c>
    </row>
    <row r="980" spans="1:11" x14ac:dyDescent="0.25">
      <c r="A980" t="s">
        <v>54</v>
      </c>
      <c r="B980" t="s">
        <v>23</v>
      </c>
      <c r="C980">
        <v>168</v>
      </c>
      <c r="D980">
        <v>61</v>
      </c>
      <c r="E980" t="s">
        <v>13</v>
      </c>
      <c r="F980" t="s">
        <v>173</v>
      </c>
      <c r="G980">
        <v>262.52</v>
      </c>
      <c r="H980" t="s">
        <v>14</v>
      </c>
      <c r="I980" s="2">
        <v>45211</v>
      </c>
      <c r="J980" s="2">
        <v>45240</v>
      </c>
      <c r="K980" t="s">
        <v>172</v>
      </c>
    </row>
    <row r="981" spans="1:11" x14ac:dyDescent="0.25">
      <c r="A981" t="s">
        <v>25</v>
      </c>
      <c r="B981" t="s">
        <v>12</v>
      </c>
      <c r="C981">
        <v>130</v>
      </c>
      <c r="D981">
        <v>92</v>
      </c>
      <c r="E981" t="s">
        <v>13</v>
      </c>
      <c r="F981" t="s">
        <v>173</v>
      </c>
      <c r="G981">
        <v>341.51</v>
      </c>
      <c r="H981" t="s">
        <v>26</v>
      </c>
      <c r="I981" s="2">
        <v>45184</v>
      </c>
      <c r="J981" s="2">
        <v>45241</v>
      </c>
      <c r="K981" t="s">
        <v>21</v>
      </c>
    </row>
    <row r="982" spans="1:11" x14ac:dyDescent="0.25">
      <c r="A982" t="s">
        <v>48</v>
      </c>
      <c r="B982" t="s">
        <v>30</v>
      </c>
      <c r="C982">
        <v>189</v>
      </c>
      <c r="D982">
        <v>94</v>
      </c>
      <c r="E982" t="s">
        <v>13</v>
      </c>
      <c r="F982" t="s">
        <v>173</v>
      </c>
      <c r="G982">
        <v>42.41</v>
      </c>
      <c r="H982" t="s">
        <v>20</v>
      </c>
      <c r="I982" s="2">
        <v>44989</v>
      </c>
      <c r="J982" s="2">
        <v>45011</v>
      </c>
    </row>
    <row r="983" spans="1:11" x14ac:dyDescent="0.25">
      <c r="A983" t="s">
        <v>66</v>
      </c>
      <c r="B983" t="s">
        <v>30</v>
      </c>
      <c r="C983">
        <v>33</v>
      </c>
      <c r="D983">
        <v>70</v>
      </c>
      <c r="E983" t="s">
        <v>19</v>
      </c>
      <c r="F983" t="s">
        <v>173</v>
      </c>
      <c r="G983">
        <v>212.81</v>
      </c>
      <c r="H983" t="s">
        <v>20</v>
      </c>
      <c r="I983" s="2">
        <v>44927</v>
      </c>
      <c r="J983" s="2">
        <v>45002</v>
      </c>
      <c r="K983" t="s">
        <v>21</v>
      </c>
    </row>
    <row r="984" spans="1:11" x14ac:dyDescent="0.25">
      <c r="A984" t="s">
        <v>57</v>
      </c>
      <c r="B984" t="s">
        <v>23</v>
      </c>
      <c r="C984">
        <v>77</v>
      </c>
      <c r="D984">
        <v>32</v>
      </c>
      <c r="E984" t="s">
        <v>13</v>
      </c>
      <c r="F984" t="s">
        <v>171</v>
      </c>
      <c r="G984">
        <v>174.26</v>
      </c>
      <c r="H984" t="s">
        <v>26</v>
      </c>
      <c r="I984" s="2">
        <v>45286</v>
      </c>
      <c r="J984" s="2">
        <v>45364</v>
      </c>
      <c r="K984" t="s">
        <v>21</v>
      </c>
    </row>
    <row r="985" spans="1:11" x14ac:dyDescent="0.25">
      <c r="A985" t="s">
        <v>64</v>
      </c>
      <c r="B985" t="s">
        <v>28</v>
      </c>
      <c r="C985">
        <v>69</v>
      </c>
      <c r="D985">
        <v>73</v>
      </c>
      <c r="E985" t="s">
        <v>19</v>
      </c>
      <c r="F985" t="s">
        <v>173</v>
      </c>
      <c r="G985">
        <v>452.98</v>
      </c>
      <c r="H985" t="s">
        <v>20</v>
      </c>
      <c r="I985" s="2">
        <v>45045</v>
      </c>
      <c r="J985" s="2">
        <v>45121</v>
      </c>
    </row>
    <row r="986" spans="1:11" x14ac:dyDescent="0.25">
      <c r="A986" t="s">
        <v>41</v>
      </c>
      <c r="B986" t="s">
        <v>16</v>
      </c>
      <c r="C986">
        <v>1</v>
      </c>
      <c r="D986">
        <v>78</v>
      </c>
      <c r="E986" t="s">
        <v>19</v>
      </c>
      <c r="F986" t="s">
        <v>170</v>
      </c>
      <c r="G986">
        <v>90.74</v>
      </c>
      <c r="H986" t="s">
        <v>26</v>
      </c>
      <c r="I986" s="2">
        <v>45242</v>
      </c>
      <c r="J986" s="2">
        <v>45287</v>
      </c>
      <c r="K986" t="s">
        <v>17</v>
      </c>
    </row>
    <row r="987" spans="1:11" x14ac:dyDescent="0.25">
      <c r="A987" t="s">
        <v>39</v>
      </c>
      <c r="B987" t="s">
        <v>12</v>
      </c>
      <c r="C987">
        <v>163</v>
      </c>
      <c r="D987">
        <v>54</v>
      </c>
      <c r="E987" t="s">
        <v>13</v>
      </c>
      <c r="F987" t="s">
        <v>171</v>
      </c>
      <c r="G987">
        <v>477.71</v>
      </c>
      <c r="H987" t="s">
        <v>20</v>
      </c>
      <c r="I987" s="2">
        <v>45106</v>
      </c>
      <c r="J987" s="2">
        <v>45170</v>
      </c>
      <c r="K987" t="s">
        <v>17</v>
      </c>
    </row>
    <row r="988" spans="1:11" x14ac:dyDescent="0.25">
      <c r="A988" t="s">
        <v>48</v>
      </c>
      <c r="B988" t="s">
        <v>30</v>
      </c>
      <c r="C988">
        <v>47</v>
      </c>
      <c r="D988">
        <v>31</v>
      </c>
      <c r="E988" t="s">
        <v>13</v>
      </c>
      <c r="F988" t="s">
        <v>173</v>
      </c>
      <c r="G988">
        <v>403.14</v>
      </c>
      <c r="H988" t="s">
        <v>26</v>
      </c>
      <c r="I988" s="2">
        <v>45184</v>
      </c>
      <c r="J988" s="2">
        <v>45210</v>
      </c>
      <c r="K988" t="s">
        <v>172</v>
      </c>
    </row>
    <row r="989" spans="1:11" x14ac:dyDescent="0.25">
      <c r="A989" t="s">
        <v>29</v>
      </c>
      <c r="B989" t="s">
        <v>30</v>
      </c>
      <c r="C989">
        <v>157</v>
      </c>
      <c r="D989">
        <v>51</v>
      </c>
      <c r="E989" t="s">
        <v>13</v>
      </c>
      <c r="F989" t="s">
        <v>171</v>
      </c>
      <c r="G989">
        <v>165.05</v>
      </c>
      <c r="H989" t="s">
        <v>20</v>
      </c>
      <c r="I989" s="2">
        <v>45176</v>
      </c>
      <c r="J989" s="2">
        <v>45240</v>
      </c>
    </row>
    <row r="990" spans="1:11" x14ac:dyDescent="0.25">
      <c r="A990" t="s">
        <v>11</v>
      </c>
      <c r="B990" t="s">
        <v>12</v>
      </c>
      <c r="C990">
        <v>19</v>
      </c>
      <c r="D990">
        <v>57</v>
      </c>
      <c r="E990" t="s">
        <v>19</v>
      </c>
      <c r="F990" t="s">
        <v>170</v>
      </c>
      <c r="G990">
        <v>461.4</v>
      </c>
      <c r="H990" t="s">
        <v>20</v>
      </c>
      <c r="I990" s="2">
        <v>45287</v>
      </c>
      <c r="J990" s="2">
        <v>45375</v>
      </c>
    </row>
    <row r="991" spans="1:11" x14ac:dyDescent="0.25">
      <c r="A991" t="s">
        <v>42</v>
      </c>
      <c r="B991" t="s">
        <v>16</v>
      </c>
      <c r="C991">
        <v>28</v>
      </c>
      <c r="D991">
        <v>90</v>
      </c>
      <c r="E991" t="s">
        <v>19</v>
      </c>
      <c r="F991" t="s">
        <v>170</v>
      </c>
      <c r="G991">
        <v>148.86000000000001</v>
      </c>
      <c r="H991" t="s">
        <v>20</v>
      </c>
      <c r="I991" s="2">
        <v>45082</v>
      </c>
      <c r="J991" s="2">
        <v>45137</v>
      </c>
      <c r="K991" t="s">
        <v>17</v>
      </c>
    </row>
    <row r="992" spans="1:11" x14ac:dyDescent="0.25">
      <c r="A992" t="s">
        <v>71</v>
      </c>
      <c r="B992" t="s">
        <v>28</v>
      </c>
      <c r="C992">
        <v>1</v>
      </c>
      <c r="D992">
        <v>46</v>
      </c>
      <c r="E992" t="s">
        <v>19</v>
      </c>
      <c r="F992" t="s">
        <v>170</v>
      </c>
      <c r="G992">
        <v>231.06</v>
      </c>
      <c r="H992" t="s">
        <v>26</v>
      </c>
      <c r="I992" s="2">
        <v>44995</v>
      </c>
      <c r="J992" s="2">
        <v>45024</v>
      </c>
      <c r="K992" t="s">
        <v>172</v>
      </c>
    </row>
    <row r="993" spans="1:11" x14ac:dyDescent="0.25">
      <c r="A993" t="s">
        <v>41</v>
      </c>
      <c r="B993" t="s">
        <v>30</v>
      </c>
      <c r="C993">
        <v>122</v>
      </c>
      <c r="D993">
        <v>78</v>
      </c>
      <c r="E993" t="s">
        <v>13</v>
      </c>
      <c r="F993" t="s">
        <v>173</v>
      </c>
      <c r="G993">
        <v>384.58</v>
      </c>
      <c r="H993" t="s">
        <v>14</v>
      </c>
      <c r="I993" s="2">
        <v>45009</v>
      </c>
      <c r="J993" s="2">
        <v>45086</v>
      </c>
      <c r="K993" t="s">
        <v>21</v>
      </c>
    </row>
    <row r="994" spans="1:11" x14ac:dyDescent="0.25">
      <c r="A994" t="s">
        <v>64</v>
      </c>
      <c r="B994" t="s">
        <v>28</v>
      </c>
      <c r="C994">
        <v>106</v>
      </c>
      <c r="D994">
        <v>73</v>
      </c>
      <c r="E994" t="s">
        <v>13</v>
      </c>
      <c r="F994" t="s">
        <v>173</v>
      </c>
      <c r="G994">
        <v>133.88</v>
      </c>
      <c r="H994" t="s">
        <v>20</v>
      </c>
      <c r="I994" s="2">
        <v>45190</v>
      </c>
      <c r="J994" s="2">
        <v>45279</v>
      </c>
      <c r="K994" t="s">
        <v>172</v>
      </c>
    </row>
    <row r="995" spans="1:11" x14ac:dyDescent="0.25">
      <c r="A995" t="s">
        <v>40</v>
      </c>
      <c r="B995" t="s">
        <v>12</v>
      </c>
      <c r="C995">
        <v>20</v>
      </c>
      <c r="D995">
        <v>33</v>
      </c>
      <c r="E995" t="s">
        <v>19</v>
      </c>
      <c r="F995" t="s">
        <v>171</v>
      </c>
      <c r="G995">
        <v>134.62</v>
      </c>
      <c r="H995" t="s">
        <v>20</v>
      </c>
      <c r="I995" s="2">
        <v>44929</v>
      </c>
      <c r="J995" s="2">
        <v>44965</v>
      </c>
      <c r="K995" t="s">
        <v>17</v>
      </c>
    </row>
    <row r="996" spans="1:11" x14ac:dyDescent="0.25">
      <c r="A996" t="s">
        <v>59</v>
      </c>
      <c r="B996" t="s">
        <v>30</v>
      </c>
      <c r="C996">
        <v>193</v>
      </c>
      <c r="D996">
        <v>42</v>
      </c>
      <c r="E996" t="s">
        <v>13</v>
      </c>
      <c r="F996" t="s">
        <v>170</v>
      </c>
      <c r="G996">
        <v>93.9</v>
      </c>
      <c r="H996" t="s">
        <v>20</v>
      </c>
      <c r="I996" s="2">
        <v>45270</v>
      </c>
      <c r="J996" s="2">
        <v>45359</v>
      </c>
      <c r="K996" t="s">
        <v>21</v>
      </c>
    </row>
    <row r="997" spans="1:11" x14ac:dyDescent="0.25">
      <c r="A997" t="s">
        <v>57</v>
      </c>
      <c r="B997" t="s">
        <v>23</v>
      </c>
      <c r="C997">
        <v>128</v>
      </c>
      <c r="D997">
        <v>26</v>
      </c>
      <c r="E997" t="s">
        <v>13</v>
      </c>
      <c r="F997" t="s">
        <v>173</v>
      </c>
      <c r="G997">
        <v>161.09</v>
      </c>
      <c r="H997" t="s">
        <v>14</v>
      </c>
      <c r="I997" s="2">
        <v>45116</v>
      </c>
      <c r="J997" s="2">
        <v>45185</v>
      </c>
      <c r="K997" t="s">
        <v>21</v>
      </c>
    </row>
    <row r="998" spans="1:11" x14ac:dyDescent="0.25">
      <c r="A998" t="s">
        <v>27</v>
      </c>
      <c r="B998" t="s">
        <v>23</v>
      </c>
      <c r="C998">
        <v>58</v>
      </c>
      <c r="D998">
        <v>73</v>
      </c>
      <c r="E998" t="s">
        <v>19</v>
      </c>
      <c r="F998" t="s">
        <v>173</v>
      </c>
      <c r="G998">
        <v>78.849999999999994</v>
      </c>
      <c r="H998" t="s">
        <v>26</v>
      </c>
      <c r="I998" s="2">
        <v>45140</v>
      </c>
      <c r="J998" s="2">
        <v>45175</v>
      </c>
      <c r="K998" t="s">
        <v>172</v>
      </c>
    </row>
    <row r="999" spans="1:11" x14ac:dyDescent="0.25">
      <c r="A999" t="s">
        <v>24</v>
      </c>
      <c r="B999" t="s">
        <v>23</v>
      </c>
      <c r="C999">
        <v>47</v>
      </c>
      <c r="D999">
        <v>96</v>
      </c>
      <c r="E999" t="s">
        <v>19</v>
      </c>
      <c r="F999" t="s">
        <v>171</v>
      </c>
      <c r="G999">
        <v>495.73</v>
      </c>
      <c r="H999" t="s">
        <v>20</v>
      </c>
      <c r="I999" s="2">
        <v>45037</v>
      </c>
      <c r="J999" s="2">
        <v>45117</v>
      </c>
    </row>
    <row r="1000" spans="1:11" x14ac:dyDescent="0.25">
      <c r="A1000" t="s">
        <v>54</v>
      </c>
      <c r="B1000" t="s">
        <v>28</v>
      </c>
      <c r="C1000">
        <v>157</v>
      </c>
      <c r="D1000">
        <v>29</v>
      </c>
      <c r="E1000" t="s">
        <v>13</v>
      </c>
      <c r="F1000" t="s">
        <v>170</v>
      </c>
      <c r="G1000">
        <v>309.51</v>
      </c>
      <c r="H1000" t="s">
        <v>14</v>
      </c>
      <c r="I1000" s="2">
        <v>45203</v>
      </c>
      <c r="J1000" s="2">
        <v>45235</v>
      </c>
      <c r="K1000" t="s">
        <v>172</v>
      </c>
    </row>
    <row r="1001" spans="1:11" x14ac:dyDescent="0.25">
      <c r="A1001" t="s">
        <v>18</v>
      </c>
      <c r="B1001" t="s">
        <v>23</v>
      </c>
      <c r="C1001">
        <v>126</v>
      </c>
      <c r="D1001">
        <v>31</v>
      </c>
      <c r="E1001" t="s">
        <v>13</v>
      </c>
      <c r="F1001" t="s">
        <v>171</v>
      </c>
      <c r="G1001">
        <v>113.94</v>
      </c>
      <c r="H1001" t="s">
        <v>26</v>
      </c>
      <c r="I1001" s="2">
        <v>45160</v>
      </c>
      <c r="J1001" s="2">
        <v>45176</v>
      </c>
      <c r="K1001" t="s">
        <v>172</v>
      </c>
    </row>
    <row r="1002" spans="1:11" x14ac:dyDescent="0.25">
      <c r="A1002" t="s">
        <v>73</v>
      </c>
      <c r="B1002" t="s">
        <v>23</v>
      </c>
      <c r="C1002">
        <v>99</v>
      </c>
      <c r="D1002">
        <v>20</v>
      </c>
      <c r="E1002" t="s">
        <v>13</v>
      </c>
      <c r="F1002" t="s">
        <v>173</v>
      </c>
      <c r="G1002">
        <v>155.58000000000001</v>
      </c>
      <c r="H1002" t="s">
        <v>26</v>
      </c>
      <c r="I1002" s="2">
        <v>45349</v>
      </c>
      <c r="J1002" s="2">
        <v>45419</v>
      </c>
      <c r="K1002" t="s">
        <v>21</v>
      </c>
    </row>
    <row r="1003" spans="1:11" x14ac:dyDescent="0.25">
      <c r="A1003" t="s">
        <v>74</v>
      </c>
      <c r="B1003" t="s">
        <v>28</v>
      </c>
      <c r="C1003">
        <v>67</v>
      </c>
      <c r="D1003">
        <v>27</v>
      </c>
      <c r="E1003" t="s">
        <v>13</v>
      </c>
      <c r="F1003" t="s">
        <v>173</v>
      </c>
      <c r="G1003">
        <v>155.44999999999999</v>
      </c>
      <c r="H1003" t="s">
        <v>14</v>
      </c>
      <c r="I1003" s="2">
        <v>45458</v>
      </c>
      <c r="J1003" s="2">
        <v>45540</v>
      </c>
      <c r="K1003" t="s">
        <v>17</v>
      </c>
    </row>
    <row r="1004" spans="1:11" x14ac:dyDescent="0.25">
      <c r="A1004" t="s">
        <v>75</v>
      </c>
      <c r="B1004" t="s">
        <v>12</v>
      </c>
      <c r="C1004">
        <v>132</v>
      </c>
      <c r="D1004">
        <v>48</v>
      </c>
      <c r="E1004" t="s">
        <v>13</v>
      </c>
      <c r="F1004" t="s">
        <v>171</v>
      </c>
      <c r="G1004">
        <v>119.06</v>
      </c>
      <c r="H1004" t="s">
        <v>14</v>
      </c>
      <c r="I1004" s="2">
        <v>45527</v>
      </c>
      <c r="J1004" s="2">
        <v>45585</v>
      </c>
      <c r="K1004" t="s">
        <v>21</v>
      </c>
    </row>
    <row r="1005" spans="1:11" x14ac:dyDescent="0.25">
      <c r="A1005" t="s">
        <v>76</v>
      </c>
      <c r="B1005" t="s">
        <v>28</v>
      </c>
      <c r="C1005">
        <v>119</v>
      </c>
      <c r="D1005">
        <v>24</v>
      </c>
      <c r="E1005" t="s">
        <v>13</v>
      </c>
      <c r="F1005" t="s">
        <v>171</v>
      </c>
      <c r="G1005">
        <v>5.73</v>
      </c>
      <c r="H1005" t="s">
        <v>14</v>
      </c>
      <c r="I1005" s="2">
        <v>45411</v>
      </c>
      <c r="J1005" s="2">
        <v>45456</v>
      </c>
      <c r="K1005" t="s">
        <v>17</v>
      </c>
    </row>
    <row r="1006" spans="1:11" x14ac:dyDescent="0.25">
      <c r="A1006" t="s">
        <v>77</v>
      </c>
      <c r="B1006" t="s">
        <v>28</v>
      </c>
      <c r="C1006">
        <v>36</v>
      </c>
      <c r="D1006">
        <v>66</v>
      </c>
      <c r="E1006" t="s">
        <v>19</v>
      </c>
      <c r="F1006" t="s">
        <v>170</v>
      </c>
      <c r="G1006">
        <v>366.03</v>
      </c>
      <c r="H1006" t="s">
        <v>26</v>
      </c>
      <c r="I1006" s="2">
        <v>45345</v>
      </c>
      <c r="J1006" s="2">
        <v>45417</v>
      </c>
      <c r="K1006" t="s">
        <v>172</v>
      </c>
    </row>
    <row r="1007" spans="1:11" x14ac:dyDescent="0.25">
      <c r="A1007" t="s">
        <v>78</v>
      </c>
      <c r="B1007" t="s">
        <v>16</v>
      </c>
      <c r="C1007">
        <v>71</v>
      </c>
      <c r="D1007">
        <v>53</v>
      </c>
      <c r="E1007" t="s">
        <v>13</v>
      </c>
      <c r="F1007" t="s">
        <v>173</v>
      </c>
      <c r="G1007">
        <v>483.59</v>
      </c>
      <c r="H1007" t="s">
        <v>14</v>
      </c>
      <c r="I1007" s="2">
        <v>45597</v>
      </c>
      <c r="J1007" s="2">
        <v>45664</v>
      </c>
      <c r="K1007" t="s">
        <v>17</v>
      </c>
    </row>
    <row r="1008" spans="1:11" x14ac:dyDescent="0.25">
      <c r="A1008" t="s">
        <v>79</v>
      </c>
      <c r="B1008" t="s">
        <v>12</v>
      </c>
      <c r="C1008">
        <v>126</v>
      </c>
      <c r="D1008">
        <v>84</v>
      </c>
      <c r="E1008" t="s">
        <v>13</v>
      </c>
      <c r="F1008" t="s">
        <v>170</v>
      </c>
      <c r="G1008">
        <v>116.03</v>
      </c>
      <c r="H1008" t="s">
        <v>14</v>
      </c>
      <c r="I1008" s="2">
        <v>45378</v>
      </c>
      <c r="J1008" s="2">
        <v>45415</v>
      </c>
      <c r="K1008" t="s">
        <v>17</v>
      </c>
    </row>
    <row r="1009" spans="1:11" x14ac:dyDescent="0.25">
      <c r="A1009" t="s">
        <v>80</v>
      </c>
      <c r="B1009" t="s">
        <v>12</v>
      </c>
      <c r="C1009">
        <v>105</v>
      </c>
      <c r="D1009">
        <v>74</v>
      </c>
      <c r="E1009" t="s">
        <v>13</v>
      </c>
      <c r="F1009" t="s">
        <v>170</v>
      </c>
      <c r="G1009">
        <v>333.21</v>
      </c>
      <c r="H1009" t="s">
        <v>20</v>
      </c>
      <c r="I1009" s="2">
        <v>45554</v>
      </c>
      <c r="J1009" s="2">
        <v>45596</v>
      </c>
    </row>
    <row r="1010" spans="1:11" x14ac:dyDescent="0.25">
      <c r="A1010" t="s">
        <v>81</v>
      </c>
      <c r="B1010" t="s">
        <v>12</v>
      </c>
      <c r="C1010">
        <v>91</v>
      </c>
      <c r="D1010">
        <v>62</v>
      </c>
      <c r="E1010" t="s">
        <v>13</v>
      </c>
      <c r="F1010" t="s">
        <v>170</v>
      </c>
      <c r="G1010">
        <v>372.24</v>
      </c>
      <c r="H1010" t="s">
        <v>14</v>
      </c>
      <c r="I1010" s="2">
        <v>45361</v>
      </c>
      <c r="J1010" s="2">
        <v>45391</v>
      </c>
      <c r="K1010" t="s">
        <v>21</v>
      </c>
    </row>
    <row r="1011" spans="1:11" x14ac:dyDescent="0.25">
      <c r="A1011" t="s">
        <v>82</v>
      </c>
      <c r="B1011" t="s">
        <v>28</v>
      </c>
      <c r="C1011">
        <v>30</v>
      </c>
      <c r="D1011">
        <v>93</v>
      </c>
      <c r="E1011" t="s">
        <v>19</v>
      </c>
      <c r="F1011" t="s">
        <v>173</v>
      </c>
      <c r="G1011">
        <v>424.97</v>
      </c>
      <c r="H1011" t="s">
        <v>20</v>
      </c>
      <c r="I1011" s="2">
        <v>45337</v>
      </c>
      <c r="J1011" s="2">
        <v>45388</v>
      </c>
      <c r="K1011" t="s">
        <v>172</v>
      </c>
    </row>
    <row r="1012" spans="1:11" x14ac:dyDescent="0.25">
      <c r="A1012" t="s">
        <v>83</v>
      </c>
      <c r="B1012" t="s">
        <v>23</v>
      </c>
      <c r="C1012">
        <v>121</v>
      </c>
      <c r="D1012">
        <v>49</v>
      </c>
      <c r="E1012" t="s">
        <v>13</v>
      </c>
      <c r="F1012" t="s">
        <v>170</v>
      </c>
      <c r="G1012">
        <v>214.2</v>
      </c>
      <c r="H1012" t="s">
        <v>20</v>
      </c>
      <c r="I1012" s="2">
        <v>45316</v>
      </c>
      <c r="J1012" s="2">
        <v>45351</v>
      </c>
    </row>
    <row r="1013" spans="1:11" x14ac:dyDescent="0.25">
      <c r="A1013" t="s">
        <v>84</v>
      </c>
      <c r="B1013" t="s">
        <v>12</v>
      </c>
      <c r="C1013">
        <v>136</v>
      </c>
      <c r="D1013">
        <v>36</v>
      </c>
      <c r="E1013" t="s">
        <v>13</v>
      </c>
      <c r="F1013" t="s">
        <v>170</v>
      </c>
      <c r="G1013">
        <v>154.94999999999999</v>
      </c>
      <c r="H1013" t="s">
        <v>14</v>
      </c>
      <c r="I1013" s="2">
        <v>45506</v>
      </c>
      <c r="J1013" s="2">
        <v>45537</v>
      </c>
      <c r="K1013" t="s">
        <v>21</v>
      </c>
    </row>
    <row r="1014" spans="1:11" x14ac:dyDescent="0.25">
      <c r="A1014" t="s">
        <v>85</v>
      </c>
      <c r="B1014" t="s">
        <v>28</v>
      </c>
      <c r="C1014">
        <v>50</v>
      </c>
      <c r="D1014">
        <v>45</v>
      </c>
      <c r="E1014" t="s">
        <v>13</v>
      </c>
      <c r="F1014" t="s">
        <v>170</v>
      </c>
      <c r="G1014">
        <v>166.02</v>
      </c>
      <c r="H1014" t="s">
        <v>20</v>
      </c>
      <c r="I1014" s="2">
        <v>45500</v>
      </c>
      <c r="J1014" s="2">
        <v>45551</v>
      </c>
      <c r="K1014" t="s">
        <v>172</v>
      </c>
    </row>
    <row r="1015" spans="1:11" x14ac:dyDescent="0.25">
      <c r="A1015" t="s">
        <v>86</v>
      </c>
      <c r="B1015" t="s">
        <v>16</v>
      </c>
      <c r="C1015">
        <v>28</v>
      </c>
      <c r="D1015">
        <v>27</v>
      </c>
      <c r="E1015" t="s">
        <v>13</v>
      </c>
      <c r="F1015" t="s">
        <v>170</v>
      </c>
      <c r="G1015">
        <v>357.75</v>
      </c>
      <c r="H1015" t="s">
        <v>26</v>
      </c>
      <c r="I1015" s="2">
        <v>45451</v>
      </c>
      <c r="J1015" s="2">
        <v>45484</v>
      </c>
      <c r="K1015" t="s">
        <v>172</v>
      </c>
    </row>
    <row r="1016" spans="1:11" x14ac:dyDescent="0.25">
      <c r="A1016" t="s">
        <v>43</v>
      </c>
      <c r="B1016" t="s">
        <v>23</v>
      </c>
      <c r="C1016">
        <v>39</v>
      </c>
      <c r="D1016">
        <v>66</v>
      </c>
      <c r="E1016" t="s">
        <v>19</v>
      </c>
      <c r="F1016" t="s">
        <v>170</v>
      </c>
      <c r="G1016">
        <v>409.31</v>
      </c>
      <c r="H1016" t="s">
        <v>26</v>
      </c>
      <c r="I1016" s="2">
        <v>45478</v>
      </c>
      <c r="J1016" s="2">
        <v>45522</v>
      </c>
      <c r="K1016" t="s">
        <v>172</v>
      </c>
    </row>
    <row r="1017" spans="1:11" x14ac:dyDescent="0.25">
      <c r="A1017" t="s">
        <v>87</v>
      </c>
      <c r="B1017" t="s">
        <v>16</v>
      </c>
      <c r="C1017">
        <v>40</v>
      </c>
      <c r="D1017">
        <v>95</v>
      </c>
      <c r="E1017" t="s">
        <v>19</v>
      </c>
      <c r="F1017" t="s">
        <v>170</v>
      </c>
      <c r="G1017">
        <v>94.9</v>
      </c>
      <c r="H1017" t="s">
        <v>14</v>
      </c>
      <c r="I1017" s="2">
        <v>45460</v>
      </c>
      <c r="J1017" s="2">
        <v>45519</v>
      </c>
      <c r="K1017" t="s">
        <v>21</v>
      </c>
    </row>
    <row r="1018" spans="1:11" x14ac:dyDescent="0.25">
      <c r="A1018" t="s">
        <v>88</v>
      </c>
      <c r="B1018" t="s">
        <v>23</v>
      </c>
      <c r="C1018">
        <v>10</v>
      </c>
      <c r="D1018">
        <v>91</v>
      </c>
      <c r="E1018" t="s">
        <v>19</v>
      </c>
      <c r="F1018" t="s">
        <v>173</v>
      </c>
      <c r="G1018">
        <v>188.62</v>
      </c>
      <c r="H1018" t="s">
        <v>26</v>
      </c>
      <c r="I1018" s="2">
        <v>45434</v>
      </c>
      <c r="J1018" s="2">
        <v>45466</v>
      </c>
      <c r="K1018" t="s">
        <v>172</v>
      </c>
    </row>
    <row r="1019" spans="1:11" x14ac:dyDescent="0.25">
      <c r="A1019" t="s">
        <v>89</v>
      </c>
      <c r="B1019" t="s">
        <v>28</v>
      </c>
      <c r="C1019">
        <v>150</v>
      </c>
      <c r="D1019">
        <v>65</v>
      </c>
      <c r="E1019" t="s">
        <v>13</v>
      </c>
      <c r="F1019" t="s">
        <v>170</v>
      </c>
      <c r="G1019">
        <v>451.46</v>
      </c>
      <c r="H1019" t="s">
        <v>20</v>
      </c>
      <c r="I1019" s="2">
        <v>45568</v>
      </c>
      <c r="J1019" s="2">
        <v>45644</v>
      </c>
      <c r="K1019" t="s">
        <v>172</v>
      </c>
    </row>
    <row r="1020" spans="1:11" x14ac:dyDescent="0.25">
      <c r="A1020" t="s">
        <v>90</v>
      </c>
      <c r="B1020" t="s">
        <v>30</v>
      </c>
      <c r="C1020">
        <v>0</v>
      </c>
      <c r="D1020">
        <v>87</v>
      </c>
      <c r="E1020" t="s">
        <v>19</v>
      </c>
      <c r="F1020" t="s">
        <v>171</v>
      </c>
      <c r="G1020">
        <v>404.31</v>
      </c>
      <c r="H1020" t="s">
        <v>26</v>
      </c>
      <c r="I1020" s="2">
        <v>45370</v>
      </c>
      <c r="J1020" s="2">
        <v>45420</v>
      </c>
    </row>
    <row r="1021" spans="1:11" x14ac:dyDescent="0.25">
      <c r="A1021" t="s">
        <v>91</v>
      </c>
      <c r="B1021" t="s">
        <v>23</v>
      </c>
      <c r="C1021">
        <v>45</v>
      </c>
      <c r="D1021">
        <v>52</v>
      </c>
      <c r="E1021" t="s">
        <v>19</v>
      </c>
      <c r="F1021" t="s">
        <v>170</v>
      </c>
      <c r="G1021">
        <v>492.5</v>
      </c>
      <c r="H1021" t="s">
        <v>14</v>
      </c>
      <c r="I1021" s="2">
        <v>45381</v>
      </c>
      <c r="J1021" s="2">
        <v>45447</v>
      </c>
      <c r="K1021" t="s">
        <v>17</v>
      </c>
    </row>
    <row r="1022" spans="1:11" x14ac:dyDescent="0.25">
      <c r="A1022" t="s">
        <v>92</v>
      </c>
      <c r="B1022" t="s">
        <v>16</v>
      </c>
      <c r="C1022">
        <v>100</v>
      </c>
      <c r="D1022">
        <v>20</v>
      </c>
      <c r="E1022" t="s">
        <v>13</v>
      </c>
      <c r="F1022" t="s">
        <v>170</v>
      </c>
      <c r="G1022">
        <v>378.35</v>
      </c>
      <c r="H1022" t="s">
        <v>14</v>
      </c>
      <c r="I1022" s="2">
        <v>45421</v>
      </c>
      <c r="J1022" s="2">
        <v>45454</v>
      </c>
      <c r="K1022" t="s">
        <v>21</v>
      </c>
    </row>
    <row r="1023" spans="1:11" x14ac:dyDescent="0.25">
      <c r="A1023" t="s">
        <v>93</v>
      </c>
      <c r="B1023" t="s">
        <v>28</v>
      </c>
      <c r="C1023">
        <v>148</v>
      </c>
      <c r="D1023">
        <v>38</v>
      </c>
      <c r="E1023" t="s">
        <v>13</v>
      </c>
      <c r="F1023" t="s">
        <v>173</v>
      </c>
      <c r="G1023">
        <v>199.63</v>
      </c>
      <c r="H1023" t="s">
        <v>20</v>
      </c>
      <c r="I1023" s="2">
        <v>45474</v>
      </c>
      <c r="J1023" s="2">
        <v>45532</v>
      </c>
      <c r="K1023" t="s">
        <v>17</v>
      </c>
    </row>
    <row r="1024" spans="1:11" x14ac:dyDescent="0.25">
      <c r="A1024" t="s">
        <v>94</v>
      </c>
      <c r="B1024" t="s">
        <v>23</v>
      </c>
      <c r="C1024">
        <v>89</v>
      </c>
      <c r="D1024">
        <v>50</v>
      </c>
      <c r="E1024" t="s">
        <v>13</v>
      </c>
      <c r="F1024" t="s">
        <v>173</v>
      </c>
      <c r="G1024">
        <v>297.37</v>
      </c>
      <c r="H1024" t="s">
        <v>14</v>
      </c>
      <c r="I1024" s="2">
        <v>45448</v>
      </c>
      <c r="J1024" s="2">
        <v>45469</v>
      </c>
    </row>
    <row r="1025" spans="1:11" x14ac:dyDescent="0.25">
      <c r="A1025" t="s">
        <v>95</v>
      </c>
      <c r="B1025" t="s">
        <v>30</v>
      </c>
      <c r="C1025">
        <v>109</v>
      </c>
      <c r="D1025">
        <v>99</v>
      </c>
      <c r="E1025" t="s">
        <v>13</v>
      </c>
      <c r="F1025" t="s">
        <v>171</v>
      </c>
      <c r="G1025">
        <v>332.2</v>
      </c>
      <c r="H1025" t="s">
        <v>26</v>
      </c>
      <c r="I1025" s="2">
        <v>45527</v>
      </c>
      <c r="J1025" s="2">
        <v>45585</v>
      </c>
      <c r="K1025" t="s">
        <v>17</v>
      </c>
    </row>
    <row r="1026" spans="1:11" x14ac:dyDescent="0.25">
      <c r="A1026" t="s">
        <v>86</v>
      </c>
      <c r="B1026" t="s">
        <v>30</v>
      </c>
      <c r="C1026">
        <v>163</v>
      </c>
      <c r="D1026">
        <v>33</v>
      </c>
      <c r="E1026" t="s">
        <v>13</v>
      </c>
      <c r="F1026" t="s">
        <v>171</v>
      </c>
      <c r="G1026">
        <v>43.84</v>
      </c>
      <c r="H1026" t="s">
        <v>14</v>
      </c>
      <c r="I1026" s="2">
        <v>45504</v>
      </c>
      <c r="J1026" s="2">
        <v>45586</v>
      </c>
      <c r="K1026" t="s">
        <v>172</v>
      </c>
    </row>
    <row r="1027" spans="1:11" x14ac:dyDescent="0.25">
      <c r="A1027" t="s">
        <v>85</v>
      </c>
      <c r="B1027" t="s">
        <v>12</v>
      </c>
      <c r="C1027">
        <v>181</v>
      </c>
      <c r="D1027">
        <v>72</v>
      </c>
      <c r="E1027" t="s">
        <v>13</v>
      </c>
      <c r="F1027" t="s">
        <v>173</v>
      </c>
      <c r="G1027">
        <v>274.52999999999997</v>
      </c>
      <c r="H1027" t="s">
        <v>20</v>
      </c>
      <c r="I1027" s="2">
        <v>45644</v>
      </c>
      <c r="J1027" s="2">
        <v>45692</v>
      </c>
      <c r="K1027" t="s">
        <v>172</v>
      </c>
    </row>
    <row r="1028" spans="1:11" x14ac:dyDescent="0.25">
      <c r="A1028" t="s">
        <v>96</v>
      </c>
      <c r="B1028" t="s">
        <v>12</v>
      </c>
      <c r="C1028">
        <v>56</v>
      </c>
      <c r="D1028">
        <v>67</v>
      </c>
      <c r="E1028" t="s">
        <v>19</v>
      </c>
      <c r="F1028" t="s">
        <v>173</v>
      </c>
      <c r="G1028">
        <v>356.11</v>
      </c>
      <c r="H1028" t="s">
        <v>14</v>
      </c>
      <c r="I1028" s="2">
        <v>45535</v>
      </c>
      <c r="J1028" s="2">
        <v>45615</v>
      </c>
      <c r="K1028" t="s">
        <v>21</v>
      </c>
    </row>
    <row r="1029" spans="1:11" x14ac:dyDescent="0.25">
      <c r="A1029" t="s">
        <v>97</v>
      </c>
      <c r="B1029" t="s">
        <v>16</v>
      </c>
      <c r="C1029">
        <v>0</v>
      </c>
      <c r="D1029">
        <v>88</v>
      </c>
      <c r="E1029" t="s">
        <v>19</v>
      </c>
      <c r="F1029" t="s">
        <v>170</v>
      </c>
      <c r="G1029">
        <v>87.82</v>
      </c>
      <c r="H1029" t="s">
        <v>26</v>
      </c>
      <c r="I1029" s="2">
        <v>45298</v>
      </c>
      <c r="J1029" s="2">
        <v>45381</v>
      </c>
      <c r="K1029" t="s">
        <v>21</v>
      </c>
    </row>
    <row r="1030" spans="1:11" x14ac:dyDescent="0.25">
      <c r="A1030" t="s">
        <v>88</v>
      </c>
      <c r="B1030" t="s">
        <v>23</v>
      </c>
      <c r="C1030">
        <v>62</v>
      </c>
      <c r="D1030">
        <v>81</v>
      </c>
      <c r="E1030" t="s">
        <v>19</v>
      </c>
      <c r="F1030" t="s">
        <v>173</v>
      </c>
      <c r="G1030">
        <v>391.41</v>
      </c>
      <c r="H1030" t="s">
        <v>20</v>
      </c>
      <c r="I1030" s="2">
        <v>45437</v>
      </c>
      <c r="J1030" s="2">
        <v>45506</v>
      </c>
      <c r="K1030" t="s">
        <v>21</v>
      </c>
    </row>
    <row r="1031" spans="1:11" x14ac:dyDescent="0.25">
      <c r="A1031" t="s">
        <v>88</v>
      </c>
      <c r="B1031" t="s">
        <v>23</v>
      </c>
      <c r="C1031">
        <v>181</v>
      </c>
      <c r="D1031">
        <v>85</v>
      </c>
      <c r="E1031" t="s">
        <v>13</v>
      </c>
      <c r="F1031" t="s">
        <v>171</v>
      </c>
      <c r="G1031">
        <v>293.97000000000003</v>
      </c>
      <c r="H1031" t="s">
        <v>26</v>
      </c>
      <c r="I1031" s="2">
        <v>45551</v>
      </c>
      <c r="J1031" s="2">
        <v>45575</v>
      </c>
    </row>
    <row r="1032" spans="1:11" x14ac:dyDescent="0.25">
      <c r="A1032" t="s">
        <v>98</v>
      </c>
      <c r="B1032" t="s">
        <v>12</v>
      </c>
      <c r="C1032">
        <v>54</v>
      </c>
      <c r="D1032">
        <v>83</v>
      </c>
      <c r="E1032" t="s">
        <v>19</v>
      </c>
      <c r="F1032" t="s">
        <v>170</v>
      </c>
      <c r="G1032">
        <v>476.35</v>
      </c>
      <c r="H1032" t="s">
        <v>20</v>
      </c>
      <c r="I1032" s="2">
        <v>45587</v>
      </c>
      <c r="J1032" s="2">
        <v>45643</v>
      </c>
      <c r="K1032" t="s">
        <v>21</v>
      </c>
    </row>
    <row r="1033" spans="1:11" x14ac:dyDescent="0.25">
      <c r="A1033" t="s">
        <v>99</v>
      </c>
      <c r="B1033" t="s">
        <v>23</v>
      </c>
      <c r="C1033">
        <v>114</v>
      </c>
      <c r="D1033">
        <v>89</v>
      </c>
      <c r="E1033" t="s">
        <v>13</v>
      </c>
      <c r="F1033" t="s">
        <v>171</v>
      </c>
      <c r="G1033">
        <v>26</v>
      </c>
      <c r="H1033" t="s">
        <v>14</v>
      </c>
      <c r="I1033" s="2">
        <v>45462</v>
      </c>
      <c r="J1033" s="2">
        <v>45517</v>
      </c>
    </row>
    <row r="1034" spans="1:11" x14ac:dyDescent="0.25">
      <c r="A1034" t="s">
        <v>76</v>
      </c>
      <c r="B1034" t="s">
        <v>23</v>
      </c>
      <c r="C1034">
        <v>167</v>
      </c>
      <c r="D1034">
        <v>82</v>
      </c>
      <c r="E1034" t="s">
        <v>13</v>
      </c>
      <c r="F1034" t="s">
        <v>170</v>
      </c>
      <c r="G1034">
        <v>136.34</v>
      </c>
      <c r="H1034" t="s">
        <v>20</v>
      </c>
      <c r="I1034" s="2">
        <v>45471</v>
      </c>
      <c r="J1034" s="2">
        <v>45554</v>
      </c>
      <c r="K1034" t="s">
        <v>172</v>
      </c>
    </row>
    <row r="1035" spans="1:11" x14ac:dyDescent="0.25">
      <c r="A1035" t="s">
        <v>92</v>
      </c>
      <c r="B1035" t="s">
        <v>30</v>
      </c>
      <c r="C1035">
        <v>142</v>
      </c>
      <c r="D1035">
        <v>92</v>
      </c>
      <c r="E1035" t="s">
        <v>13</v>
      </c>
      <c r="F1035" t="s">
        <v>173</v>
      </c>
      <c r="G1035">
        <v>302.77</v>
      </c>
      <c r="H1035" t="s">
        <v>20</v>
      </c>
      <c r="I1035" s="2">
        <v>45558</v>
      </c>
      <c r="J1035" s="2">
        <v>45582</v>
      </c>
      <c r="K1035" t="s">
        <v>17</v>
      </c>
    </row>
    <row r="1036" spans="1:11" x14ac:dyDescent="0.25">
      <c r="A1036" t="s">
        <v>100</v>
      </c>
      <c r="B1036" t="s">
        <v>12</v>
      </c>
      <c r="C1036">
        <v>148</v>
      </c>
      <c r="D1036">
        <v>52</v>
      </c>
      <c r="E1036" t="s">
        <v>13</v>
      </c>
      <c r="F1036" t="s">
        <v>171</v>
      </c>
      <c r="G1036">
        <v>151.80000000000001</v>
      </c>
      <c r="H1036" t="s">
        <v>14</v>
      </c>
      <c r="I1036" s="2">
        <v>45575</v>
      </c>
      <c r="J1036" s="2">
        <v>45599</v>
      </c>
      <c r="K1036" t="s">
        <v>172</v>
      </c>
    </row>
    <row r="1037" spans="1:11" x14ac:dyDescent="0.25">
      <c r="A1037" t="s">
        <v>75</v>
      </c>
      <c r="B1037" t="s">
        <v>28</v>
      </c>
      <c r="C1037">
        <v>174</v>
      </c>
      <c r="D1037">
        <v>60</v>
      </c>
      <c r="E1037" t="s">
        <v>13</v>
      </c>
      <c r="F1037" t="s">
        <v>170</v>
      </c>
      <c r="G1037">
        <v>358.64</v>
      </c>
      <c r="H1037" t="s">
        <v>26</v>
      </c>
      <c r="I1037" s="2">
        <v>45582</v>
      </c>
      <c r="J1037" s="2">
        <v>45656</v>
      </c>
      <c r="K1037" t="s">
        <v>172</v>
      </c>
    </row>
    <row r="1038" spans="1:11" x14ac:dyDescent="0.25">
      <c r="A1038" t="s">
        <v>101</v>
      </c>
      <c r="B1038" t="s">
        <v>12</v>
      </c>
      <c r="C1038">
        <v>52</v>
      </c>
      <c r="D1038">
        <v>67</v>
      </c>
      <c r="E1038" t="s">
        <v>19</v>
      </c>
      <c r="F1038" t="s">
        <v>170</v>
      </c>
      <c r="G1038">
        <v>380.71</v>
      </c>
      <c r="H1038" t="s">
        <v>14</v>
      </c>
      <c r="I1038" s="2">
        <v>45317</v>
      </c>
      <c r="J1038" s="2">
        <v>45382</v>
      </c>
      <c r="K1038" t="s">
        <v>172</v>
      </c>
    </row>
    <row r="1039" spans="1:11" x14ac:dyDescent="0.25">
      <c r="A1039" t="s">
        <v>98</v>
      </c>
      <c r="B1039" t="s">
        <v>28</v>
      </c>
      <c r="C1039">
        <v>136</v>
      </c>
      <c r="D1039">
        <v>32</v>
      </c>
      <c r="E1039" t="s">
        <v>13</v>
      </c>
      <c r="F1039" t="s">
        <v>173</v>
      </c>
      <c r="G1039">
        <v>55.75</v>
      </c>
      <c r="H1039" t="s">
        <v>20</v>
      </c>
      <c r="I1039" s="2">
        <v>45465</v>
      </c>
      <c r="J1039" s="2">
        <v>45500</v>
      </c>
      <c r="K1039" t="s">
        <v>21</v>
      </c>
    </row>
    <row r="1040" spans="1:11" x14ac:dyDescent="0.25">
      <c r="A1040" t="s">
        <v>102</v>
      </c>
      <c r="B1040" t="s">
        <v>30</v>
      </c>
      <c r="C1040">
        <v>179</v>
      </c>
      <c r="D1040">
        <v>92</v>
      </c>
      <c r="E1040" t="s">
        <v>13</v>
      </c>
      <c r="F1040" t="s">
        <v>173</v>
      </c>
      <c r="G1040">
        <v>259.36</v>
      </c>
      <c r="H1040" t="s">
        <v>14</v>
      </c>
      <c r="I1040" s="2">
        <v>45332</v>
      </c>
      <c r="J1040" s="2">
        <v>45354</v>
      </c>
      <c r="K1040" t="s">
        <v>21</v>
      </c>
    </row>
    <row r="1041" spans="1:11" x14ac:dyDescent="0.25">
      <c r="A1041" t="s">
        <v>103</v>
      </c>
      <c r="B1041" t="s">
        <v>16</v>
      </c>
      <c r="C1041">
        <v>56</v>
      </c>
      <c r="D1041">
        <v>96</v>
      </c>
      <c r="E1041" t="s">
        <v>19</v>
      </c>
      <c r="F1041" t="s">
        <v>173</v>
      </c>
      <c r="G1041">
        <v>256.89999999999998</v>
      </c>
      <c r="H1041" t="s">
        <v>20</v>
      </c>
      <c r="I1041" s="2">
        <v>45443</v>
      </c>
      <c r="J1041" s="2">
        <v>45522</v>
      </c>
      <c r="K1041" t="s">
        <v>21</v>
      </c>
    </row>
    <row r="1042" spans="1:11" x14ac:dyDescent="0.25">
      <c r="A1042" t="s">
        <v>104</v>
      </c>
      <c r="B1042" t="s">
        <v>23</v>
      </c>
      <c r="C1042">
        <v>116</v>
      </c>
      <c r="D1042">
        <v>50</v>
      </c>
      <c r="E1042" t="s">
        <v>13</v>
      </c>
      <c r="F1042" t="s">
        <v>171</v>
      </c>
      <c r="G1042">
        <v>187.79</v>
      </c>
      <c r="H1042" t="s">
        <v>14</v>
      </c>
      <c r="I1042" s="2">
        <v>45342</v>
      </c>
      <c r="J1042" s="2">
        <v>45386</v>
      </c>
      <c r="K1042" t="s">
        <v>17</v>
      </c>
    </row>
    <row r="1043" spans="1:11" x14ac:dyDescent="0.25">
      <c r="A1043" t="s">
        <v>105</v>
      </c>
      <c r="B1043" t="s">
        <v>30</v>
      </c>
      <c r="C1043">
        <v>153</v>
      </c>
      <c r="D1043">
        <v>94</v>
      </c>
      <c r="E1043" t="s">
        <v>13</v>
      </c>
      <c r="F1043" t="s">
        <v>170</v>
      </c>
      <c r="G1043">
        <v>466.8</v>
      </c>
      <c r="H1043" t="s">
        <v>14</v>
      </c>
      <c r="I1043" s="2">
        <v>45339</v>
      </c>
      <c r="J1043" s="2">
        <v>45402</v>
      </c>
      <c r="K1043" t="s">
        <v>21</v>
      </c>
    </row>
    <row r="1044" spans="1:11" x14ac:dyDescent="0.25">
      <c r="A1044" t="s">
        <v>106</v>
      </c>
      <c r="B1044" t="s">
        <v>23</v>
      </c>
      <c r="C1044">
        <v>168</v>
      </c>
      <c r="D1044">
        <v>87</v>
      </c>
      <c r="E1044" t="s">
        <v>13</v>
      </c>
      <c r="F1044" t="s">
        <v>173</v>
      </c>
      <c r="G1044">
        <v>414.62</v>
      </c>
      <c r="H1044" t="s">
        <v>26</v>
      </c>
      <c r="I1044" s="2">
        <v>45513</v>
      </c>
      <c r="J1044" s="2">
        <v>45536</v>
      </c>
    </row>
    <row r="1045" spans="1:11" x14ac:dyDescent="0.25">
      <c r="A1045" t="s">
        <v>72</v>
      </c>
      <c r="B1045" t="s">
        <v>16</v>
      </c>
      <c r="C1045">
        <v>34</v>
      </c>
      <c r="D1045">
        <v>23</v>
      </c>
      <c r="E1045" t="s">
        <v>13</v>
      </c>
      <c r="F1045" t="s">
        <v>171</v>
      </c>
      <c r="G1045">
        <v>350.12</v>
      </c>
      <c r="H1045" t="s">
        <v>20</v>
      </c>
      <c r="I1045" s="2">
        <v>45441</v>
      </c>
      <c r="J1045" s="2">
        <v>45472</v>
      </c>
      <c r="K1045" t="s">
        <v>172</v>
      </c>
    </row>
    <row r="1046" spans="1:11" x14ac:dyDescent="0.25">
      <c r="A1046" t="s">
        <v>107</v>
      </c>
      <c r="B1046" t="s">
        <v>16</v>
      </c>
      <c r="C1046">
        <v>62</v>
      </c>
      <c r="D1046">
        <v>38</v>
      </c>
      <c r="E1046" t="s">
        <v>13</v>
      </c>
      <c r="F1046" t="s">
        <v>171</v>
      </c>
      <c r="G1046">
        <v>358.59</v>
      </c>
      <c r="H1046" t="s">
        <v>26</v>
      </c>
      <c r="I1046" s="2">
        <v>45296</v>
      </c>
      <c r="J1046" s="2">
        <v>45379</v>
      </c>
      <c r="K1046" t="s">
        <v>17</v>
      </c>
    </row>
    <row r="1047" spans="1:11" x14ac:dyDescent="0.25">
      <c r="A1047" t="s">
        <v>108</v>
      </c>
      <c r="B1047" t="s">
        <v>30</v>
      </c>
      <c r="C1047">
        <v>24</v>
      </c>
      <c r="D1047">
        <v>89</v>
      </c>
      <c r="E1047" t="s">
        <v>19</v>
      </c>
      <c r="F1047" t="s">
        <v>171</v>
      </c>
      <c r="G1047">
        <v>233.55</v>
      </c>
      <c r="H1047" t="s">
        <v>20</v>
      </c>
      <c r="I1047" s="2">
        <v>45333</v>
      </c>
      <c r="J1047" s="2">
        <v>45405</v>
      </c>
      <c r="K1047" t="s">
        <v>17</v>
      </c>
    </row>
    <row r="1048" spans="1:11" x14ac:dyDescent="0.25">
      <c r="A1048" t="s">
        <v>98</v>
      </c>
      <c r="B1048" t="s">
        <v>16</v>
      </c>
      <c r="C1048">
        <v>89</v>
      </c>
      <c r="D1048">
        <v>32</v>
      </c>
      <c r="E1048" t="s">
        <v>13</v>
      </c>
      <c r="F1048" t="s">
        <v>173</v>
      </c>
      <c r="G1048">
        <v>460.89</v>
      </c>
      <c r="H1048" t="s">
        <v>14</v>
      </c>
      <c r="I1048" s="2">
        <v>45642</v>
      </c>
      <c r="J1048" s="2">
        <v>45713</v>
      </c>
      <c r="K1048" t="s">
        <v>17</v>
      </c>
    </row>
    <row r="1049" spans="1:11" x14ac:dyDescent="0.25">
      <c r="A1049" t="s">
        <v>78</v>
      </c>
      <c r="B1049" t="s">
        <v>28</v>
      </c>
      <c r="C1049">
        <v>74</v>
      </c>
      <c r="D1049">
        <v>42</v>
      </c>
      <c r="E1049" t="s">
        <v>13</v>
      </c>
      <c r="F1049" t="s">
        <v>173</v>
      </c>
      <c r="G1049">
        <v>348.82</v>
      </c>
      <c r="H1049" t="s">
        <v>20</v>
      </c>
      <c r="I1049" s="2">
        <v>45440</v>
      </c>
      <c r="J1049" s="2">
        <v>45516</v>
      </c>
      <c r="K1049" t="s">
        <v>17</v>
      </c>
    </row>
    <row r="1050" spans="1:11" x14ac:dyDescent="0.25">
      <c r="A1050" t="s">
        <v>109</v>
      </c>
      <c r="B1050" t="s">
        <v>16</v>
      </c>
      <c r="C1050">
        <v>37</v>
      </c>
      <c r="D1050">
        <v>94</v>
      </c>
      <c r="E1050" t="s">
        <v>19</v>
      </c>
      <c r="F1050" t="s">
        <v>170</v>
      </c>
      <c r="G1050">
        <v>365.85</v>
      </c>
      <c r="H1050" t="s">
        <v>26</v>
      </c>
      <c r="I1050" s="2">
        <v>45622</v>
      </c>
      <c r="J1050" s="2">
        <v>45688</v>
      </c>
      <c r="K1050" t="s">
        <v>17</v>
      </c>
    </row>
    <row r="1051" spans="1:11" x14ac:dyDescent="0.25">
      <c r="A1051" t="s">
        <v>110</v>
      </c>
      <c r="B1051" t="s">
        <v>23</v>
      </c>
      <c r="C1051">
        <v>129</v>
      </c>
      <c r="D1051">
        <v>20</v>
      </c>
      <c r="E1051" t="s">
        <v>13</v>
      </c>
      <c r="F1051" t="s">
        <v>170</v>
      </c>
      <c r="G1051">
        <v>431.54</v>
      </c>
      <c r="H1051" t="s">
        <v>26</v>
      </c>
      <c r="I1051" s="2">
        <v>45474</v>
      </c>
      <c r="J1051" s="2">
        <v>45549</v>
      </c>
    </row>
    <row r="1052" spans="1:11" x14ac:dyDescent="0.25">
      <c r="A1052" t="s">
        <v>111</v>
      </c>
      <c r="B1052" t="s">
        <v>23</v>
      </c>
      <c r="C1052">
        <v>134</v>
      </c>
      <c r="D1052">
        <v>73</v>
      </c>
      <c r="E1052" t="s">
        <v>13</v>
      </c>
      <c r="F1052" t="s">
        <v>173</v>
      </c>
      <c r="G1052">
        <v>140.66999999999999</v>
      </c>
      <c r="H1052" t="s">
        <v>26</v>
      </c>
      <c r="I1052" s="2">
        <v>45387</v>
      </c>
      <c r="J1052" s="2">
        <v>45441</v>
      </c>
      <c r="K1052" t="s">
        <v>172</v>
      </c>
    </row>
    <row r="1053" spans="1:11" x14ac:dyDescent="0.25">
      <c r="A1053" t="s">
        <v>79</v>
      </c>
      <c r="B1053" t="s">
        <v>23</v>
      </c>
      <c r="C1053">
        <v>161</v>
      </c>
      <c r="D1053">
        <v>90</v>
      </c>
      <c r="E1053" t="s">
        <v>13</v>
      </c>
      <c r="F1053" t="s">
        <v>171</v>
      </c>
      <c r="G1053">
        <v>404.5</v>
      </c>
      <c r="H1053" t="s">
        <v>20</v>
      </c>
      <c r="I1053" s="2">
        <v>45299</v>
      </c>
      <c r="J1053" s="2">
        <v>45351</v>
      </c>
      <c r="K1053" t="s">
        <v>17</v>
      </c>
    </row>
    <row r="1054" spans="1:11" x14ac:dyDescent="0.25">
      <c r="A1054" t="s">
        <v>112</v>
      </c>
      <c r="B1054" t="s">
        <v>23</v>
      </c>
      <c r="C1054">
        <v>90</v>
      </c>
      <c r="D1054">
        <v>34</v>
      </c>
      <c r="E1054" t="s">
        <v>13</v>
      </c>
      <c r="F1054" t="s">
        <v>171</v>
      </c>
      <c r="G1054">
        <v>101.64</v>
      </c>
      <c r="H1054" t="s">
        <v>26</v>
      </c>
      <c r="I1054" s="2">
        <v>45557</v>
      </c>
      <c r="J1054" s="2">
        <v>45614</v>
      </c>
      <c r="K1054" t="s">
        <v>172</v>
      </c>
    </row>
    <row r="1055" spans="1:11" x14ac:dyDescent="0.25">
      <c r="A1055" t="s">
        <v>91</v>
      </c>
      <c r="B1055" t="s">
        <v>28</v>
      </c>
      <c r="C1055">
        <v>16</v>
      </c>
      <c r="D1055">
        <v>84</v>
      </c>
      <c r="E1055" t="s">
        <v>19</v>
      </c>
      <c r="F1055" t="s">
        <v>171</v>
      </c>
      <c r="G1055">
        <v>175.94</v>
      </c>
      <c r="H1055" t="s">
        <v>26</v>
      </c>
      <c r="I1055" s="2">
        <v>45650</v>
      </c>
      <c r="J1055" s="2">
        <v>45727</v>
      </c>
      <c r="K1055" t="s">
        <v>21</v>
      </c>
    </row>
    <row r="1056" spans="1:11" x14ac:dyDescent="0.25">
      <c r="A1056" t="s">
        <v>113</v>
      </c>
      <c r="B1056" t="s">
        <v>12</v>
      </c>
      <c r="C1056">
        <v>127</v>
      </c>
      <c r="D1056">
        <v>95</v>
      </c>
      <c r="E1056" t="s">
        <v>13</v>
      </c>
      <c r="F1056" t="s">
        <v>170</v>
      </c>
      <c r="G1056">
        <v>171.13</v>
      </c>
      <c r="H1056" t="s">
        <v>26</v>
      </c>
      <c r="I1056" s="2">
        <v>45627</v>
      </c>
      <c r="J1056" s="2">
        <v>45660</v>
      </c>
      <c r="K1056" t="s">
        <v>17</v>
      </c>
    </row>
    <row r="1057" spans="1:11" x14ac:dyDescent="0.25">
      <c r="A1057" t="s">
        <v>114</v>
      </c>
      <c r="B1057" t="s">
        <v>30</v>
      </c>
      <c r="C1057">
        <v>170</v>
      </c>
      <c r="D1057">
        <v>90</v>
      </c>
      <c r="E1057" t="s">
        <v>13</v>
      </c>
      <c r="F1057" t="s">
        <v>171</v>
      </c>
      <c r="G1057">
        <v>489.37</v>
      </c>
      <c r="H1057" t="s">
        <v>14</v>
      </c>
      <c r="I1057" s="2">
        <v>45352</v>
      </c>
      <c r="J1057" s="2">
        <v>45416</v>
      </c>
      <c r="K1057" t="s">
        <v>17</v>
      </c>
    </row>
    <row r="1058" spans="1:11" x14ac:dyDescent="0.25">
      <c r="A1058" t="s">
        <v>56</v>
      </c>
      <c r="B1058" t="s">
        <v>23</v>
      </c>
      <c r="C1058">
        <v>186</v>
      </c>
      <c r="D1058">
        <v>34</v>
      </c>
      <c r="E1058" t="s">
        <v>13</v>
      </c>
      <c r="F1058" t="s">
        <v>170</v>
      </c>
      <c r="G1058">
        <v>428.99</v>
      </c>
      <c r="H1058" t="s">
        <v>14</v>
      </c>
      <c r="I1058" s="2">
        <v>45513</v>
      </c>
      <c r="J1058" s="2">
        <v>45560</v>
      </c>
      <c r="K1058" t="s">
        <v>172</v>
      </c>
    </row>
    <row r="1059" spans="1:11" x14ac:dyDescent="0.25">
      <c r="A1059" t="s">
        <v>115</v>
      </c>
      <c r="B1059" t="s">
        <v>16</v>
      </c>
      <c r="C1059">
        <v>107</v>
      </c>
      <c r="D1059">
        <v>40</v>
      </c>
      <c r="E1059" t="s">
        <v>13</v>
      </c>
      <c r="F1059" t="s">
        <v>170</v>
      </c>
      <c r="G1059">
        <v>352.08</v>
      </c>
      <c r="H1059" t="s">
        <v>20</v>
      </c>
      <c r="I1059" s="2">
        <v>45546</v>
      </c>
      <c r="J1059" s="2">
        <v>45573</v>
      </c>
      <c r="K1059" t="s">
        <v>17</v>
      </c>
    </row>
    <row r="1060" spans="1:11" x14ac:dyDescent="0.25">
      <c r="A1060" t="s">
        <v>99</v>
      </c>
      <c r="B1060" t="s">
        <v>23</v>
      </c>
      <c r="C1060">
        <v>178</v>
      </c>
      <c r="D1060">
        <v>38</v>
      </c>
      <c r="E1060" t="s">
        <v>13</v>
      </c>
      <c r="F1060" t="s">
        <v>171</v>
      </c>
      <c r="G1060">
        <v>364.89</v>
      </c>
      <c r="H1060" t="s">
        <v>20</v>
      </c>
      <c r="I1060" s="2">
        <v>45425</v>
      </c>
      <c r="J1060" s="2">
        <v>45501</v>
      </c>
      <c r="K1060" t="s">
        <v>17</v>
      </c>
    </row>
    <row r="1061" spans="1:11" x14ac:dyDescent="0.25">
      <c r="A1061" t="s">
        <v>80</v>
      </c>
      <c r="B1061" t="s">
        <v>16</v>
      </c>
      <c r="C1061">
        <v>181</v>
      </c>
      <c r="D1061">
        <v>79</v>
      </c>
      <c r="E1061" t="s">
        <v>13</v>
      </c>
      <c r="F1061" t="s">
        <v>171</v>
      </c>
      <c r="G1061">
        <v>283.23</v>
      </c>
      <c r="H1061" t="s">
        <v>26</v>
      </c>
      <c r="I1061" s="2">
        <v>45478</v>
      </c>
      <c r="J1061" s="2">
        <v>45535</v>
      </c>
      <c r="K1061" t="s">
        <v>17</v>
      </c>
    </row>
    <row r="1062" spans="1:11" x14ac:dyDescent="0.25">
      <c r="A1062" t="s">
        <v>67</v>
      </c>
      <c r="B1062" t="s">
        <v>16</v>
      </c>
      <c r="C1062">
        <v>151</v>
      </c>
      <c r="D1062">
        <v>52</v>
      </c>
      <c r="E1062" t="s">
        <v>13</v>
      </c>
      <c r="F1062" t="s">
        <v>173</v>
      </c>
      <c r="G1062">
        <v>473.81</v>
      </c>
      <c r="H1062" t="s">
        <v>14</v>
      </c>
      <c r="I1062" s="2">
        <v>45585</v>
      </c>
      <c r="J1062" s="2">
        <v>45648</v>
      </c>
    </row>
    <row r="1063" spans="1:11" x14ac:dyDescent="0.25">
      <c r="A1063" t="s">
        <v>77</v>
      </c>
      <c r="B1063" t="s">
        <v>23</v>
      </c>
      <c r="C1063">
        <v>24</v>
      </c>
      <c r="D1063">
        <v>68</v>
      </c>
      <c r="E1063" t="s">
        <v>19</v>
      </c>
      <c r="F1063" t="s">
        <v>173</v>
      </c>
      <c r="G1063">
        <v>250.65</v>
      </c>
      <c r="H1063" t="s">
        <v>26</v>
      </c>
      <c r="I1063" s="2">
        <v>45447</v>
      </c>
      <c r="J1063" s="2">
        <v>45497</v>
      </c>
    </row>
    <row r="1064" spans="1:11" x14ac:dyDescent="0.25">
      <c r="A1064" t="s">
        <v>77</v>
      </c>
      <c r="B1064" t="s">
        <v>28</v>
      </c>
      <c r="C1064">
        <v>198</v>
      </c>
      <c r="D1064">
        <v>54</v>
      </c>
      <c r="E1064" t="s">
        <v>13</v>
      </c>
      <c r="F1064" t="s">
        <v>171</v>
      </c>
      <c r="G1064">
        <v>193.36</v>
      </c>
      <c r="H1064" t="s">
        <v>26</v>
      </c>
      <c r="I1064" s="2">
        <v>45437</v>
      </c>
      <c r="J1064" s="2">
        <v>45461</v>
      </c>
      <c r="K1064" t="s">
        <v>17</v>
      </c>
    </row>
    <row r="1065" spans="1:11" x14ac:dyDescent="0.25">
      <c r="A1065" t="s">
        <v>116</v>
      </c>
      <c r="B1065" t="s">
        <v>16</v>
      </c>
      <c r="C1065">
        <v>179</v>
      </c>
      <c r="D1065">
        <v>63</v>
      </c>
      <c r="E1065" t="s">
        <v>13</v>
      </c>
      <c r="F1065" t="s">
        <v>170</v>
      </c>
      <c r="G1065">
        <v>85.7</v>
      </c>
      <c r="H1065" t="s">
        <v>14</v>
      </c>
      <c r="I1065" s="2">
        <v>45577</v>
      </c>
      <c r="J1065" s="2">
        <v>45597</v>
      </c>
    </row>
    <row r="1066" spans="1:11" x14ac:dyDescent="0.25">
      <c r="A1066" t="s">
        <v>110</v>
      </c>
      <c r="B1066" t="s">
        <v>16</v>
      </c>
      <c r="C1066">
        <v>197</v>
      </c>
      <c r="D1066">
        <v>30</v>
      </c>
      <c r="E1066" t="s">
        <v>13</v>
      </c>
      <c r="F1066" t="s">
        <v>170</v>
      </c>
      <c r="G1066">
        <v>394.17</v>
      </c>
      <c r="H1066" t="s">
        <v>14</v>
      </c>
      <c r="I1066" s="2">
        <v>45574</v>
      </c>
      <c r="J1066" s="2">
        <v>45645</v>
      </c>
      <c r="K1066" t="s">
        <v>21</v>
      </c>
    </row>
    <row r="1067" spans="1:11" x14ac:dyDescent="0.25">
      <c r="A1067" t="s">
        <v>77</v>
      </c>
      <c r="B1067" t="s">
        <v>23</v>
      </c>
      <c r="C1067">
        <v>87</v>
      </c>
      <c r="D1067">
        <v>91</v>
      </c>
      <c r="E1067" t="s">
        <v>19</v>
      </c>
      <c r="F1067" t="s">
        <v>170</v>
      </c>
      <c r="G1067">
        <v>368.55</v>
      </c>
      <c r="H1067" t="s">
        <v>14</v>
      </c>
      <c r="I1067" s="2">
        <v>45615</v>
      </c>
      <c r="J1067" s="2">
        <v>45630</v>
      </c>
      <c r="K1067" t="s">
        <v>17</v>
      </c>
    </row>
    <row r="1068" spans="1:11" x14ac:dyDescent="0.25">
      <c r="A1068" t="s">
        <v>109</v>
      </c>
      <c r="B1068" t="s">
        <v>16</v>
      </c>
      <c r="C1068">
        <v>160</v>
      </c>
      <c r="D1068">
        <v>97</v>
      </c>
      <c r="E1068" t="s">
        <v>13</v>
      </c>
      <c r="F1068" t="s">
        <v>170</v>
      </c>
      <c r="G1068">
        <v>195.26</v>
      </c>
      <c r="H1068" t="s">
        <v>20</v>
      </c>
      <c r="I1068" s="2">
        <v>45384</v>
      </c>
      <c r="J1068" s="2">
        <v>45469</v>
      </c>
      <c r="K1068" t="s">
        <v>21</v>
      </c>
    </row>
    <row r="1069" spans="1:11" x14ac:dyDescent="0.25">
      <c r="A1069" t="s">
        <v>79</v>
      </c>
      <c r="B1069" t="s">
        <v>16</v>
      </c>
      <c r="C1069">
        <v>176</v>
      </c>
      <c r="D1069">
        <v>93</v>
      </c>
      <c r="E1069" t="s">
        <v>13</v>
      </c>
      <c r="F1069" t="s">
        <v>170</v>
      </c>
      <c r="G1069">
        <v>17.47</v>
      </c>
      <c r="H1069" t="s">
        <v>20</v>
      </c>
      <c r="I1069" s="2">
        <v>45466</v>
      </c>
      <c r="J1069" s="2">
        <v>45538</v>
      </c>
      <c r="K1069" t="s">
        <v>172</v>
      </c>
    </row>
    <row r="1070" spans="1:11" x14ac:dyDescent="0.25">
      <c r="A1070" t="s">
        <v>93</v>
      </c>
      <c r="B1070" t="s">
        <v>23</v>
      </c>
      <c r="C1070">
        <v>28</v>
      </c>
      <c r="D1070">
        <v>85</v>
      </c>
      <c r="E1070" t="s">
        <v>19</v>
      </c>
      <c r="F1070" t="s">
        <v>173</v>
      </c>
      <c r="G1070">
        <v>420.3</v>
      </c>
      <c r="H1070" t="s">
        <v>26</v>
      </c>
      <c r="I1070" s="2">
        <v>45484</v>
      </c>
      <c r="J1070" s="2">
        <v>45519</v>
      </c>
      <c r="K1070" t="s">
        <v>21</v>
      </c>
    </row>
    <row r="1071" spans="1:11" x14ac:dyDescent="0.25">
      <c r="A1071" t="s">
        <v>117</v>
      </c>
      <c r="B1071" t="s">
        <v>23</v>
      </c>
      <c r="C1071">
        <v>62</v>
      </c>
      <c r="D1071">
        <v>65</v>
      </c>
      <c r="E1071" t="s">
        <v>19</v>
      </c>
      <c r="F1071" t="s">
        <v>171</v>
      </c>
      <c r="G1071">
        <v>10.65</v>
      </c>
      <c r="H1071" t="s">
        <v>20</v>
      </c>
      <c r="I1071" s="2">
        <v>45650</v>
      </c>
      <c r="J1071" s="2">
        <v>45720</v>
      </c>
      <c r="K1071" t="s">
        <v>172</v>
      </c>
    </row>
    <row r="1072" spans="1:11" x14ac:dyDescent="0.25">
      <c r="A1072" t="s">
        <v>109</v>
      </c>
      <c r="B1072" t="s">
        <v>30</v>
      </c>
      <c r="C1072">
        <v>149</v>
      </c>
      <c r="D1072">
        <v>28</v>
      </c>
      <c r="E1072" t="s">
        <v>13</v>
      </c>
      <c r="F1072" t="s">
        <v>173</v>
      </c>
      <c r="G1072">
        <v>353.33</v>
      </c>
      <c r="H1072" t="s">
        <v>14</v>
      </c>
      <c r="I1072" s="2">
        <v>45502</v>
      </c>
      <c r="J1072" s="2">
        <v>45536</v>
      </c>
      <c r="K1072" t="s">
        <v>17</v>
      </c>
    </row>
    <row r="1073" spans="1:11" x14ac:dyDescent="0.25">
      <c r="A1073" t="s">
        <v>118</v>
      </c>
      <c r="B1073" t="s">
        <v>28</v>
      </c>
      <c r="C1073">
        <v>153</v>
      </c>
      <c r="D1073">
        <v>22</v>
      </c>
      <c r="E1073" t="s">
        <v>13</v>
      </c>
      <c r="F1073" t="s">
        <v>170</v>
      </c>
      <c r="G1073">
        <v>485.28</v>
      </c>
      <c r="H1073" t="s">
        <v>14</v>
      </c>
      <c r="I1073" s="2">
        <v>45647</v>
      </c>
      <c r="J1073" s="2">
        <v>45715</v>
      </c>
      <c r="K1073" t="s">
        <v>172</v>
      </c>
    </row>
    <row r="1074" spans="1:11" x14ac:dyDescent="0.25">
      <c r="A1074" t="s">
        <v>111</v>
      </c>
      <c r="B1074" t="s">
        <v>28</v>
      </c>
      <c r="C1074">
        <v>155</v>
      </c>
      <c r="D1074">
        <v>45</v>
      </c>
      <c r="E1074" t="s">
        <v>13</v>
      </c>
      <c r="F1074" t="s">
        <v>170</v>
      </c>
      <c r="G1074">
        <v>221.64</v>
      </c>
      <c r="H1074" t="s">
        <v>20</v>
      </c>
      <c r="I1074" s="2">
        <v>45623</v>
      </c>
      <c r="J1074" s="2">
        <v>45662</v>
      </c>
      <c r="K1074" t="s">
        <v>172</v>
      </c>
    </row>
    <row r="1075" spans="1:11" x14ac:dyDescent="0.25">
      <c r="A1075" t="s">
        <v>67</v>
      </c>
      <c r="B1075" t="s">
        <v>16</v>
      </c>
      <c r="C1075">
        <v>113</v>
      </c>
      <c r="D1075">
        <v>91</v>
      </c>
      <c r="E1075" t="s">
        <v>13</v>
      </c>
      <c r="F1075" t="s">
        <v>170</v>
      </c>
      <c r="G1075">
        <v>121.31</v>
      </c>
      <c r="H1075" t="s">
        <v>26</v>
      </c>
      <c r="I1075" s="2">
        <v>45621</v>
      </c>
      <c r="J1075" s="2">
        <v>45663</v>
      </c>
      <c r="K1075" t="s">
        <v>21</v>
      </c>
    </row>
    <row r="1076" spans="1:11" x14ac:dyDescent="0.25">
      <c r="A1076" t="s">
        <v>98</v>
      </c>
      <c r="B1076" t="s">
        <v>28</v>
      </c>
      <c r="C1076">
        <v>48</v>
      </c>
      <c r="D1076">
        <v>67</v>
      </c>
      <c r="E1076" t="s">
        <v>19</v>
      </c>
      <c r="F1076" t="s">
        <v>170</v>
      </c>
      <c r="G1076">
        <v>353.91</v>
      </c>
      <c r="H1076" t="s">
        <v>26</v>
      </c>
      <c r="I1076" s="2">
        <v>45651</v>
      </c>
      <c r="J1076" s="2">
        <v>45670</v>
      </c>
      <c r="K1076" t="s">
        <v>21</v>
      </c>
    </row>
    <row r="1077" spans="1:11" x14ac:dyDescent="0.25">
      <c r="A1077" t="s">
        <v>119</v>
      </c>
      <c r="B1077" t="s">
        <v>16</v>
      </c>
      <c r="C1077">
        <v>198</v>
      </c>
      <c r="D1077">
        <v>85</v>
      </c>
      <c r="E1077" t="s">
        <v>13</v>
      </c>
      <c r="F1077" t="s">
        <v>171</v>
      </c>
      <c r="G1077">
        <v>409.48</v>
      </c>
      <c r="H1077" t="s">
        <v>20</v>
      </c>
      <c r="I1077" s="2">
        <v>45442</v>
      </c>
      <c r="J1077" s="2">
        <v>45477</v>
      </c>
      <c r="K1077" t="s">
        <v>21</v>
      </c>
    </row>
    <row r="1078" spans="1:11" x14ac:dyDescent="0.25">
      <c r="A1078" t="s">
        <v>83</v>
      </c>
      <c r="B1078" t="s">
        <v>30</v>
      </c>
      <c r="C1078">
        <v>80</v>
      </c>
      <c r="D1078">
        <v>89</v>
      </c>
      <c r="E1078" t="s">
        <v>19</v>
      </c>
      <c r="F1078" t="s">
        <v>170</v>
      </c>
      <c r="G1078">
        <v>275.48</v>
      </c>
      <c r="H1078" t="s">
        <v>26</v>
      </c>
      <c r="I1078" s="2">
        <v>45523</v>
      </c>
      <c r="J1078" s="2">
        <v>45555</v>
      </c>
      <c r="K1078" t="s">
        <v>17</v>
      </c>
    </row>
    <row r="1079" spans="1:11" x14ac:dyDescent="0.25">
      <c r="A1079" t="s">
        <v>120</v>
      </c>
      <c r="B1079" t="s">
        <v>23</v>
      </c>
      <c r="C1079">
        <v>83</v>
      </c>
      <c r="D1079">
        <v>47</v>
      </c>
      <c r="E1079" t="s">
        <v>13</v>
      </c>
      <c r="F1079" t="s">
        <v>171</v>
      </c>
      <c r="G1079">
        <v>483.68</v>
      </c>
      <c r="H1079" t="s">
        <v>26</v>
      </c>
      <c r="I1079" s="2">
        <v>45372</v>
      </c>
      <c r="J1079" s="2">
        <v>45433</v>
      </c>
      <c r="K1079" t="s">
        <v>17</v>
      </c>
    </row>
    <row r="1080" spans="1:11" x14ac:dyDescent="0.25">
      <c r="A1080" t="s">
        <v>117</v>
      </c>
      <c r="B1080" t="s">
        <v>23</v>
      </c>
      <c r="C1080">
        <v>104</v>
      </c>
      <c r="D1080">
        <v>45</v>
      </c>
      <c r="E1080" t="s">
        <v>13</v>
      </c>
      <c r="F1080" t="s">
        <v>170</v>
      </c>
      <c r="G1080">
        <v>30.58</v>
      </c>
      <c r="H1080" t="s">
        <v>26</v>
      </c>
      <c r="I1080" s="2">
        <v>45531</v>
      </c>
      <c r="J1080" s="2">
        <v>45615</v>
      </c>
      <c r="K1080" t="s">
        <v>21</v>
      </c>
    </row>
    <row r="1081" spans="1:11" x14ac:dyDescent="0.25">
      <c r="A1081" t="s">
        <v>66</v>
      </c>
      <c r="B1081" t="s">
        <v>23</v>
      </c>
      <c r="C1081">
        <v>176</v>
      </c>
      <c r="D1081">
        <v>44</v>
      </c>
      <c r="E1081" t="s">
        <v>13</v>
      </c>
      <c r="F1081" t="s">
        <v>171</v>
      </c>
      <c r="G1081">
        <v>254.87</v>
      </c>
      <c r="H1081" t="s">
        <v>14</v>
      </c>
      <c r="I1081" s="2">
        <v>45320</v>
      </c>
      <c r="J1081" s="2">
        <v>45391</v>
      </c>
      <c r="K1081" t="s">
        <v>17</v>
      </c>
    </row>
    <row r="1082" spans="1:11" x14ac:dyDescent="0.25">
      <c r="A1082" t="s">
        <v>115</v>
      </c>
      <c r="B1082" t="s">
        <v>28</v>
      </c>
      <c r="C1082">
        <v>147</v>
      </c>
      <c r="D1082">
        <v>31</v>
      </c>
      <c r="E1082" t="s">
        <v>13</v>
      </c>
      <c r="F1082" t="s">
        <v>173</v>
      </c>
      <c r="G1082">
        <v>360.63</v>
      </c>
      <c r="H1082" t="s">
        <v>14</v>
      </c>
      <c r="I1082" s="2">
        <v>45483</v>
      </c>
      <c r="J1082" s="2">
        <v>45516</v>
      </c>
      <c r="K1082" t="s">
        <v>17</v>
      </c>
    </row>
    <row r="1083" spans="1:11" x14ac:dyDescent="0.25">
      <c r="A1083" t="s">
        <v>42</v>
      </c>
      <c r="B1083" t="s">
        <v>30</v>
      </c>
      <c r="C1083">
        <v>117</v>
      </c>
      <c r="D1083">
        <v>24</v>
      </c>
      <c r="E1083" t="s">
        <v>13</v>
      </c>
      <c r="F1083" t="s">
        <v>170</v>
      </c>
      <c r="G1083">
        <v>432.01</v>
      </c>
      <c r="H1083" t="s">
        <v>20</v>
      </c>
      <c r="I1083" s="2">
        <v>45505</v>
      </c>
      <c r="J1083" s="2">
        <v>45584</v>
      </c>
      <c r="K1083" t="s">
        <v>172</v>
      </c>
    </row>
    <row r="1084" spans="1:11" x14ac:dyDescent="0.25">
      <c r="A1084" t="s">
        <v>121</v>
      </c>
      <c r="B1084" t="s">
        <v>28</v>
      </c>
      <c r="C1084">
        <v>85</v>
      </c>
      <c r="D1084">
        <v>67</v>
      </c>
      <c r="E1084" t="s">
        <v>13</v>
      </c>
      <c r="F1084" t="s">
        <v>171</v>
      </c>
      <c r="G1084">
        <v>93.73</v>
      </c>
      <c r="H1084" t="s">
        <v>14</v>
      </c>
      <c r="I1084" s="2">
        <v>45326</v>
      </c>
      <c r="J1084" s="2">
        <v>45343</v>
      </c>
      <c r="K1084" t="s">
        <v>172</v>
      </c>
    </row>
    <row r="1085" spans="1:11" x14ac:dyDescent="0.25">
      <c r="A1085" t="s">
        <v>122</v>
      </c>
      <c r="B1085" t="s">
        <v>28</v>
      </c>
      <c r="C1085">
        <v>62</v>
      </c>
      <c r="D1085">
        <v>56</v>
      </c>
      <c r="E1085" t="s">
        <v>13</v>
      </c>
      <c r="F1085" t="s">
        <v>173</v>
      </c>
      <c r="G1085">
        <v>401</v>
      </c>
      <c r="H1085" t="s">
        <v>26</v>
      </c>
      <c r="I1085" s="2">
        <v>45631</v>
      </c>
      <c r="J1085" s="2">
        <v>45687</v>
      </c>
      <c r="K1085" t="s">
        <v>21</v>
      </c>
    </row>
    <row r="1086" spans="1:11" x14ac:dyDescent="0.25">
      <c r="A1086" t="s">
        <v>123</v>
      </c>
      <c r="B1086" t="s">
        <v>30</v>
      </c>
      <c r="C1086">
        <v>188</v>
      </c>
      <c r="D1086">
        <v>98</v>
      </c>
      <c r="E1086" t="s">
        <v>13</v>
      </c>
      <c r="F1086" t="s">
        <v>170</v>
      </c>
      <c r="G1086">
        <v>278.58999999999997</v>
      </c>
      <c r="H1086" t="s">
        <v>14</v>
      </c>
      <c r="I1086" s="2">
        <v>45542</v>
      </c>
      <c r="J1086" s="2">
        <v>45577</v>
      </c>
      <c r="K1086" t="s">
        <v>17</v>
      </c>
    </row>
    <row r="1087" spans="1:11" x14ac:dyDescent="0.25">
      <c r="A1087" t="s">
        <v>124</v>
      </c>
      <c r="B1087" t="s">
        <v>30</v>
      </c>
      <c r="C1087">
        <v>103</v>
      </c>
      <c r="D1087">
        <v>63</v>
      </c>
      <c r="E1087" t="s">
        <v>13</v>
      </c>
      <c r="F1087" t="s">
        <v>170</v>
      </c>
      <c r="G1087">
        <v>201.29</v>
      </c>
      <c r="H1087" t="s">
        <v>20</v>
      </c>
      <c r="I1087" s="2">
        <v>45373</v>
      </c>
      <c r="J1087" s="2">
        <v>45427</v>
      </c>
      <c r="K1087" t="s">
        <v>172</v>
      </c>
    </row>
    <row r="1088" spans="1:11" x14ac:dyDescent="0.25">
      <c r="A1088" t="s">
        <v>105</v>
      </c>
      <c r="B1088" t="s">
        <v>30</v>
      </c>
      <c r="C1088">
        <v>48</v>
      </c>
      <c r="D1088">
        <v>34</v>
      </c>
      <c r="E1088" t="s">
        <v>13</v>
      </c>
      <c r="F1088" t="s">
        <v>170</v>
      </c>
      <c r="G1088">
        <v>70.2</v>
      </c>
      <c r="H1088" t="s">
        <v>14</v>
      </c>
      <c r="I1088" s="2">
        <v>45582</v>
      </c>
      <c r="J1088" s="2">
        <v>45663</v>
      </c>
    </row>
    <row r="1089" spans="1:11" x14ac:dyDescent="0.25">
      <c r="A1089" t="s">
        <v>125</v>
      </c>
      <c r="B1089" t="s">
        <v>30</v>
      </c>
      <c r="C1089">
        <v>70</v>
      </c>
      <c r="D1089">
        <v>62</v>
      </c>
      <c r="E1089" t="s">
        <v>13</v>
      </c>
      <c r="F1089" t="s">
        <v>171</v>
      </c>
      <c r="G1089">
        <v>433.32</v>
      </c>
      <c r="H1089" t="s">
        <v>26</v>
      </c>
      <c r="I1089" s="2">
        <v>45491</v>
      </c>
      <c r="J1089" s="2">
        <v>45530</v>
      </c>
      <c r="K1089" t="s">
        <v>17</v>
      </c>
    </row>
    <row r="1090" spans="1:11" x14ac:dyDescent="0.25">
      <c r="A1090" t="s">
        <v>126</v>
      </c>
      <c r="B1090" t="s">
        <v>23</v>
      </c>
      <c r="C1090">
        <v>0</v>
      </c>
      <c r="D1090">
        <v>67</v>
      </c>
      <c r="E1090" t="s">
        <v>19</v>
      </c>
      <c r="F1090" t="s">
        <v>171</v>
      </c>
      <c r="G1090">
        <v>82.85</v>
      </c>
      <c r="H1090" t="s">
        <v>26</v>
      </c>
      <c r="I1090" s="2">
        <v>45468</v>
      </c>
      <c r="J1090" s="2">
        <v>45537</v>
      </c>
    </row>
    <row r="1091" spans="1:11" x14ac:dyDescent="0.25">
      <c r="A1091" t="s">
        <v>112</v>
      </c>
      <c r="B1091" t="s">
        <v>12</v>
      </c>
      <c r="C1091">
        <v>140</v>
      </c>
      <c r="D1091">
        <v>89</v>
      </c>
      <c r="E1091" t="s">
        <v>13</v>
      </c>
      <c r="F1091" t="s">
        <v>173</v>
      </c>
      <c r="G1091">
        <v>158.34</v>
      </c>
      <c r="H1091" t="s">
        <v>20</v>
      </c>
      <c r="I1091" s="2">
        <v>45579</v>
      </c>
      <c r="J1091" s="2">
        <v>45645</v>
      </c>
      <c r="K1091" t="s">
        <v>21</v>
      </c>
    </row>
    <row r="1092" spans="1:11" x14ac:dyDescent="0.25">
      <c r="A1092" t="s">
        <v>111</v>
      </c>
      <c r="B1092" t="s">
        <v>12</v>
      </c>
      <c r="C1092">
        <v>178</v>
      </c>
      <c r="D1092">
        <v>65</v>
      </c>
      <c r="E1092" t="s">
        <v>13</v>
      </c>
      <c r="F1092" t="s">
        <v>171</v>
      </c>
      <c r="G1092">
        <v>148.57</v>
      </c>
      <c r="H1092" t="s">
        <v>14</v>
      </c>
      <c r="I1092" s="2">
        <v>45567</v>
      </c>
      <c r="J1092" s="2">
        <v>45625</v>
      </c>
      <c r="K1092" t="s">
        <v>17</v>
      </c>
    </row>
    <row r="1093" spans="1:11" x14ac:dyDescent="0.25">
      <c r="A1093" t="s">
        <v>75</v>
      </c>
      <c r="B1093" t="s">
        <v>30</v>
      </c>
      <c r="C1093">
        <v>122</v>
      </c>
      <c r="D1093">
        <v>62</v>
      </c>
      <c r="E1093" t="s">
        <v>13</v>
      </c>
      <c r="F1093" t="s">
        <v>171</v>
      </c>
      <c r="G1093">
        <v>436.35</v>
      </c>
      <c r="H1093" t="s">
        <v>14</v>
      </c>
      <c r="I1093" s="2">
        <v>45481</v>
      </c>
      <c r="J1093" s="2">
        <v>45551</v>
      </c>
      <c r="K1093" t="s">
        <v>21</v>
      </c>
    </row>
    <row r="1094" spans="1:11" x14ac:dyDescent="0.25">
      <c r="A1094" t="s">
        <v>127</v>
      </c>
      <c r="B1094" t="s">
        <v>12</v>
      </c>
      <c r="C1094">
        <v>183</v>
      </c>
      <c r="D1094">
        <v>40</v>
      </c>
      <c r="E1094" t="s">
        <v>13</v>
      </c>
      <c r="F1094" t="s">
        <v>170</v>
      </c>
      <c r="G1094">
        <v>337.99</v>
      </c>
      <c r="H1094" t="s">
        <v>14</v>
      </c>
      <c r="I1094" s="2">
        <v>45636</v>
      </c>
      <c r="J1094" s="2">
        <v>45705</v>
      </c>
      <c r="K1094" t="s">
        <v>21</v>
      </c>
    </row>
    <row r="1095" spans="1:11" x14ac:dyDescent="0.25">
      <c r="A1095" t="s">
        <v>109</v>
      </c>
      <c r="B1095" t="s">
        <v>12</v>
      </c>
      <c r="C1095">
        <v>61</v>
      </c>
      <c r="D1095">
        <v>42</v>
      </c>
      <c r="E1095" t="s">
        <v>13</v>
      </c>
      <c r="F1095" t="s">
        <v>170</v>
      </c>
      <c r="G1095">
        <v>399.36</v>
      </c>
      <c r="H1095" t="s">
        <v>26</v>
      </c>
      <c r="I1095" s="2">
        <v>45603</v>
      </c>
      <c r="J1095" s="2">
        <v>45687</v>
      </c>
      <c r="K1095" t="s">
        <v>21</v>
      </c>
    </row>
    <row r="1096" spans="1:11" x14ac:dyDescent="0.25">
      <c r="A1096" t="s">
        <v>116</v>
      </c>
      <c r="B1096" t="s">
        <v>30</v>
      </c>
      <c r="C1096">
        <v>31</v>
      </c>
      <c r="D1096">
        <v>99</v>
      </c>
      <c r="E1096" t="s">
        <v>19</v>
      </c>
      <c r="F1096" t="s">
        <v>170</v>
      </c>
      <c r="G1096">
        <v>128.97999999999999</v>
      </c>
      <c r="H1096" t="s">
        <v>20</v>
      </c>
      <c r="I1096" s="2">
        <v>45473</v>
      </c>
      <c r="J1096" s="2">
        <v>45560</v>
      </c>
      <c r="K1096" t="s">
        <v>21</v>
      </c>
    </row>
    <row r="1097" spans="1:11" x14ac:dyDescent="0.25">
      <c r="A1097" t="s">
        <v>128</v>
      </c>
      <c r="B1097" t="s">
        <v>12</v>
      </c>
      <c r="C1097">
        <v>157</v>
      </c>
      <c r="D1097">
        <v>66</v>
      </c>
      <c r="E1097" t="s">
        <v>13</v>
      </c>
      <c r="F1097" t="s">
        <v>170</v>
      </c>
      <c r="G1097">
        <v>314.31</v>
      </c>
      <c r="H1097" t="s">
        <v>14</v>
      </c>
      <c r="I1097" s="2">
        <v>45298</v>
      </c>
      <c r="J1097" s="2">
        <v>45378</v>
      </c>
      <c r="K1097" t="s">
        <v>21</v>
      </c>
    </row>
    <row r="1098" spans="1:11" x14ac:dyDescent="0.25">
      <c r="A1098" t="s">
        <v>74</v>
      </c>
      <c r="B1098" t="s">
        <v>28</v>
      </c>
      <c r="C1098">
        <v>28</v>
      </c>
      <c r="D1098">
        <v>34</v>
      </c>
      <c r="E1098" t="s">
        <v>19</v>
      </c>
      <c r="F1098" t="s">
        <v>170</v>
      </c>
      <c r="G1098">
        <v>288.01</v>
      </c>
      <c r="H1098" t="s">
        <v>26</v>
      </c>
      <c r="I1098" s="2">
        <v>45435</v>
      </c>
      <c r="J1098" s="2">
        <v>45468</v>
      </c>
      <c r="K1098" t="s">
        <v>17</v>
      </c>
    </row>
    <row r="1099" spans="1:11" x14ac:dyDescent="0.25">
      <c r="A1099" t="s">
        <v>89</v>
      </c>
      <c r="B1099" t="s">
        <v>16</v>
      </c>
      <c r="C1099">
        <v>48</v>
      </c>
      <c r="D1099">
        <v>44</v>
      </c>
      <c r="E1099" t="s">
        <v>13</v>
      </c>
      <c r="F1099" t="s">
        <v>170</v>
      </c>
      <c r="G1099">
        <v>417.25</v>
      </c>
      <c r="H1099" t="s">
        <v>26</v>
      </c>
      <c r="I1099" s="2">
        <v>45342</v>
      </c>
      <c r="J1099" s="2">
        <v>45363</v>
      </c>
    </row>
    <row r="1100" spans="1:11" x14ac:dyDescent="0.25">
      <c r="A1100" t="s">
        <v>104</v>
      </c>
      <c r="B1100" t="s">
        <v>16</v>
      </c>
      <c r="C1100">
        <v>172</v>
      </c>
      <c r="D1100">
        <v>55</v>
      </c>
      <c r="E1100" t="s">
        <v>13</v>
      </c>
      <c r="F1100" t="s">
        <v>170</v>
      </c>
      <c r="G1100">
        <v>453.51</v>
      </c>
      <c r="H1100" t="s">
        <v>26</v>
      </c>
      <c r="I1100" s="2">
        <v>45329</v>
      </c>
      <c r="J1100" s="2">
        <v>45406</v>
      </c>
      <c r="K1100" t="s">
        <v>17</v>
      </c>
    </row>
    <row r="1101" spans="1:11" x14ac:dyDescent="0.25">
      <c r="A1101" t="s">
        <v>128</v>
      </c>
      <c r="B1101" t="s">
        <v>30</v>
      </c>
      <c r="C1101">
        <v>29</v>
      </c>
      <c r="D1101">
        <v>94</v>
      </c>
      <c r="E1101" t="s">
        <v>19</v>
      </c>
      <c r="F1101" t="s">
        <v>173</v>
      </c>
      <c r="G1101">
        <v>11.02</v>
      </c>
      <c r="H1101" t="s">
        <v>14</v>
      </c>
      <c r="I1101" s="2">
        <v>45478</v>
      </c>
      <c r="J1101" s="2">
        <v>45534</v>
      </c>
      <c r="K1101" t="s">
        <v>17</v>
      </c>
    </row>
    <row r="1102" spans="1:11" x14ac:dyDescent="0.25">
      <c r="A1102" t="s">
        <v>81</v>
      </c>
      <c r="B1102" t="s">
        <v>23</v>
      </c>
      <c r="C1102">
        <v>143</v>
      </c>
      <c r="D1102">
        <v>70</v>
      </c>
      <c r="E1102" t="s">
        <v>13</v>
      </c>
      <c r="F1102" t="s">
        <v>173</v>
      </c>
      <c r="G1102">
        <v>338.64</v>
      </c>
      <c r="H1102" t="s">
        <v>14</v>
      </c>
      <c r="I1102" s="2">
        <v>45381</v>
      </c>
      <c r="J1102" s="2">
        <v>45437</v>
      </c>
      <c r="K1102" t="s">
        <v>17</v>
      </c>
    </row>
    <row r="1103" spans="1:11" x14ac:dyDescent="0.25">
      <c r="A1103" t="s">
        <v>126</v>
      </c>
      <c r="B1103" t="s">
        <v>30</v>
      </c>
      <c r="C1103">
        <v>167</v>
      </c>
      <c r="D1103">
        <v>34</v>
      </c>
      <c r="E1103" t="s">
        <v>13</v>
      </c>
      <c r="F1103" t="s">
        <v>173</v>
      </c>
      <c r="G1103">
        <v>30.66</v>
      </c>
      <c r="H1103" t="s">
        <v>14</v>
      </c>
      <c r="I1103" s="2">
        <v>45545</v>
      </c>
      <c r="J1103" s="2">
        <v>45618</v>
      </c>
      <c r="K1103" t="s">
        <v>172</v>
      </c>
    </row>
    <row r="1104" spans="1:11" x14ac:dyDescent="0.25">
      <c r="A1104" t="s">
        <v>84</v>
      </c>
      <c r="B1104" t="s">
        <v>23</v>
      </c>
      <c r="C1104">
        <v>18</v>
      </c>
      <c r="D1104">
        <v>87</v>
      </c>
      <c r="E1104" t="s">
        <v>19</v>
      </c>
      <c r="F1104" t="s">
        <v>173</v>
      </c>
      <c r="G1104">
        <v>276.69</v>
      </c>
      <c r="H1104" t="s">
        <v>14</v>
      </c>
      <c r="I1104" s="2">
        <v>45433</v>
      </c>
      <c r="J1104" s="2">
        <v>45467</v>
      </c>
      <c r="K1104" t="s">
        <v>172</v>
      </c>
    </row>
    <row r="1105" spans="1:11" x14ac:dyDescent="0.25">
      <c r="A1105" t="s">
        <v>129</v>
      </c>
      <c r="B1105" t="s">
        <v>16</v>
      </c>
      <c r="C1105">
        <v>17</v>
      </c>
      <c r="D1105">
        <v>40</v>
      </c>
      <c r="E1105" t="s">
        <v>19</v>
      </c>
      <c r="F1105" t="s">
        <v>170</v>
      </c>
      <c r="G1105">
        <v>147.38</v>
      </c>
      <c r="H1105" t="s">
        <v>14</v>
      </c>
      <c r="I1105" s="2">
        <v>45443</v>
      </c>
      <c r="J1105" s="2">
        <v>45530</v>
      </c>
      <c r="K1105" t="s">
        <v>17</v>
      </c>
    </row>
    <row r="1106" spans="1:11" x14ac:dyDescent="0.25">
      <c r="A1106" t="s">
        <v>79</v>
      </c>
      <c r="B1106" t="s">
        <v>30</v>
      </c>
      <c r="C1106">
        <v>0</v>
      </c>
      <c r="D1106">
        <v>32</v>
      </c>
      <c r="E1106" t="s">
        <v>19</v>
      </c>
      <c r="F1106" t="s">
        <v>173</v>
      </c>
      <c r="G1106">
        <v>156.85</v>
      </c>
      <c r="H1106" t="s">
        <v>14</v>
      </c>
      <c r="I1106" s="2">
        <v>45598</v>
      </c>
      <c r="J1106" s="2">
        <v>45629</v>
      </c>
    </row>
    <row r="1107" spans="1:11" x14ac:dyDescent="0.25">
      <c r="A1107" t="s">
        <v>119</v>
      </c>
      <c r="B1107" t="s">
        <v>28</v>
      </c>
      <c r="C1107">
        <v>77</v>
      </c>
      <c r="D1107">
        <v>38</v>
      </c>
      <c r="E1107" t="s">
        <v>13</v>
      </c>
      <c r="F1107" t="s">
        <v>170</v>
      </c>
      <c r="G1107">
        <v>179.71</v>
      </c>
      <c r="H1107" t="s">
        <v>14</v>
      </c>
      <c r="I1107" s="2">
        <v>45330</v>
      </c>
      <c r="J1107" s="2">
        <v>45371</v>
      </c>
      <c r="K1107" t="s">
        <v>17</v>
      </c>
    </row>
    <row r="1108" spans="1:11" x14ac:dyDescent="0.25">
      <c r="A1108" t="s">
        <v>130</v>
      </c>
      <c r="B1108" t="s">
        <v>12</v>
      </c>
      <c r="C1108">
        <v>114</v>
      </c>
      <c r="D1108">
        <v>53</v>
      </c>
      <c r="E1108" t="s">
        <v>13</v>
      </c>
      <c r="F1108" t="s">
        <v>173</v>
      </c>
      <c r="G1108">
        <v>312.54000000000002</v>
      </c>
      <c r="H1108" t="s">
        <v>14</v>
      </c>
      <c r="I1108" s="2">
        <v>45548</v>
      </c>
      <c r="J1108" s="2">
        <v>45609</v>
      </c>
      <c r="K1108" t="s">
        <v>21</v>
      </c>
    </row>
    <row r="1109" spans="1:11" x14ac:dyDescent="0.25">
      <c r="A1109" t="s">
        <v>95</v>
      </c>
      <c r="B1109" t="s">
        <v>23</v>
      </c>
      <c r="C1109">
        <v>174</v>
      </c>
      <c r="D1109">
        <v>97</v>
      </c>
      <c r="E1109" t="s">
        <v>13</v>
      </c>
      <c r="F1109" t="s">
        <v>171</v>
      </c>
      <c r="G1109">
        <v>170.35</v>
      </c>
      <c r="H1109" t="s">
        <v>14</v>
      </c>
      <c r="I1109" s="2">
        <v>45500</v>
      </c>
      <c r="J1109" s="2">
        <v>45516</v>
      </c>
      <c r="K1109" t="s">
        <v>172</v>
      </c>
    </row>
    <row r="1110" spans="1:11" x14ac:dyDescent="0.25">
      <c r="A1110" t="s">
        <v>114</v>
      </c>
      <c r="B1110" t="s">
        <v>12</v>
      </c>
      <c r="C1110">
        <v>193</v>
      </c>
      <c r="D1110">
        <v>87</v>
      </c>
      <c r="E1110" t="s">
        <v>13</v>
      </c>
      <c r="F1110" t="s">
        <v>173</v>
      </c>
      <c r="G1110">
        <v>367.69</v>
      </c>
      <c r="H1110" t="s">
        <v>26</v>
      </c>
      <c r="I1110" s="2">
        <v>45466</v>
      </c>
      <c r="J1110" s="2">
        <v>45543</v>
      </c>
      <c r="K1110" t="s">
        <v>172</v>
      </c>
    </row>
    <row r="1111" spans="1:11" x14ac:dyDescent="0.25">
      <c r="A1111" t="s">
        <v>39</v>
      </c>
      <c r="B1111" t="s">
        <v>12</v>
      </c>
      <c r="C1111">
        <v>112</v>
      </c>
      <c r="D1111">
        <v>71</v>
      </c>
      <c r="E1111" t="s">
        <v>13</v>
      </c>
      <c r="F1111" t="s">
        <v>173</v>
      </c>
      <c r="G1111">
        <v>205.24</v>
      </c>
      <c r="H1111" t="s">
        <v>14</v>
      </c>
      <c r="I1111" s="2">
        <v>45457</v>
      </c>
      <c r="J1111" s="2">
        <v>45533</v>
      </c>
      <c r="K1111" t="s">
        <v>17</v>
      </c>
    </row>
    <row r="1112" spans="1:11" x14ac:dyDescent="0.25">
      <c r="A1112" t="s">
        <v>131</v>
      </c>
      <c r="B1112" t="s">
        <v>30</v>
      </c>
      <c r="C1112">
        <v>113</v>
      </c>
      <c r="D1112">
        <v>46</v>
      </c>
      <c r="E1112" t="s">
        <v>13</v>
      </c>
      <c r="F1112" t="s">
        <v>170</v>
      </c>
      <c r="G1112">
        <v>38.83</v>
      </c>
      <c r="H1112" t="s">
        <v>20</v>
      </c>
      <c r="I1112" s="2">
        <v>45345</v>
      </c>
      <c r="J1112" s="2">
        <v>45378</v>
      </c>
      <c r="K1112" t="s">
        <v>17</v>
      </c>
    </row>
    <row r="1113" spans="1:11" x14ac:dyDescent="0.25">
      <c r="A1113" t="s">
        <v>126</v>
      </c>
      <c r="B1113" t="s">
        <v>12</v>
      </c>
      <c r="C1113">
        <v>165</v>
      </c>
      <c r="D1113">
        <v>48</v>
      </c>
      <c r="E1113" t="s">
        <v>13</v>
      </c>
      <c r="F1113" t="s">
        <v>173</v>
      </c>
      <c r="G1113">
        <v>392.96</v>
      </c>
      <c r="H1113" t="s">
        <v>26</v>
      </c>
      <c r="I1113" s="2">
        <v>45461</v>
      </c>
      <c r="J1113" s="2">
        <v>45492</v>
      </c>
    </row>
    <row r="1114" spans="1:11" x14ac:dyDescent="0.25">
      <c r="A1114" t="s">
        <v>132</v>
      </c>
      <c r="B1114" t="s">
        <v>28</v>
      </c>
      <c r="C1114">
        <v>178</v>
      </c>
      <c r="D1114">
        <v>47</v>
      </c>
      <c r="E1114" t="s">
        <v>13</v>
      </c>
      <c r="F1114" t="s">
        <v>171</v>
      </c>
      <c r="G1114">
        <v>146.44999999999999</v>
      </c>
      <c r="H1114" t="s">
        <v>14</v>
      </c>
      <c r="I1114" s="2">
        <v>45622</v>
      </c>
      <c r="J1114" s="2">
        <v>45705</v>
      </c>
    </row>
    <row r="1115" spans="1:11" x14ac:dyDescent="0.25">
      <c r="A1115" t="s">
        <v>133</v>
      </c>
      <c r="B1115" t="s">
        <v>12</v>
      </c>
      <c r="C1115">
        <v>62</v>
      </c>
      <c r="D1115">
        <v>54</v>
      </c>
      <c r="E1115" t="s">
        <v>13</v>
      </c>
      <c r="F1115" t="s">
        <v>170</v>
      </c>
      <c r="G1115">
        <v>219.22</v>
      </c>
      <c r="H1115" t="s">
        <v>20</v>
      </c>
      <c r="I1115" s="2">
        <v>45411</v>
      </c>
      <c r="J1115" s="2">
        <v>45464</v>
      </c>
      <c r="K1115" t="s">
        <v>21</v>
      </c>
    </row>
    <row r="1116" spans="1:11" x14ac:dyDescent="0.25">
      <c r="A1116" t="s">
        <v>134</v>
      </c>
      <c r="B1116" t="s">
        <v>30</v>
      </c>
      <c r="C1116">
        <v>131</v>
      </c>
      <c r="D1116">
        <v>27</v>
      </c>
      <c r="E1116" t="s">
        <v>13</v>
      </c>
      <c r="F1116" t="s">
        <v>170</v>
      </c>
      <c r="G1116">
        <v>344.29</v>
      </c>
      <c r="H1116" t="s">
        <v>14</v>
      </c>
      <c r="I1116" s="2">
        <v>45420</v>
      </c>
      <c r="J1116" s="2">
        <v>45505</v>
      </c>
      <c r="K1116" t="s">
        <v>17</v>
      </c>
    </row>
    <row r="1117" spans="1:11" x14ac:dyDescent="0.25">
      <c r="A1117" t="s">
        <v>107</v>
      </c>
      <c r="B1117" t="s">
        <v>28</v>
      </c>
      <c r="C1117">
        <v>128</v>
      </c>
      <c r="D1117">
        <v>35</v>
      </c>
      <c r="E1117" t="s">
        <v>13</v>
      </c>
      <c r="F1117" t="s">
        <v>173</v>
      </c>
      <c r="G1117">
        <v>169.57</v>
      </c>
      <c r="H1117" t="s">
        <v>20</v>
      </c>
      <c r="I1117" s="2">
        <v>45553</v>
      </c>
      <c r="J1117" s="2">
        <v>45606</v>
      </c>
      <c r="K1117" t="s">
        <v>17</v>
      </c>
    </row>
    <row r="1118" spans="1:11" x14ac:dyDescent="0.25">
      <c r="A1118" t="s">
        <v>88</v>
      </c>
      <c r="B1118" t="s">
        <v>16</v>
      </c>
      <c r="C1118">
        <v>7</v>
      </c>
      <c r="D1118">
        <v>55</v>
      </c>
      <c r="E1118" t="s">
        <v>19</v>
      </c>
      <c r="F1118" t="s">
        <v>170</v>
      </c>
      <c r="G1118">
        <v>33.01</v>
      </c>
      <c r="H1118" t="s">
        <v>20</v>
      </c>
      <c r="I1118" s="2">
        <v>45650</v>
      </c>
      <c r="J1118" s="2">
        <v>45700</v>
      </c>
      <c r="K1118" t="s">
        <v>17</v>
      </c>
    </row>
    <row r="1119" spans="1:11" x14ac:dyDescent="0.25">
      <c r="A1119" t="s">
        <v>135</v>
      </c>
      <c r="B1119" t="s">
        <v>12</v>
      </c>
      <c r="C1119">
        <v>156</v>
      </c>
      <c r="D1119">
        <v>49</v>
      </c>
      <c r="E1119" t="s">
        <v>13</v>
      </c>
      <c r="F1119" t="s">
        <v>170</v>
      </c>
      <c r="G1119">
        <v>190.09</v>
      </c>
      <c r="H1119" t="s">
        <v>20</v>
      </c>
      <c r="I1119" s="2">
        <v>45374</v>
      </c>
      <c r="J1119" s="2">
        <v>45428</v>
      </c>
      <c r="K1119" t="s">
        <v>172</v>
      </c>
    </row>
    <row r="1120" spans="1:11" x14ac:dyDescent="0.25">
      <c r="A1120" t="s">
        <v>104</v>
      </c>
      <c r="B1120" t="s">
        <v>30</v>
      </c>
      <c r="C1120">
        <v>54</v>
      </c>
      <c r="D1120">
        <v>37</v>
      </c>
      <c r="E1120" t="s">
        <v>13</v>
      </c>
      <c r="F1120" t="s">
        <v>170</v>
      </c>
      <c r="G1120">
        <v>472.5</v>
      </c>
      <c r="H1120" t="s">
        <v>20</v>
      </c>
      <c r="I1120" s="2">
        <v>45656</v>
      </c>
      <c r="J1120" s="2">
        <v>45715</v>
      </c>
      <c r="K1120" t="s">
        <v>21</v>
      </c>
    </row>
    <row r="1121" spans="1:11" x14ac:dyDescent="0.25">
      <c r="A1121" t="s">
        <v>102</v>
      </c>
      <c r="B1121" t="s">
        <v>16</v>
      </c>
      <c r="C1121">
        <v>102</v>
      </c>
      <c r="D1121">
        <v>21</v>
      </c>
      <c r="E1121" t="s">
        <v>13</v>
      </c>
      <c r="F1121" t="s">
        <v>170</v>
      </c>
      <c r="G1121">
        <v>322.66000000000003</v>
      </c>
      <c r="H1121" t="s">
        <v>26</v>
      </c>
      <c r="I1121" s="2">
        <v>45438</v>
      </c>
      <c r="J1121" s="2">
        <v>45456</v>
      </c>
    </row>
    <row r="1122" spans="1:11" x14ac:dyDescent="0.25">
      <c r="A1122" t="s">
        <v>120</v>
      </c>
      <c r="B1122" t="s">
        <v>16</v>
      </c>
      <c r="C1122">
        <v>130</v>
      </c>
      <c r="D1122">
        <v>68</v>
      </c>
      <c r="E1122" t="s">
        <v>13</v>
      </c>
      <c r="F1122" t="s">
        <v>170</v>
      </c>
      <c r="G1122">
        <v>337.38</v>
      </c>
      <c r="H1122" t="s">
        <v>26</v>
      </c>
      <c r="I1122" s="2">
        <v>45427</v>
      </c>
      <c r="J1122" s="2">
        <v>45466</v>
      </c>
      <c r="K1122" t="s">
        <v>172</v>
      </c>
    </row>
    <row r="1123" spans="1:11" x14ac:dyDescent="0.25">
      <c r="A1123" t="s">
        <v>109</v>
      </c>
      <c r="B1123" t="s">
        <v>23</v>
      </c>
      <c r="C1123">
        <v>31</v>
      </c>
      <c r="D1123">
        <v>96</v>
      </c>
      <c r="E1123" t="s">
        <v>19</v>
      </c>
      <c r="F1123" t="s">
        <v>170</v>
      </c>
      <c r="G1123">
        <v>317.98</v>
      </c>
      <c r="H1123" t="s">
        <v>20</v>
      </c>
      <c r="I1123" s="2">
        <v>45485</v>
      </c>
      <c r="J1123" s="2">
        <v>45568</v>
      </c>
      <c r="K1123" t="s">
        <v>172</v>
      </c>
    </row>
    <row r="1124" spans="1:11" x14ac:dyDescent="0.25">
      <c r="A1124" t="s">
        <v>108</v>
      </c>
      <c r="B1124" t="s">
        <v>28</v>
      </c>
      <c r="C1124">
        <v>9</v>
      </c>
      <c r="D1124">
        <v>23</v>
      </c>
      <c r="E1124" t="s">
        <v>19</v>
      </c>
      <c r="F1124" t="s">
        <v>171</v>
      </c>
      <c r="G1124">
        <v>103.5</v>
      </c>
      <c r="H1124" t="s">
        <v>14</v>
      </c>
      <c r="I1124" s="2">
        <v>45570</v>
      </c>
      <c r="J1124" s="2">
        <v>45614</v>
      </c>
      <c r="K1124" t="s">
        <v>172</v>
      </c>
    </row>
    <row r="1125" spans="1:11" x14ac:dyDescent="0.25">
      <c r="A1125" t="s">
        <v>136</v>
      </c>
      <c r="B1125" t="s">
        <v>12</v>
      </c>
      <c r="C1125">
        <v>109</v>
      </c>
      <c r="D1125">
        <v>94</v>
      </c>
      <c r="E1125" t="s">
        <v>13</v>
      </c>
      <c r="F1125" t="s">
        <v>173</v>
      </c>
      <c r="G1125">
        <v>212.08</v>
      </c>
      <c r="H1125" t="s">
        <v>20</v>
      </c>
      <c r="I1125" s="2">
        <v>45616</v>
      </c>
      <c r="J1125" s="2">
        <v>45698</v>
      </c>
      <c r="K1125" t="s">
        <v>172</v>
      </c>
    </row>
    <row r="1126" spans="1:11" x14ac:dyDescent="0.25">
      <c r="A1126" t="s">
        <v>90</v>
      </c>
      <c r="B1126" t="s">
        <v>30</v>
      </c>
      <c r="C1126">
        <v>161</v>
      </c>
      <c r="D1126">
        <v>26</v>
      </c>
      <c r="E1126" t="s">
        <v>13</v>
      </c>
      <c r="F1126" t="s">
        <v>171</v>
      </c>
      <c r="G1126">
        <v>376.72</v>
      </c>
      <c r="H1126" t="s">
        <v>26</v>
      </c>
      <c r="I1126" s="2">
        <v>45534</v>
      </c>
      <c r="J1126" s="2">
        <v>45577</v>
      </c>
      <c r="K1126" t="s">
        <v>21</v>
      </c>
    </row>
    <row r="1127" spans="1:11" x14ac:dyDescent="0.25">
      <c r="A1127" t="s">
        <v>96</v>
      </c>
      <c r="B1127" t="s">
        <v>23</v>
      </c>
      <c r="C1127">
        <v>123</v>
      </c>
      <c r="D1127">
        <v>93</v>
      </c>
      <c r="E1127" t="s">
        <v>13</v>
      </c>
      <c r="F1127" t="s">
        <v>170</v>
      </c>
      <c r="G1127">
        <v>55.18</v>
      </c>
      <c r="H1127" t="s">
        <v>14</v>
      </c>
      <c r="I1127" s="2">
        <v>45326</v>
      </c>
      <c r="J1127" s="2">
        <v>45413</v>
      </c>
      <c r="K1127" t="s">
        <v>17</v>
      </c>
    </row>
    <row r="1128" spans="1:11" x14ac:dyDescent="0.25">
      <c r="A1128" t="s">
        <v>109</v>
      </c>
      <c r="B1128" t="s">
        <v>28</v>
      </c>
      <c r="C1128">
        <v>86</v>
      </c>
      <c r="D1128">
        <v>58</v>
      </c>
      <c r="E1128" t="s">
        <v>13</v>
      </c>
      <c r="F1128" t="s">
        <v>170</v>
      </c>
      <c r="G1128">
        <v>142.54</v>
      </c>
      <c r="H1128" t="s">
        <v>26</v>
      </c>
      <c r="I1128" s="2">
        <v>45359</v>
      </c>
      <c r="J1128" s="2">
        <v>45441</v>
      </c>
    </row>
    <row r="1129" spans="1:11" x14ac:dyDescent="0.25">
      <c r="A1129" t="s">
        <v>92</v>
      </c>
      <c r="B1129" t="s">
        <v>23</v>
      </c>
      <c r="C1129">
        <v>54</v>
      </c>
      <c r="D1129">
        <v>32</v>
      </c>
      <c r="E1129" t="s">
        <v>13</v>
      </c>
      <c r="F1129" t="s">
        <v>173</v>
      </c>
      <c r="G1129">
        <v>141.78</v>
      </c>
      <c r="H1129" t="s">
        <v>26</v>
      </c>
      <c r="I1129" s="2">
        <v>45479</v>
      </c>
      <c r="J1129" s="2">
        <v>45544</v>
      </c>
    </row>
    <row r="1130" spans="1:11" x14ac:dyDescent="0.25">
      <c r="A1130" t="s">
        <v>99</v>
      </c>
      <c r="B1130" t="s">
        <v>28</v>
      </c>
      <c r="C1130">
        <v>31</v>
      </c>
      <c r="D1130">
        <v>50</v>
      </c>
      <c r="E1130" t="s">
        <v>19</v>
      </c>
      <c r="F1130" t="s">
        <v>171</v>
      </c>
      <c r="G1130">
        <v>218.85</v>
      </c>
      <c r="H1130" t="s">
        <v>14</v>
      </c>
      <c r="I1130" s="2">
        <v>45594</v>
      </c>
      <c r="J1130" s="2">
        <v>45632</v>
      </c>
      <c r="K1130" t="s">
        <v>172</v>
      </c>
    </row>
    <row r="1131" spans="1:11" x14ac:dyDescent="0.25">
      <c r="A1131" t="s">
        <v>94</v>
      </c>
      <c r="B1131" t="s">
        <v>28</v>
      </c>
      <c r="C1131">
        <v>177</v>
      </c>
      <c r="D1131">
        <v>90</v>
      </c>
      <c r="E1131" t="s">
        <v>13</v>
      </c>
      <c r="F1131" t="s">
        <v>173</v>
      </c>
      <c r="G1131">
        <v>490.28</v>
      </c>
      <c r="H1131" t="s">
        <v>20</v>
      </c>
      <c r="I1131" s="2">
        <v>45492</v>
      </c>
      <c r="J1131" s="2">
        <v>45520</v>
      </c>
      <c r="K1131" t="s">
        <v>172</v>
      </c>
    </row>
    <row r="1132" spans="1:11" x14ac:dyDescent="0.25">
      <c r="A1132" t="s">
        <v>73</v>
      </c>
      <c r="B1132" t="s">
        <v>12</v>
      </c>
      <c r="C1132">
        <v>134</v>
      </c>
      <c r="D1132">
        <v>82</v>
      </c>
      <c r="E1132" t="s">
        <v>13</v>
      </c>
      <c r="F1132" t="s">
        <v>171</v>
      </c>
      <c r="G1132">
        <v>38.409999999999997</v>
      </c>
      <c r="H1132" t="s">
        <v>20</v>
      </c>
      <c r="I1132" s="2">
        <v>45470</v>
      </c>
      <c r="J1132" s="2">
        <v>45553</v>
      </c>
      <c r="K1132" t="s">
        <v>21</v>
      </c>
    </row>
    <row r="1133" spans="1:11" x14ac:dyDescent="0.25">
      <c r="A1133" t="s">
        <v>137</v>
      </c>
      <c r="B1133" t="s">
        <v>28</v>
      </c>
      <c r="C1133">
        <v>92</v>
      </c>
      <c r="D1133">
        <v>75</v>
      </c>
      <c r="E1133" t="s">
        <v>13</v>
      </c>
      <c r="F1133" t="s">
        <v>170</v>
      </c>
      <c r="G1133">
        <v>261.76</v>
      </c>
      <c r="H1133" t="s">
        <v>20</v>
      </c>
      <c r="I1133" s="2">
        <v>45448</v>
      </c>
      <c r="J1133" s="2">
        <v>45480</v>
      </c>
      <c r="K1133" t="s">
        <v>172</v>
      </c>
    </row>
    <row r="1134" spans="1:11" x14ac:dyDescent="0.25">
      <c r="A1134" t="s">
        <v>114</v>
      </c>
      <c r="B1134" t="s">
        <v>23</v>
      </c>
      <c r="C1134">
        <v>7</v>
      </c>
      <c r="D1134">
        <v>61</v>
      </c>
      <c r="E1134" t="s">
        <v>19</v>
      </c>
      <c r="F1134" t="s">
        <v>173</v>
      </c>
      <c r="G1134">
        <v>93.79</v>
      </c>
      <c r="H1134" t="s">
        <v>20</v>
      </c>
      <c r="I1134" s="2">
        <v>45430</v>
      </c>
      <c r="J1134" s="2">
        <v>45486</v>
      </c>
    </row>
    <row r="1135" spans="1:11" x14ac:dyDescent="0.25">
      <c r="A1135" t="s">
        <v>102</v>
      </c>
      <c r="B1135" t="s">
        <v>28</v>
      </c>
      <c r="C1135">
        <v>64</v>
      </c>
      <c r="D1135">
        <v>80</v>
      </c>
      <c r="E1135" t="s">
        <v>19</v>
      </c>
      <c r="F1135" t="s">
        <v>173</v>
      </c>
      <c r="G1135">
        <v>485.48</v>
      </c>
      <c r="H1135" t="s">
        <v>14</v>
      </c>
      <c r="I1135" s="2">
        <v>45609</v>
      </c>
      <c r="J1135" s="2">
        <v>45680</v>
      </c>
    </row>
    <row r="1136" spans="1:11" x14ac:dyDescent="0.25">
      <c r="A1136" t="s">
        <v>18</v>
      </c>
      <c r="B1136" t="s">
        <v>12</v>
      </c>
      <c r="C1136">
        <v>56</v>
      </c>
      <c r="D1136">
        <v>61</v>
      </c>
      <c r="E1136" t="s">
        <v>19</v>
      </c>
      <c r="F1136" t="s">
        <v>170</v>
      </c>
      <c r="G1136">
        <v>61.09</v>
      </c>
      <c r="H1136" t="s">
        <v>14</v>
      </c>
      <c r="I1136" s="2">
        <v>45433</v>
      </c>
      <c r="J1136" s="2">
        <v>45459</v>
      </c>
      <c r="K1136" t="s">
        <v>17</v>
      </c>
    </row>
    <row r="1137" spans="1:11" x14ac:dyDescent="0.25">
      <c r="A1137" t="s">
        <v>126</v>
      </c>
      <c r="B1137" t="s">
        <v>12</v>
      </c>
      <c r="C1137">
        <v>66</v>
      </c>
      <c r="D1137">
        <v>75</v>
      </c>
      <c r="E1137" t="s">
        <v>19</v>
      </c>
      <c r="F1137" t="s">
        <v>173</v>
      </c>
      <c r="G1137">
        <v>204.78</v>
      </c>
      <c r="H1137" t="s">
        <v>14</v>
      </c>
      <c r="I1137" s="2">
        <v>45654</v>
      </c>
      <c r="J1137" s="2">
        <v>45685</v>
      </c>
      <c r="K1137" t="s">
        <v>17</v>
      </c>
    </row>
    <row r="1138" spans="1:11" x14ac:dyDescent="0.25">
      <c r="A1138" t="s">
        <v>138</v>
      </c>
      <c r="B1138" t="s">
        <v>23</v>
      </c>
      <c r="C1138">
        <v>186</v>
      </c>
      <c r="D1138">
        <v>55</v>
      </c>
      <c r="E1138" t="s">
        <v>13</v>
      </c>
      <c r="F1138" t="s">
        <v>171</v>
      </c>
      <c r="G1138">
        <v>370.25</v>
      </c>
      <c r="H1138" t="s">
        <v>26</v>
      </c>
      <c r="I1138" s="2">
        <v>45482</v>
      </c>
      <c r="J1138" s="2">
        <v>45526</v>
      </c>
    </row>
    <row r="1139" spans="1:11" x14ac:dyDescent="0.25">
      <c r="A1139" t="s">
        <v>139</v>
      </c>
      <c r="B1139" t="s">
        <v>16</v>
      </c>
      <c r="C1139">
        <v>71</v>
      </c>
      <c r="D1139">
        <v>87</v>
      </c>
      <c r="E1139" t="s">
        <v>19</v>
      </c>
      <c r="F1139" t="s">
        <v>171</v>
      </c>
      <c r="G1139">
        <v>353.75</v>
      </c>
      <c r="H1139" t="s">
        <v>14</v>
      </c>
      <c r="I1139" s="2">
        <v>45558</v>
      </c>
      <c r="J1139" s="2">
        <v>45647</v>
      </c>
    </row>
    <row r="1140" spans="1:11" x14ac:dyDescent="0.25">
      <c r="A1140" t="s">
        <v>82</v>
      </c>
      <c r="B1140" t="s">
        <v>16</v>
      </c>
      <c r="C1140">
        <v>53</v>
      </c>
      <c r="D1140">
        <v>26</v>
      </c>
      <c r="E1140" t="s">
        <v>13</v>
      </c>
      <c r="F1140" t="s">
        <v>171</v>
      </c>
      <c r="G1140">
        <v>214.25</v>
      </c>
      <c r="H1140" t="s">
        <v>20</v>
      </c>
      <c r="I1140" s="2">
        <v>45541</v>
      </c>
      <c r="J1140" s="2">
        <v>45578</v>
      </c>
      <c r="K1140" t="s">
        <v>21</v>
      </c>
    </row>
    <row r="1141" spans="1:11" x14ac:dyDescent="0.25">
      <c r="A1141" t="s">
        <v>75</v>
      </c>
      <c r="B1141" t="s">
        <v>28</v>
      </c>
      <c r="C1141">
        <v>66</v>
      </c>
      <c r="D1141">
        <v>73</v>
      </c>
      <c r="E1141" t="s">
        <v>19</v>
      </c>
      <c r="F1141" t="s">
        <v>171</v>
      </c>
      <c r="G1141">
        <v>176.53</v>
      </c>
      <c r="H1141" t="s">
        <v>26</v>
      </c>
      <c r="I1141" s="2">
        <v>45387</v>
      </c>
      <c r="J1141" s="2">
        <v>45402</v>
      </c>
      <c r="K1141" t="s">
        <v>21</v>
      </c>
    </row>
    <row r="1142" spans="1:11" x14ac:dyDescent="0.25">
      <c r="A1142" t="s">
        <v>139</v>
      </c>
      <c r="B1142" t="s">
        <v>30</v>
      </c>
      <c r="C1142">
        <v>50</v>
      </c>
      <c r="D1142">
        <v>20</v>
      </c>
      <c r="E1142" t="s">
        <v>13</v>
      </c>
      <c r="F1142" t="s">
        <v>170</v>
      </c>
      <c r="G1142">
        <v>201.82</v>
      </c>
      <c r="H1142" t="s">
        <v>20</v>
      </c>
      <c r="I1142" s="2">
        <v>45404</v>
      </c>
      <c r="J1142" s="2">
        <v>45450</v>
      </c>
    </row>
    <row r="1143" spans="1:11" x14ac:dyDescent="0.25">
      <c r="A1143" t="s">
        <v>136</v>
      </c>
      <c r="B1143" t="s">
        <v>28</v>
      </c>
      <c r="C1143">
        <v>96</v>
      </c>
      <c r="D1143">
        <v>63</v>
      </c>
      <c r="E1143" t="s">
        <v>13</v>
      </c>
      <c r="F1143" t="s">
        <v>173</v>
      </c>
      <c r="G1143">
        <v>135.82</v>
      </c>
      <c r="H1143" t="s">
        <v>20</v>
      </c>
      <c r="I1143" s="2">
        <v>45340</v>
      </c>
      <c r="J1143" s="2">
        <v>45363</v>
      </c>
      <c r="K1143" t="s">
        <v>172</v>
      </c>
    </row>
    <row r="1144" spans="1:11" x14ac:dyDescent="0.25">
      <c r="A1144" t="s">
        <v>140</v>
      </c>
      <c r="B1144" t="s">
        <v>23</v>
      </c>
      <c r="C1144">
        <v>91</v>
      </c>
      <c r="D1144">
        <v>64</v>
      </c>
      <c r="E1144" t="s">
        <v>13</v>
      </c>
      <c r="F1144" t="s">
        <v>171</v>
      </c>
      <c r="G1144">
        <v>106.64</v>
      </c>
      <c r="H1144" t="s">
        <v>14</v>
      </c>
      <c r="I1144" s="2">
        <v>45562</v>
      </c>
      <c r="J1144" s="2">
        <v>45591</v>
      </c>
      <c r="K1144" t="s">
        <v>17</v>
      </c>
    </row>
    <row r="1145" spans="1:11" x14ac:dyDescent="0.25">
      <c r="A1145" t="s">
        <v>141</v>
      </c>
      <c r="B1145" t="s">
        <v>23</v>
      </c>
      <c r="C1145">
        <v>7</v>
      </c>
      <c r="D1145">
        <v>66</v>
      </c>
      <c r="E1145" t="s">
        <v>19</v>
      </c>
      <c r="F1145" t="s">
        <v>170</v>
      </c>
      <c r="G1145">
        <v>244.1</v>
      </c>
      <c r="H1145" t="s">
        <v>14</v>
      </c>
      <c r="I1145" s="2">
        <v>45384</v>
      </c>
      <c r="J1145" s="2">
        <v>45426</v>
      </c>
    </row>
    <row r="1146" spans="1:11" x14ac:dyDescent="0.25">
      <c r="A1146" t="s">
        <v>54</v>
      </c>
      <c r="B1146" t="s">
        <v>23</v>
      </c>
      <c r="C1146">
        <v>161</v>
      </c>
      <c r="D1146">
        <v>32</v>
      </c>
      <c r="E1146" t="s">
        <v>13</v>
      </c>
      <c r="F1146" t="s">
        <v>173</v>
      </c>
      <c r="G1146">
        <v>137.91999999999999</v>
      </c>
      <c r="H1146" t="s">
        <v>20</v>
      </c>
      <c r="I1146" s="2">
        <v>45633</v>
      </c>
      <c r="J1146" s="2">
        <v>45671</v>
      </c>
      <c r="K1146" t="s">
        <v>172</v>
      </c>
    </row>
    <row r="1147" spans="1:11" x14ac:dyDescent="0.25">
      <c r="A1147" t="s">
        <v>130</v>
      </c>
      <c r="B1147" t="s">
        <v>23</v>
      </c>
      <c r="C1147">
        <v>34</v>
      </c>
      <c r="D1147">
        <v>41</v>
      </c>
      <c r="E1147" t="s">
        <v>19</v>
      </c>
      <c r="F1147" t="s">
        <v>173</v>
      </c>
      <c r="G1147">
        <v>147.29</v>
      </c>
      <c r="H1147" t="s">
        <v>20</v>
      </c>
      <c r="I1147" s="2">
        <v>45541</v>
      </c>
      <c r="J1147" s="2">
        <v>45615</v>
      </c>
    </row>
    <row r="1148" spans="1:11" x14ac:dyDescent="0.25">
      <c r="A1148" t="s">
        <v>97</v>
      </c>
      <c r="B1148" t="s">
        <v>23</v>
      </c>
      <c r="C1148">
        <v>95</v>
      </c>
      <c r="D1148">
        <v>40</v>
      </c>
      <c r="E1148" t="s">
        <v>13</v>
      </c>
      <c r="F1148" t="s">
        <v>170</v>
      </c>
      <c r="G1148">
        <v>330.09</v>
      </c>
      <c r="H1148" t="s">
        <v>26</v>
      </c>
      <c r="I1148" s="2">
        <v>45506</v>
      </c>
      <c r="J1148" s="2">
        <v>45555</v>
      </c>
      <c r="K1148" t="s">
        <v>17</v>
      </c>
    </row>
    <row r="1149" spans="1:11" x14ac:dyDescent="0.25">
      <c r="A1149" t="s">
        <v>99</v>
      </c>
      <c r="B1149" t="s">
        <v>12</v>
      </c>
      <c r="C1149">
        <v>87</v>
      </c>
      <c r="D1149">
        <v>28</v>
      </c>
      <c r="E1149" t="s">
        <v>13</v>
      </c>
      <c r="F1149" t="s">
        <v>170</v>
      </c>
      <c r="G1149">
        <v>484.43</v>
      </c>
      <c r="H1149" t="s">
        <v>14</v>
      </c>
      <c r="I1149" s="2">
        <v>45319</v>
      </c>
      <c r="J1149" s="2">
        <v>45360</v>
      </c>
      <c r="K1149" t="s">
        <v>17</v>
      </c>
    </row>
    <row r="1150" spans="1:11" x14ac:dyDescent="0.25">
      <c r="A1150" t="s">
        <v>83</v>
      </c>
      <c r="B1150" t="s">
        <v>16</v>
      </c>
      <c r="C1150">
        <v>77</v>
      </c>
      <c r="D1150">
        <v>45</v>
      </c>
      <c r="E1150" t="s">
        <v>13</v>
      </c>
      <c r="F1150" t="s">
        <v>171</v>
      </c>
      <c r="G1150">
        <v>303.8</v>
      </c>
      <c r="H1150" t="s">
        <v>26</v>
      </c>
      <c r="I1150" s="2">
        <v>45607</v>
      </c>
      <c r="J1150" s="2">
        <v>45641</v>
      </c>
      <c r="K1150" t="s">
        <v>21</v>
      </c>
    </row>
    <row r="1151" spans="1:11" x14ac:dyDescent="0.25">
      <c r="A1151" t="s">
        <v>100</v>
      </c>
      <c r="B1151" t="s">
        <v>23</v>
      </c>
      <c r="C1151">
        <v>31</v>
      </c>
      <c r="D1151">
        <v>28</v>
      </c>
      <c r="E1151" t="s">
        <v>13</v>
      </c>
      <c r="F1151" t="s">
        <v>173</v>
      </c>
      <c r="G1151">
        <v>43.1</v>
      </c>
      <c r="H1151" t="s">
        <v>26</v>
      </c>
      <c r="I1151" s="2">
        <v>45451</v>
      </c>
      <c r="J1151" s="2">
        <v>45530</v>
      </c>
      <c r="K1151" t="s">
        <v>21</v>
      </c>
    </row>
    <row r="1152" spans="1:11" x14ac:dyDescent="0.25">
      <c r="A1152" t="s">
        <v>89</v>
      </c>
      <c r="B1152" t="s">
        <v>30</v>
      </c>
      <c r="C1152">
        <v>119</v>
      </c>
      <c r="D1152">
        <v>34</v>
      </c>
      <c r="E1152" t="s">
        <v>13</v>
      </c>
      <c r="F1152" t="s">
        <v>173</v>
      </c>
      <c r="G1152">
        <v>42.41</v>
      </c>
      <c r="H1152" t="s">
        <v>26</v>
      </c>
      <c r="I1152" s="2">
        <v>45322</v>
      </c>
      <c r="J1152" s="2">
        <v>45385</v>
      </c>
      <c r="K1152" t="s">
        <v>21</v>
      </c>
    </row>
    <row r="1153" spans="1:11" x14ac:dyDescent="0.25">
      <c r="A1153" t="s">
        <v>133</v>
      </c>
      <c r="B1153" t="s">
        <v>30</v>
      </c>
      <c r="C1153">
        <v>45</v>
      </c>
      <c r="D1153">
        <v>29</v>
      </c>
      <c r="E1153" t="s">
        <v>13</v>
      </c>
      <c r="F1153" t="s">
        <v>170</v>
      </c>
      <c r="G1153">
        <v>475.95</v>
      </c>
      <c r="H1153" t="s">
        <v>20</v>
      </c>
      <c r="I1153" s="2">
        <v>45578</v>
      </c>
      <c r="J1153" s="2">
        <v>45593</v>
      </c>
      <c r="K1153" t="s">
        <v>21</v>
      </c>
    </row>
    <row r="1154" spans="1:11" x14ac:dyDescent="0.25">
      <c r="A1154" t="s">
        <v>139</v>
      </c>
      <c r="B1154" t="s">
        <v>30</v>
      </c>
      <c r="C1154">
        <v>143</v>
      </c>
      <c r="D1154">
        <v>61</v>
      </c>
      <c r="E1154" t="s">
        <v>13</v>
      </c>
      <c r="F1154" t="s">
        <v>173</v>
      </c>
      <c r="G1154">
        <v>152.16</v>
      </c>
      <c r="H1154" t="s">
        <v>26</v>
      </c>
      <c r="I1154" s="2">
        <v>45587</v>
      </c>
      <c r="J1154" s="2">
        <v>45611</v>
      </c>
      <c r="K1154" t="s">
        <v>17</v>
      </c>
    </row>
    <row r="1155" spans="1:11" x14ac:dyDescent="0.25">
      <c r="A1155" t="s">
        <v>142</v>
      </c>
      <c r="B1155" t="s">
        <v>30</v>
      </c>
      <c r="C1155">
        <v>195</v>
      </c>
      <c r="D1155">
        <v>91</v>
      </c>
      <c r="E1155" t="s">
        <v>13</v>
      </c>
      <c r="F1155" t="s">
        <v>171</v>
      </c>
      <c r="G1155">
        <v>50.57</v>
      </c>
      <c r="H1155" t="s">
        <v>26</v>
      </c>
      <c r="I1155" s="2">
        <v>45630</v>
      </c>
      <c r="J1155" s="2">
        <v>45691</v>
      </c>
      <c r="K1155" t="s">
        <v>172</v>
      </c>
    </row>
    <row r="1156" spans="1:11" x14ac:dyDescent="0.25">
      <c r="A1156" t="s">
        <v>131</v>
      </c>
      <c r="B1156" t="s">
        <v>12</v>
      </c>
      <c r="C1156">
        <v>164</v>
      </c>
      <c r="D1156">
        <v>43</v>
      </c>
      <c r="E1156" t="s">
        <v>13</v>
      </c>
      <c r="F1156" t="s">
        <v>173</v>
      </c>
      <c r="G1156">
        <v>301.52999999999997</v>
      </c>
      <c r="H1156" t="s">
        <v>20</v>
      </c>
      <c r="I1156" s="2">
        <v>45386</v>
      </c>
      <c r="J1156" s="2">
        <v>45459</v>
      </c>
      <c r="K1156" t="s">
        <v>172</v>
      </c>
    </row>
    <row r="1157" spans="1:11" x14ac:dyDescent="0.25">
      <c r="A1157" t="s">
        <v>39</v>
      </c>
      <c r="B1157" t="s">
        <v>30</v>
      </c>
      <c r="C1157">
        <v>181</v>
      </c>
      <c r="D1157">
        <v>99</v>
      </c>
      <c r="E1157" t="s">
        <v>13</v>
      </c>
      <c r="F1157" t="s">
        <v>170</v>
      </c>
      <c r="G1157">
        <v>313.70999999999998</v>
      </c>
      <c r="H1157" t="s">
        <v>14</v>
      </c>
      <c r="I1157" s="2">
        <v>45607</v>
      </c>
      <c r="J1157" s="2">
        <v>45683</v>
      </c>
      <c r="K1157" t="s">
        <v>172</v>
      </c>
    </row>
    <row r="1158" spans="1:11" x14ac:dyDescent="0.25">
      <c r="A1158" t="s">
        <v>107</v>
      </c>
      <c r="B1158" t="s">
        <v>23</v>
      </c>
      <c r="C1158">
        <v>141</v>
      </c>
      <c r="D1158">
        <v>68</v>
      </c>
      <c r="E1158" t="s">
        <v>13</v>
      </c>
      <c r="F1158" t="s">
        <v>170</v>
      </c>
      <c r="G1158">
        <v>326.01</v>
      </c>
      <c r="H1158" t="s">
        <v>14</v>
      </c>
      <c r="I1158" s="2">
        <v>45365</v>
      </c>
      <c r="J1158" s="2">
        <v>45397</v>
      </c>
    </row>
    <row r="1159" spans="1:11" x14ac:dyDescent="0.25">
      <c r="A1159" t="s">
        <v>111</v>
      </c>
      <c r="B1159" t="s">
        <v>28</v>
      </c>
      <c r="C1159">
        <v>54</v>
      </c>
      <c r="D1159">
        <v>45</v>
      </c>
      <c r="E1159" t="s">
        <v>13</v>
      </c>
      <c r="F1159" t="s">
        <v>171</v>
      </c>
      <c r="G1159">
        <v>137.36000000000001</v>
      </c>
      <c r="H1159" t="s">
        <v>26</v>
      </c>
      <c r="I1159" s="2">
        <v>45410</v>
      </c>
      <c r="J1159" s="2">
        <v>45470</v>
      </c>
      <c r="K1159" t="s">
        <v>21</v>
      </c>
    </row>
    <row r="1160" spans="1:11" x14ac:dyDescent="0.25">
      <c r="A1160" t="s">
        <v>95</v>
      </c>
      <c r="B1160" t="s">
        <v>30</v>
      </c>
      <c r="C1160">
        <v>175</v>
      </c>
      <c r="D1160">
        <v>56</v>
      </c>
      <c r="E1160" t="s">
        <v>13</v>
      </c>
      <c r="F1160" t="s">
        <v>171</v>
      </c>
      <c r="G1160">
        <v>12.48</v>
      </c>
      <c r="H1160" t="s">
        <v>20</v>
      </c>
      <c r="I1160" s="2">
        <v>45393</v>
      </c>
      <c r="J1160" s="2">
        <v>45439</v>
      </c>
      <c r="K1160" t="s">
        <v>21</v>
      </c>
    </row>
    <row r="1161" spans="1:11" x14ac:dyDescent="0.25">
      <c r="A1161" t="s">
        <v>102</v>
      </c>
      <c r="B1161" t="s">
        <v>12</v>
      </c>
      <c r="C1161">
        <v>6</v>
      </c>
      <c r="D1161">
        <v>87</v>
      </c>
      <c r="E1161" t="s">
        <v>19</v>
      </c>
      <c r="F1161" t="s">
        <v>173</v>
      </c>
      <c r="G1161">
        <v>482.68</v>
      </c>
      <c r="H1161" t="s">
        <v>14</v>
      </c>
      <c r="I1161" s="2">
        <v>45578</v>
      </c>
      <c r="J1161" s="2">
        <v>45619</v>
      </c>
      <c r="K1161" t="s">
        <v>17</v>
      </c>
    </row>
    <row r="1162" spans="1:11" x14ac:dyDescent="0.25">
      <c r="A1162" t="s">
        <v>102</v>
      </c>
      <c r="B1162" t="s">
        <v>12</v>
      </c>
      <c r="C1162">
        <v>73</v>
      </c>
      <c r="D1162">
        <v>69</v>
      </c>
      <c r="E1162" t="s">
        <v>13</v>
      </c>
      <c r="F1162" t="s">
        <v>173</v>
      </c>
      <c r="G1162">
        <v>129.19</v>
      </c>
      <c r="H1162" t="s">
        <v>26</v>
      </c>
      <c r="I1162" s="2">
        <v>45467</v>
      </c>
      <c r="J1162" s="2">
        <v>45499</v>
      </c>
      <c r="K1162" t="s">
        <v>17</v>
      </c>
    </row>
    <row r="1163" spans="1:11" x14ac:dyDescent="0.25">
      <c r="A1163" t="s">
        <v>128</v>
      </c>
      <c r="B1163" t="s">
        <v>30</v>
      </c>
      <c r="C1163">
        <v>6</v>
      </c>
      <c r="D1163">
        <v>43</v>
      </c>
      <c r="E1163" t="s">
        <v>19</v>
      </c>
      <c r="F1163" t="s">
        <v>170</v>
      </c>
      <c r="G1163">
        <v>339.63</v>
      </c>
      <c r="H1163" t="s">
        <v>26</v>
      </c>
      <c r="I1163" s="2">
        <v>45610</v>
      </c>
      <c r="J1163" s="2">
        <v>45663</v>
      </c>
    </row>
    <row r="1164" spans="1:11" x14ac:dyDescent="0.25">
      <c r="A1164" t="s">
        <v>120</v>
      </c>
      <c r="B1164" t="s">
        <v>28</v>
      </c>
      <c r="C1164">
        <v>160</v>
      </c>
      <c r="D1164">
        <v>38</v>
      </c>
      <c r="E1164" t="s">
        <v>13</v>
      </c>
      <c r="F1164" t="s">
        <v>171</v>
      </c>
      <c r="G1164">
        <v>354.78</v>
      </c>
      <c r="H1164" t="s">
        <v>20</v>
      </c>
      <c r="I1164" s="2">
        <v>45296</v>
      </c>
      <c r="J1164" s="2">
        <v>45359</v>
      </c>
    </row>
    <row r="1165" spans="1:11" x14ac:dyDescent="0.25">
      <c r="A1165" t="s">
        <v>140</v>
      </c>
      <c r="B1165" t="s">
        <v>30</v>
      </c>
      <c r="C1165">
        <v>150</v>
      </c>
      <c r="D1165">
        <v>79</v>
      </c>
      <c r="E1165" t="s">
        <v>13</v>
      </c>
      <c r="F1165" t="s">
        <v>171</v>
      </c>
      <c r="G1165">
        <v>306.95</v>
      </c>
      <c r="H1165" t="s">
        <v>26</v>
      </c>
      <c r="I1165" s="2">
        <v>45303</v>
      </c>
      <c r="J1165" s="2">
        <v>45361</v>
      </c>
      <c r="K1165" t="s">
        <v>172</v>
      </c>
    </row>
    <row r="1166" spans="1:11" x14ac:dyDescent="0.25">
      <c r="A1166" t="s">
        <v>90</v>
      </c>
      <c r="B1166" t="s">
        <v>12</v>
      </c>
      <c r="C1166">
        <v>84</v>
      </c>
      <c r="D1166">
        <v>58</v>
      </c>
      <c r="E1166" t="s">
        <v>13</v>
      </c>
      <c r="F1166" t="s">
        <v>171</v>
      </c>
      <c r="G1166">
        <v>159.88999999999999</v>
      </c>
      <c r="H1166" t="s">
        <v>14</v>
      </c>
      <c r="I1166" s="2">
        <v>45305</v>
      </c>
      <c r="J1166" s="2">
        <v>45391</v>
      </c>
      <c r="K1166" t="s">
        <v>17</v>
      </c>
    </row>
    <row r="1167" spans="1:11" x14ac:dyDescent="0.25">
      <c r="A1167" t="s">
        <v>143</v>
      </c>
      <c r="B1167" t="s">
        <v>16</v>
      </c>
      <c r="C1167">
        <v>146</v>
      </c>
      <c r="D1167">
        <v>93</v>
      </c>
      <c r="E1167" t="s">
        <v>13</v>
      </c>
      <c r="F1167" t="s">
        <v>173</v>
      </c>
      <c r="G1167">
        <v>139.19</v>
      </c>
      <c r="H1167" t="s">
        <v>20</v>
      </c>
      <c r="I1167" s="2">
        <v>45468</v>
      </c>
      <c r="J1167" s="2">
        <v>45536</v>
      </c>
      <c r="K1167" t="s">
        <v>21</v>
      </c>
    </row>
    <row r="1168" spans="1:11" x14ac:dyDescent="0.25">
      <c r="A1168" t="s">
        <v>56</v>
      </c>
      <c r="B1168" t="s">
        <v>23</v>
      </c>
      <c r="C1168">
        <v>111</v>
      </c>
      <c r="D1168">
        <v>37</v>
      </c>
      <c r="E1168" t="s">
        <v>13</v>
      </c>
      <c r="F1168" t="s">
        <v>171</v>
      </c>
      <c r="G1168">
        <v>300.85000000000002</v>
      </c>
      <c r="H1168" t="s">
        <v>14</v>
      </c>
      <c r="I1168" s="2">
        <v>45401</v>
      </c>
      <c r="J1168" s="2">
        <v>45449</v>
      </c>
      <c r="K1168" t="s">
        <v>172</v>
      </c>
    </row>
    <row r="1169" spans="1:11" x14ac:dyDescent="0.25">
      <c r="A1169" t="s">
        <v>144</v>
      </c>
      <c r="B1169" t="s">
        <v>12</v>
      </c>
      <c r="C1169">
        <v>124</v>
      </c>
      <c r="D1169">
        <v>38</v>
      </c>
      <c r="E1169" t="s">
        <v>13</v>
      </c>
      <c r="F1169" t="s">
        <v>170</v>
      </c>
      <c r="G1169">
        <v>433.72</v>
      </c>
      <c r="H1169" t="s">
        <v>14</v>
      </c>
      <c r="I1169" s="2">
        <v>45435</v>
      </c>
      <c r="J1169" s="2">
        <v>45520</v>
      </c>
      <c r="K1169" t="s">
        <v>21</v>
      </c>
    </row>
    <row r="1170" spans="1:11" x14ac:dyDescent="0.25">
      <c r="A1170" t="s">
        <v>145</v>
      </c>
      <c r="B1170" t="s">
        <v>30</v>
      </c>
      <c r="C1170">
        <v>146</v>
      </c>
      <c r="D1170">
        <v>55</v>
      </c>
      <c r="E1170" t="s">
        <v>13</v>
      </c>
      <c r="F1170" t="s">
        <v>170</v>
      </c>
      <c r="G1170">
        <v>473.63</v>
      </c>
      <c r="H1170" t="s">
        <v>14</v>
      </c>
      <c r="I1170" s="2">
        <v>45416</v>
      </c>
      <c r="J1170" s="2">
        <v>45466</v>
      </c>
      <c r="K1170" t="s">
        <v>172</v>
      </c>
    </row>
    <row r="1171" spans="1:11" x14ac:dyDescent="0.25">
      <c r="A1171" t="s">
        <v>80</v>
      </c>
      <c r="B1171" t="s">
        <v>23</v>
      </c>
      <c r="C1171">
        <v>35</v>
      </c>
      <c r="D1171">
        <v>93</v>
      </c>
      <c r="E1171" t="s">
        <v>19</v>
      </c>
      <c r="F1171" t="s">
        <v>173</v>
      </c>
      <c r="G1171">
        <v>57.42</v>
      </c>
      <c r="H1171" t="s">
        <v>26</v>
      </c>
      <c r="I1171" s="2">
        <v>45388</v>
      </c>
      <c r="J1171" s="2">
        <v>45420</v>
      </c>
      <c r="K1171" t="s">
        <v>21</v>
      </c>
    </row>
    <row r="1172" spans="1:11" x14ac:dyDescent="0.25">
      <c r="A1172" t="s">
        <v>135</v>
      </c>
      <c r="B1172" t="s">
        <v>30</v>
      </c>
      <c r="C1172">
        <v>28</v>
      </c>
      <c r="D1172">
        <v>74</v>
      </c>
      <c r="E1172" t="s">
        <v>19</v>
      </c>
      <c r="F1172" t="s">
        <v>173</v>
      </c>
      <c r="G1172">
        <v>81.64</v>
      </c>
      <c r="H1172" t="s">
        <v>26</v>
      </c>
      <c r="I1172" s="2">
        <v>45656</v>
      </c>
      <c r="J1172" s="2">
        <v>45708</v>
      </c>
    </row>
    <row r="1173" spans="1:11" x14ac:dyDescent="0.25">
      <c r="A1173" t="s">
        <v>128</v>
      </c>
      <c r="B1173" t="s">
        <v>30</v>
      </c>
      <c r="C1173">
        <v>187</v>
      </c>
      <c r="D1173">
        <v>88</v>
      </c>
      <c r="E1173" t="s">
        <v>13</v>
      </c>
      <c r="F1173" t="s">
        <v>171</v>
      </c>
      <c r="G1173">
        <v>472.64</v>
      </c>
      <c r="H1173" t="s">
        <v>14</v>
      </c>
      <c r="I1173" s="2">
        <v>45623</v>
      </c>
      <c r="J1173" s="2">
        <v>45696</v>
      </c>
      <c r="K1173" t="s">
        <v>172</v>
      </c>
    </row>
    <row r="1174" spans="1:11" x14ac:dyDescent="0.25">
      <c r="A1174" t="s">
        <v>77</v>
      </c>
      <c r="B1174" t="s">
        <v>16</v>
      </c>
      <c r="C1174">
        <v>81</v>
      </c>
      <c r="D1174">
        <v>66</v>
      </c>
      <c r="E1174" t="s">
        <v>13</v>
      </c>
      <c r="F1174" t="s">
        <v>173</v>
      </c>
      <c r="G1174">
        <v>369.58</v>
      </c>
      <c r="H1174" t="s">
        <v>14</v>
      </c>
      <c r="I1174" s="2">
        <v>45578</v>
      </c>
      <c r="J1174" s="2">
        <v>45601</v>
      </c>
      <c r="K1174" t="s">
        <v>21</v>
      </c>
    </row>
    <row r="1175" spans="1:11" x14ac:dyDescent="0.25">
      <c r="A1175" t="s">
        <v>146</v>
      </c>
      <c r="B1175" t="s">
        <v>23</v>
      </c>
      <c r="C1175">
        <v>1</v>
      </c>
      <c r="D1175">
        <v>68</v>
      </c>
      <c r="E1175" t="s">
        <v>19</v>
      </c>
      <c r="F1175" t="s">
        <v>170</v>
      </c>
      <c r="G1175">
        <v>442.08</v>
      </c>
      <c r="H1175" t="s">
        <v>20</v>
      </c>
      <c r="I1175" s="2">
        <v>45421</v>
      </c>
      <c r="J1175" s="2">
        <v>45508</v>
      </c>
      <c r="K1175" t="s">
        <v>21</v>
      </c>
    </row>
    <row r="1176" spans="1:11" x14ac:dyDescent="0.25">
      <c r="A1176" t="s">
        <v>96</v>
      </c>
      <c r="B1176" t="s">
        <v>23</v>
      </c>
      <c r="C1176">
        <v>128</v>
      </c>
      <c r="D1176">
        <v>52</v>
      </c>
      <c r="E1176" t="s">
        <v>13</v>
      </c>
      <c r="F1176" t="s">
        <v>171</v>
      </c>
      <c r="G1176">
        <v>105.3</v>
      </c>
      <c r="H1176" t="s">
        <v>20</v>
      </c>
      <c r="I1176" s="2">
        <v>45323</v>
      </c>
      <c r="J1176" s="2">
        <v>45409</v>
      </c>
      <c r="K1176" t="s">
        <v>17</v>
      </c>
    </row>
    <row r="1177" spans="1:11" x14ac:dyDescent="0.25">
      <c r="A1177" t="s">
        <v>100</v>
      </c>
      <c r="B1177" t="s">
        <v>16</v>
      </c>
      <c r="C1177">
        <v>46</v>
      </c>
      <c r="D1177">
        <v>40</v>
      </c>
      <c r="E1177" t="s">
        <v>13</v>
      </c>
      <c r="F1177" t="s">
        <v>170</v>
      </c>
      <c r="G1177">
        <v>295.86</v>
      </c>
      <c r="H1177" t="s">
        <v>26</v>
      </c>
      <c r="I1177" s="2">
        <v>45308</v>
      </c>
      <c r="J1177" s="2">
        <v>45373</v>
      </c>
      <c r="K1177" t="s">
        <v>172</v>
      </c>
    </row>
    <row r="1178" spans="1:11" x14ac:dyDescent="0.25">
      <c r="A1178" t="s">
        <v>128</v>
      </c>
      <c r="B1178" t="s">
        <v>12</v>
      </c>
      <c r="C1178">
        <v>196</v>
      </c>
      <c r="D1178">
        <v>41</v>
      </c>
      <c r="E1178" t="s">
        <v>13</v>
      </c>
      <c r="F1178" t="s">
        <v>171</v>
      </c>
      <c r="G1178">
        <v>352.06</v>
      </c>
      <c r="H1178" t="s">
        <v>26</v>
      </c>
      <c r="I1178" s="2">
        <v>45559</v>
      </c>
      <c r="J1178" s="2">
        <v>45608</v>
      </c>
      <c r="K1178" t="s">
        <v>21</v>
      </c>
    </row>
    <row r="1179" spans="1:11" x14ac:dyDescent="0.25">
      <c r="A1179" t="s">
        <v>81</v>
      </c>
      <c r="B1179" t="s">
        <v>30</v>
      </c>
      <c r="C1179">
        <v>147</v>
      </c>
      <c r="D1179">
        <v>67</v>
      </c>
      <c r="E1179" t="s">
        <v>13</v>
      </c>
      <c r="F1179" t="s">
        <v>173</v>
      </c>
      <c r="G1179">
        <v>341.66</v>
      </c>
      <c r="H1179" t="s">
        <v>20</v>
      </c>
      <c r="I1179" s="2">
        <v>45575</v>
      </c>
      <c r="J1179" s="2">
        <v>45594</v>
      </c>
      <c r="K1179" t="s">
        <v>17</v>
      </c>
    </row>
    <row r="1180" spans="1:11" x14ac:dyDescent="0.25">
      <c r="A1180" t="s">
        <v>83</v>
      </c>
      <c r="B1180" t="s">
        <v>28</v>
      </c>
      <c r="C1180">
        <v>10</v>
      </c>
      <c r="D1180">
        <v>56</v>
      </c>
      <c r="E1180" t="s">
        <v>19</v>
      </c>
      <c r="F1180" t="s">
        <v>171</v>
      </c>
      <c r="G1180">
        <v>207.04</v>
      </c>
      <c r="H1180" t="s">
        <v>14</v>
      </c>
      <c r="I1180" s="2">
        <v>45465</v>
      </c>
      <c r="J1180" s="2">
        <v>45493</v>
      </c>
      <c r="K1180" t="s">
        <v>21</v>
      </c>
    </row>
    <row r="1181" spans="1:11" x14ac:dyDescent="0.25">
      <c r="A1181" t="s">
        <v>85</v>
      </c>
      <c r="B1181" t="s">
        <v>30</v>
      </c>
      <c r="C1181">
        <v>129</v>
      </c>
      <c r="D1181">
        <v>34</v>
      </c>
      <c r="E1181" t="s">
        <v>13</v>
      </c>
      <c r="F1181" t="s">
        <v>171</v>
      </c>
      <c r="G1181">
        <v>12.62</v>
      </c>
      <c r="H1181" t="s">
        <v>26</v>
      </c>
      <c r="I1181" s="2">
        <v>45404</v>
      </c>
      <c r="J1181" s="2">
        <v>45448</v>
      </c>
      <c r="K1181" t="s">
        <v>172</v>
      </c>
    </row>
    <row r="1182" spans="1:11" x14ac:dyDescent="0.25">
      <c r="A1182" t="s">
        <v>113</v>
      </c>
      <c r="B1182" t="s">
        <v>30</v>
      </c>
      <c r="C1182">
        <v>194</v>
      </c>
      <c r="D1182">
        <v>54</v>
      </c>
      <c r="E1182" t="s">
        <v>13</v>
      </c>
      <c r="F1182" t="s">
        <v>170</v>
      </c>
      <c r="G1182">
        <v>293.55</v>
      </c>
      <c r="H1182" t="s">
        <v>14</v>
      </c>
      <c r="I1182" s="2">
        <v>45619</v>
      </c>
      <c r="J1182" s="2">
        <v>45637</v>
      </c>
    </row>
    <row r="1183" spans="1:11" x14ac:dyDescent="0.25">
      <c r="A1183" t="s">
        <v>124</v>
      </c>
      <c r="B1183" t="s">
        <v>12</v>
      </c>
      <c r="C1183">
        <v>118</v>
      </c>
      <c r="D1183">
        <v>90</v>
      </c>
      <c r="E1183" t="s">
        <v>13</v>
      </c>
      <c r="F1183" t="s">
        <v>170</v>
      </c>
      <c r="G1183">
        <v>130.29</v>
      </c>
      <c r="H1183" t="s">
        <v>20</v>
      </c>
      <c r="I1183" s="2">
        <v>45643</v>
      </c>
      <c r="J1183" s="2">
        <v>45696</v>
      </c>
      <c r="K1183" t="s">
        <v>172</v>
      </c>
    </row>
    <row r="1184" spans="1:11" x14ac:dyDescent="0.25">
      <c r="A1184" t="s">
        <v>104</v>
      </c>
      <c r="B1184" t="s">
        <v>30</v>
      </c>
      <c r="C1184">
        <v>139</v>
      </c>
      <c r="D1184">
        <v>51</v>
      </c>
      <c r="E1184" t="s">
        <v>13</v>
      </c>
      <c r="F1184" t="s">
        <v>171</v>
      </c>
      <c r="G1184">
        <v>227.88</v>
      </c>
      <c r="H1184" t="s">
        <v>26</v>
      </c>
      <c r="I1184" s="2">
        <v>45310</v>
      </c>
      <c r="J1184" s="2">
        <v>45388</v>
      </c>
      <c r="K1184" t="s">
        <v>172</v>
      </c>
    </row>
    <row r="1185" spans="1:11" x14ac:dyDescent="0.25">
      <c r="A1185" t="s">
        <v>147</v>
      </c>
      <c r="B1185" t="s">
        <v>16</v>
      </c>
      <c r="C1185">
        <v>19</v>
      </c>
      <c r="D1185">
        <v>30</v>
      </c>
      <c r="E1185" t="s">
        <v>19</v>
      </c>
      <c r="F1185" t="s">
        <v>173</v>
      </c>
      <c r="G1185">
        <v>479</v>
      </c>
      <c r="H1185" t="s">
        <v>26</v>
      </c>
      <c r="I1185" s="2">
        <v>45347</v>
      </c>
      <c r="J1185" s="2">
        <v>45386</v>
      </c>
      <c r="K1185" t="s">
        <v>21</v>
      </c>
    </row>
    <row r="1186" spans="1:11" x14ac:dyDescent="0.25">
      <c r="A1186" t="s">
        <v>126</v>
      </c>
      <c r="B1186" t="s">
        <v>16</v>
      </c>
      <c r="C1186">
        <v>4</v>
      </c>
      <c r="D1186">
        <v>29</v>
      </c>
      <c r="E1186" t="s">
        <v>19</v>
      </c>
      <c r="F1186" t="s">
        <v>173</v>
      </c>
      <c r="G1186">
        <v>202.52</v>
      </c>
      <c r="H1186" t="s">
        <v>20</v>
      </c>
      <c r="I1186" s="2">
        <v>45448</v>
      </c>
      <c r="J1186" s="2">
        <v>45490</v>
      </c>
      <c r="K1186" t="s">
        <v>21</v>
      </c>
    </row>
    <row r="1187" spans="1:11" x14ac:dyDescent="0.25">
      <c r="A1187" t="s">
        <v>93</v>
      </c>
      <c r="B1187" t="s">
        <v>23</v>
      </c>
      <c r="C1187">
        <v>36</v>
      </c>
      <c r="D1187">
        <v>92</v>
      </c>
      <c r="E1187" t="s">
        <v>19</v>
      </c>
      <c r="F1187" t="s">
        <v>170</v>
      </c>
      <c r="G1187">
        <v>420.7</v>
      </c>
      <c r="H1187" t="s">
        <v>26</v>
      </c>
      <c r="I1187" s="2">
        <v>45300</v>
      </c>
      <c r="J1187" s="2">
        <v>45380</v>
      </c>
      <c r="K1187" t="s">
        <v>172</v>
      </c>
    </row>
    <row r="1188" spans="1:11" x14ac:dyDescent="0.25">
      <c r="A1188" t="s">
        <v>27</v>
      </c>
      <c r="B1188" t="s">
        <v>28</v>
      </c>
      <c r="C1188">
        <v>165</v>
      </c>
      <c r="D1188">
        <v>97</v>
      </c>
      <c r="E1188" t="s">
        <v>13</v>
      </c>
      <c r="F1188" t="s">
        <v>173</v>
      </c>
      <c r="G1188">
        <v>98.33</v>
      </c>
      <c r="H1188" t="s">
        <v>20</v>
      </c>
      <c r="I1188" s="2">
        <v>45568</v>
      </c>
      <c r="J1188" s="2">
        <v>45604</v>
      </c>
      <c r="K1188" t="s">
        <v>17</v>
      </c>
    </row>
    <row r="1189" spans="1:11" x14ac:dyDescent="0.25">
      <c r="A1189" t="s">
        <v>82</v>
      </c>
      <c r="B1189" t="s">
        <v>30</v>
      </c>
      <c r="C1189">
        <v>136</v>
      </c>
      <c r="D1189">
        <v>96</v>
      </c>
      <c r="E1189" t="s">
        <v>13</v>
      </c>
      <c r="F1189" t="s">
        <v>170</v>
      </c>
      <c r="G1189">
        <v>337.87</v>
      </c>
      <c r="H1189" t="s">
        <v>26</v>
      </c>
      <c r="I1189" s="2">
        <v>45601</v>
      </c>
      <c r="J1189" s="2">
        <v>45646</v>
      </c>
      <c r="K1189" t="s">
        <v>17</v>
      </c>
    </row>
    <row r="1190" spans="1:11" x14ac:dyDescent="0.25">
      <c r="A1190" t="s">
        <v>72</v>
      </c>
      <c r="B1190" t="s">
        <v>30</v>
      </c>
      <c r="C1190">
        <v>52</v>
      </c>
      <c r="D1190">
        <v>76</v>
      </c>
      <c r="E1190" t="s">
        <v>19</v>
      </c>
      <c r="F1190" t="s">
        <v>173</v>
      </c>
      <c r="G1190">
        <v>488.62</v>
      </c>
      <c r="H1190" t="s">
        <v>20</v>
      </c>
      <c r="I1190" s="2">
        <v>45563</v>
      </c>
      <c r="J1190" s="2">
        <v>45600</v>
      </c>
      <c r="K1190" t="s">
        <v>17</v>
      </c>
    </row>
    <row r="1191" spans="1:11" x14ac:dyDescent="0.25">
      <c r="A1191" t="s">
        <v>128</v>
      </c>
      <c r="B1191" t="s">
        <v>12</v>
      </c>
      <c r="C1191">
        <v>171</v>
      </c>
      <c r="D1191">
        <v>44</v>
      </c>
      <c r="E1191" t="s">
        <v>13</v>
      </c>
      <c r="F1191" t="s">
        <v>171</v>
      </c>
      <c r="G1191">
        <v>55.44</v>
      </c>
      <c r="H1191" t="s">
        <v>26</v>
      </c>
      <c r="I1191" s="2">
        <v>45564</v>
      </c>
      <c r="J1191" s="2">
        <v>45626</v>
      </c>
      <c r="K1191" t="s">
        <v>21</v>
      </c>
    </row>
    <row r="1192" spans="1:11" x14ac:dyDescent="0.25">
      <c r="A1192" t="s">
        <v>148</v>
      </c>
      <c r="B1192" t="s">
        <v>16</v>
      </c>
      <c r="C1192">
        <v>98</v>
      </c>
      <c r="D1192">
        <v>21</v>
      </c>
      <c r="E1192" t="s">
        <v>13</v>
      </c>
      <c r="F1192" t="s">
        <v>170</v>
      </c>
      <c r="G1192">
        <v>9.1199999999999992</v>
      </c>
      <c r="H1192" t="s">
        <v>14</v>
      </c>
      <c r="I1192" s="2">
        <v>45317</v>
      </c>
      <c r="J1192" s="2">
        <v>45351</v>
      </c>
      <c r="K1192" t="s">
        <v>21</v>
      </c>
    </row>
    <row r="1193" spans="1:11" x14ac:dyDescent="0.25">
      <c r="A1193" t="s">
        <v>109</v>
      </c>
      <c r="B1193" t="s">
        <v>28</v>
      </c>
      <c r="C1193">
        <v>85</v>
      </c>
      <c r="D1193">
        <v>83</v>
      </c>
      <c r="E1193" t="s">
        <v>13</v>
      </c>
      <c r="F1193" t="s">
        <v>170</v>
      </c>
      <c r="G1193">
        <v>219.62</v>
      </c>
      <c r="H1193" t="s">
        <v>14</v>
      </c>
      <c r="I1193" s="2">
        <v>45572</v>
      </c>
      <c r="J1193" s="2">
        <v>45624</v>
      </c>
      <c r="K1193" t="s">
        <v>172</v>
      </c>
    </row>
    <row r="1194" spans="1:11" x14ac:dyDescent="0.25">
      <c r="A1194" t="s">
        <v>91</v>
      </c>
      <c r="B1194" t="s">
        <v>23</v>
      </c>
      <c r="C1194">
        <v>107</v>
      </c>
      <c r="D1194">
        <v>54</v>
      </c>
      <c r="E1194" t="s">
        <v>13</v>
      </c>
      <c r="F1194" t="s">
        <v>171</v>
      </c>
      <c r="G1194">
        <v>50.85</v>
      </c>
      <c r="H1194" t="s">
        <v>14</v>
      </c>
      <c r="I1194" s="2">
        <v>45412</v>
      </c>
      <c r="J1194" s="2">
        <v>45481</v>
      </c>
    </row>
    <row r="1195" spans="1:11" x14ac:dyDescent="0.25">
      <c r="A1195" t="s">
        <v>142</v>
      </c>
      <c r="B1195" t="s">
        <v>16</v>
      </c>
      <c r="C1195">
        <v>23</v>
      </c>
      <c r="D1195">
        <v>26</v>
      </c>
      <c r="E1195" t="s">
        <v>19</v>
      </c>
      <c r="F1195" t="s">
        <v>170</v>
      </c>
      <c r="G1195">
        <v>375.45</v>
      </c>
      <c r="H1195" t="s">
        <v>26</v>
      </c>
      <c r="I1195" s="2">
        <v>45635</v>
      </c>
      <c r="J1195" s="2">
        <v>45717</v>
      </c>
      <c r="K1195" t="s">
        <v>21</v>
      </c>
    </row>
    <row r="1196" spans="1:11" x14ac:dyDescent="0.25">
      <c r="A1196" t="s">
        <v>97</v>
      </c>
      <c r="B1196" t="s">
        <v>23</v>
      </c>
      <c r="C1196">
        <v>80</v>
      </c>
      <c r="D1196">
        <v>37</v>
      </c>
      <c r="E1196" t="s">
        <v>13</v>
      </c>
      <c r="F1196" t="s">
        <v>173</v>
      </c>
      <c r="G1196">
        <v>457.7</v>
      </c>
      <c r="H1196" t="s">
        <v>26</v>
      </c>
      <c r="I1196" s="2">
        <v>45366</v>
      </c>
      <c r="J1196" s="2">
        <v>45381</v>
      </c>
      <c r="K1196" t="s">
        <v>172</v>
      </c>
    </row>
    <row r="1197" spans="1:11" x14ac:dyDescent="0.25">
      <c r="A1197" t="s">
        <v>128</v>
      </c>
      <c r="B1197" t="s">
        <v>12</v>
      </c>
      <c r="C1197">
        <v>157</v>
      </c>
      <c r="D1197">
        <v>86</v>
      </c>
      <c r="E1197" t="s">
        <v>13</v>
      </c>
      <c r="F1197" t="s">
        <v>173</v>
      </c>
      <c r="G1197">
        <v>219.84</v>
      </c>
      <c r="H1197" t="s">
        <v>14</v>
      </c>
      <c r="I1197" s="2">
        <v>45385</v>
      </c>
      <c r="J1197" s="2">
        <v>45406</v>
      </c>
      <c r="K1197" t="s">
        <v>172</v>
      </c>
    </row>
    <row r="1198" spans="1:11" x14ac:dyDescent="0.25">
      <c r="A1198" t="s">
        <v>112</v>
      </c>
      <c r="B1198" t="s">
        <v>12</v>
      </c>
      <c r="C1198">
        <v>119</v>
      </c>
      <c r="D1198">
        <v>61</v>
      </c>
      <c r="E1198" t="s">
        <v>13</v>
      </c>
      <c r="F1198" t="s">
        <v>170</v>
      </c>
      <c r="G1198">
        <v>133.06</v>
      </c>
      <c r="H1198" t="s">
        <v>14</v>
      </c>
      <c r="I1198" s="2">
        <v>45351</v>
      </c>
      <c r="J1198" s="2">
        <v>45422</v>
      </c>
    </row>
    <row r="1199" spans="1:11" x14ac:dyDescent="0.25">
      <c r="A1199" t="s">
        <v>56</v>
      </c>
      <c r="B1199" t="s">
        <v>30</v>
      </c>
      <c r="C1199">
        <v>58</v>
      </c>
      <c r="D1199">
        <v>58</v>
      </c>
      <c r="E1199" t="s">
        <v>13</v>
      </c>
      <c r="F1199" t="s">
        <v>173</v>
      </c>
      <c r="G1199">
        <v>220.03</v>
      </c>
      <c r="H1199" t="s">
        <v>20</v>
      </c>
      <c r="I1199" s="2">
        <v>45535</v>
      </c>
      <c r="J1199" s="2">
        <v>45561</v>
      </c>
      <c r="K1199" t="s">
        <v>17</v>
      </c>
    </row>
    <row r="1200" spans="1:11" x14ac:dyDescent="0.25">
      <c r="A1200" t="s">
        <v>82</v>
      </c>
      <c r="B1200" t="s">
        <v>28</v>
      </c>
      <c r="C1200">
        <v>127</v>
      </c>
      <c r="D1200">
        <v>60</v>
      </c>
      <c r="E1200" t="s">
        <v>13</v>
      </c>
      <c r="F1200" t="s">
        <v>170</v>
      </c>
      <c r="G1200">
        <v>363.11</v>
      </c>
      <c r="H1200" t="s">
        <v>20</v>
      </c>
      <c r="I1200" s="2">
        <v>45529</v>
      </c>
      <c r="J1200" s="2">
        <v>45548</v>
      </c>
      <c r="K1200" t="s">
        <v>172</v>
      </c>
    </row>
    <row r="1201" spans="1:11" x14ac:dyDescent="0.25">
      <c r="A1201" t="s">
        <v>94</v>
      </c>
      <c r="B1201" t="s">
        <v>23</v>
      </c>
      <c r="C1201">
        <v>113</v>
      </c>
      <c r="D1201">
        <v>94</v>
      </c>
      <c r="E1201" t="s">
        <v>13</v>
      </c>
      <c r="F1201" t="s">
        <v>171</v>
      </c>
      <c r="G1201">
        <v>9.48</v>
      </c>
      <c r="H1201" t="s">
        <v>20</v>
      </c>
      <c r="I1201" s="2">
        <v>45544</v>
      </c>
      <c r="J1201" s="2">
        <v>45608</v>
      </c>
      <c r="K1201" t="s">
        <v>172</v>
      </c>
    </row>
    <row r="1202" spans="1:11" x14ac:dyDescent="0.25">
      <c r="A1202" t="s">
        <v>54</v>
      </c>
      <c r="B1202" t="s">
        <v>16</v>
      </c>
      <c r="C1202">
        <v>114</v>
      </c>
      <c r="D1202">
        <v>43</v>
      </c>
      <c r="E1202" t="s">
        <v>13</v>
      </c>
      <c r="F1202" t="s">
        <v>170</v>
      </c>
      <c r="G1202">
        <v>296.77999999999997</v>
      </c>
      <c r="H1202" t="s">
        <v>14</v>
      </c>
      <c r="I1202" s="2">
        <v>45384</v>
      </c>
      <c r="J1202" s="2">
        <v>45440</v>
      </c>
      <c r="K1202" t="s">
        <v>172</v>
      </c>
    </row>
    <row r="1203" spans="1:11" x14ac:dyDescent="0.25">
      <c r="A1203" t="s">
        <v>149</v>
      </c>
      <c r="B1203" t="s">
        <v>12</v>
      </c>
      <c r="C1203">
        <v>13</v>
      </c>
      <c r="D1203">
        <v>79</v>
      </c>
      <c r="E1203" t="s">
        <v>19</v>
      </c>
      <c r="F1203" t="s">
        <v>171</v>
      </c>
      <c r="G1203">
        <v>308.58</v>
      </c>
      <c r="H1203" t="s">
        <v>14</v>
      </c>
      <c r="I1203" s="2">
        <v>45321</v>
      </c>
      <c r="J1203" s="2">
        <v>45347</v>
      </c>
      <c r="K1203" t="s">
        <v>17</v>
      </c>
    </row>
    <row r="1204" spans="1:11" x14ac:dyDescent="0.25">
      <c r="A1204" t="s">
        <v>150</v>
      </c>
      <c r="B1204" t="s">
        <v>30</v>
      </c>
      <c r="C1204">
        <v>8</v>
      </c>
      <c r="D1204">
        <v>65</v>
      </c>
      <c r="E1204" t="s">
        <v>19</v>
      </c>
      <c r="F1204" t="s">
        <v>173</v>
      </c>
      <c r="G1204">
        <v>320.66000000000003</v>
      </c>
      <c r="H1204" t="s">
        <v>14</v>
      </c>
      <c r="I1204" s="2">
        <v>45527</v>
      </c>
      <c r="J1204" s="2">
        <v>45559</v>
      </c>
      <c r="K1204" t="s">
        <v>17</v>
      </c>
    </row>
    <row r="1205" spans="1:11" x14ac:dyDescent="0.25">
      <c r="A1205" t="s">
        <v>107</v>
      </c>
      <c r="B1205" t="s">
        <v>30</v>
      </c>
      <c r="C1205">
        <v>39</v>
      </c>
      <c r="D1205">
        <v>38</v>
      </c>
      <c r="E1205" t="s">
        <v>13</v>
      </c>
      <c r="F1205" t="s">
        <v>171</v>
      </c>
      <c r="G1205">
        <v>124.8</v>
      </c>
      <c r="H1205" t="s">
        <v>20</v>
      </c>
      <c r="I1205" s="2">
        <v>45525</v>
      </c>
      <c r="J1205" s="2">
        <v>45605</v>
      </c>
    </row>
    <row r="1206" spans="1:11" x14ac:dyDescent="0.25">
      <c r="A1206" t="s">
        <v>98</v>
      </c>
      <c r="B1206" t="s">
        <v>23</v>
      </c>
      <c r="C1206">
        <v>193</v>
      </c>
      <c r="D1206">
        <v>87</v>
      </c>
      <c r="E1206" t="s">
        <v>13</v>
      </c>
      <c r="F1206" t="s">
        <v>173</v>
      </c>
      <c r="G1206">
        <v>358.46</v>
      </c>
      <c r="H1206" t="s">
        <v>26</v>
      </c>
      <c r="I1206" s="2">
        <v>45572</v>
      </c>
      <c r="J1206" s="2">
        <v>45660</v>
      </c>
      <c r="K1206" t="s">
        <v>21</v>
      </c>
    </row>
    <row r="1207" spans="1:11" x14ac:dyDescent="0.25">
      <c r="A1207" t="s">
        <v>135</v>
      </c>
      <c r="B1207" t="s">
        <v>12</v>
      </c>
      <c r="C1207">
        <v>24</v>
      </c>
      <c r="D1207">
        <v>61</v>
      </c>
      <c r="E1207" t="s">
        <v>19</v>
      </c>
      <c r="F1207" t="s">
        <v>170</v>
      </c>
      <c r="G1207">
        <v>50.24</v>
      </c>
      <c r="H1207" t="s">
        <v>14</v>
      </c>
      <c r="I1207" s="2">
        <v>45307</v>
      </c>
      <c r="J1207" s="2">
        <v>45338</v>
      </c>
      <c r="K1207" t="s">
        <v>17</v>
      </c>
    </row>
    <row r="1208" spans="1:11" x14ac:dyDescent="0.25">
      <c r="A1208" t="s">
        <v>107</v>
      </c>
      <c r="B1208" t="s">
        <v>28</v>
      </c>
      <c r="C1208">
        <v>102</v>
      </c>
      <c r="D1208">
        <v>51</v>
      </c>
      <c r="E1208" t="s">
        <v>13</v>
      </c>
      <c r="F1208" t="s">
        <v>173</v>
      </c>
      <c r="G1208">
        <v>103.64</v>
      </c>
      <c r="H1208" t="s">
        <v>26</v>
      </c>
      <c r="I1208" s="2">
        <v>45576</v>
      </c>
      <c r="J1208" s="2">
        <v>45658</v>
      </c>
      <c r="K1208" t="s">
        <v>21</v>
      </c>
    </row>
    <row r="1209" spans="1:11" x14ac:dyDescent="0.25">
      <c r="A1209" t="s">
        <v>132</v>
      </c>
      <c r="B1209" t="s">
        <v>12</v>
      </c>
      <c r="C1209">
        <v>21</v>
      </c>
      <c r="D1209">
        <v>58</v>
      </c>
      <c r="E1209" t="s">
        <v>19</v>
      </c>
      <c r="F1209" t="s">
        <v>170</v>
      </c>
      <c r="G1209">
        <v>439.35</v>
      </c>
      <c r="H1209" t="s">
        <v>26</v>
      </c>
      <c r="I1209" s="2">
        <v>45332</v>
      </c>
      <c r="J1209" s="2">
        <v>45417</v>
      </c>
      <c r="K1209" t="s">
        <v>21</v>
      </c>
    </row>
    <row r="1210" spans="1:11" x14ac:dyDescent="0.25">
      <c r="A1210" t="s">
        <v>146</v>
      </c>
      <c r="B1210" t="s">
        <v>23</v>
      </c>
      <c r="C1210">
        <v>3</v>
      </c>
      <c r="D1210">
        <v>55</v>
      </c>
      <c r="E1210" t="s">
        <v>19</v>
      </c>
      <c r="F1210" t="s">
        <v>170</v>
      </c>
      <c r="G1210">
        <v>370.67</v>
      </c>
      <c r="H1210" t="s">
        <v>26</v>
      </c>
      <c r="I1210" s="2">
        <v>45588</v>
      </c>
      <c r="J1210" s="2">
        <v>45664</v>
      </c>
      <c r="K1210" t="s">
        <v>17</v>
      </c>
    </row>
    <row r="1211" spans="1:11" x14ac:dyDescent="0.25">
      <c r="A1211" t="s">
        <v>126</v>
      </c>
      <c r="B1211" t="s">
        <v>23</v>
      </c>
      <c r="C1211">
        <v>153</v>
      </c>
      <c r="D1211">
        <v>55</v>
      </c>
      <c r="E1211" t="s">
        <v>13</v>
      </c>
      <c r="F1211" t="s">
        <v>171</v>
      </c>
      <c r="G1211">
        <v>11.8</v>
      </c>
      <c r="H1211" t="s">
        <v>20</v>
      </c>
      <c r="I1211" s="2">
        <v>45509</v>
      </c>
      <c r="J1211" s="2">
        <v>45564</v>
      </c>
      <c r="K1211" t="s">
        <v>172</v>
      </c>
    </row>
    <row r="1212" spans="1:11" x14ac:dyDescent="0.25">
      <c r="A1212" t="s">
        <v>91</v>
      </c>
      <c r="B1212" t="s">
        <v>12</v>
      </c>
      <c r="C1212">
        <v>185</v>
      </c>
      <c r="D1212">
        <v>22</v>
      </c>
      <c r="E1212" t="s">
        <v>13</v>
      </c>
      <c r="F1212" t="s">
        <v>171</v>
      </c>
      <c r="G1212">
        <v>127.95</v>
      </c>
      <c r="H1212" t="s">
        <v>26</v>
      </c>
      <c r="I1212" s="2">
        <v>45641</v>
      </c>
      <c r="J1212" s="2">
        <v>45689</v>
      </c>
    </row>
    <row r="1213" spans="1:11" x14ac:dyDescent="0.25">
      <c r="A1213" t="s">
        <v>80</v>
      </c>
      <c r="B1213" t="s">
        <v>23</v>
      </c>
      <c r="C1213">
        <v>28</v>
      </c>
      <c r="D1213">
        <v>92</v>
      </c>
      <c r="E1213" t="s">
        <v>19</v>
      </c>
      <c r="F1213" t="s">
        <v>171</v>
      </c>
      <c r="G1213">
        <v>111.13</v>
      </c>
      <c r="H1213" t="s">
        <v>14</v>
      </c>
      <c r="I1213" s="2">
        <v>45350</v>
      </c>
      <c r="J1213" s="2">
        <v>45434</v>
      </c>
      <c r="K1213" t="s">
        <v>21</v>
      </c>
    </row>
    <row r="1214" spans="1:11" x14ac:dyDescent="0.25">
      <c r="A1214" t="s">
        <v>43</v>
      </c>
      <c r="B1214" t="s">
        <v>12</v>
      </c>
      <c r="C1214">
        <v>108</v>
      </c>
      <c r="D1214">
        <v>27</v>
      </c>
      <c r="E1214" t="s">
        <v>13</v>
      </c>
      <c r="F1214" t="s">
        <v>171</v>
      </c>
      <c r="G1214">
        <v>139.05000000000001</v>
      </c>
      <c r="H1214" t="s">
        <v>20</v>
      </c>
      <c r="I1214" s="2">
        <v>45552</v>
      </c>
      <c r="J1214" s="2">
        <v>45611</v>
      </c>
      <c r="K1214" t="s">
        <v>172</v>
      </c>
    </row>
    <row r="1215" spans="1:11" x14ac:dyDescent="0.25">
      <c r="A1215" t="s">
        <v>18</v>
      </c>
      <c r="B1215" t="s">
        <v>16</v>
      </c>
      <c r="C1215">
        <v>97</v>
      </c>
      <c r="D1215">
        <v>89</v>
      </c>
      <c r="E1215" t="s">
        <v>13</v>
      </c>
      <c r="F1215" t="s">
        <v>173</v>
      </c>
      <c r="G1215">
        <v>127.54</v>
      </c>
      <c r="H1215" t="s">
        <v>14</v>
      </c>
      <c r="I1215" s="2">
        <v>45492</v>
      </c>
      <c r="J1215" s="2">
        <v>45564</v>
      </c>
      <c r="K1215" t="s">
        <v>17</v>
      </c>
    </row>
    <row r="1216" spans="1:11" x14ac:dyDescent="0.25">
      <c r="A1216" t="s">
        <v>104</v>
      </c>
      <c r="B1216" t="s">
        <v>12</v>
      </c>
      <c r="C1216">
        <v>36</v>
      </c>
      <c r="D1216">
        <v>60</v>
      </c>
      <c r="E1216" t="s">
        <v>19</v>
      </c>
      <c r="F1216" t="s">
        <v>173</v>
      </c>
      <c r="G1216">
        <v>35.950000000000003</v>
      </c>
      <c r="H1216" t="s">
        <v>14</v>
      </c>
      <c r="I1216" s="2">
        <v>45456</v>
      </c>
      <c r="J1216" s="2">
        <v>45521</v>
      </c>
      <c r="K1216" t="s">
        <v>21</v>
      </c>
    </row>
    <row r="1217" spans="1:11" x14ac:dyDescent="0.25">
      <c r="A1217" t="s">
        <v>102</v>
      </c>
      <c r="B1217" t="s">
        <v>12</v>
      </c>
      <c r="C1217">
        <v>74</v>
      </c>
      <c r="D1217">
        <v>87</v>
      </c>
      <c r="E1217" t="s">
        <v>19</v>
      </c>
      <c r="F1217" t="s">
        <v>173</v>
      </c>
      <c r="G1217">
        <v>232.18</v>
      </c>
      <c r="H1217" t="s">
        <v>20</v>
      </c>
      <c r="I1217" s="2">
        <v>45460</v>
      </c>
      <c r="J1217" s="2">
        <v>45508</v>
      </c>
      <c r="K1217" t="s">
        <v>21</v>
      </c>
    </row>
    <row r="1218" spans="1:11" x14ac:dyDescent="0.25">
      <c r="A1218" t="s">
        <v>91</v>
      </c>
      <c r="B1218" t="s">
        <v>23</v>
      </c>
      <c r="C1218">
        <v>69</v>
      </c>
      <c r="D1218">
        <v>32</v>
      </c>
      <c r="E1218" t="s">
        <v>13</v>
      </c>
      <c r="F1218" t="s">
        <v>170</v>
      </c>
      <c r="G1218">
        <v>367.7</v>
      </c>
      <c r="H1218" t="s">
        <v>14</v>
      </c>
      <c r="I1218" s="2">
        <v>45472</v>
      </c>
      <c r="J1218" s="2">
        <v>45530</v>
      </c>
      <c r="K1218" t="s">
        <v>21</v>
      </c>
    </row>
    <row r="1219" spans="1:11" x14ac:dyDescent="0.25">
      <c r="A1219" t="s">
        <v>147</v>
      </c>
      <c r="B1219" t="s">
        <v>23</v>
      </c>
      <c r="C1219">
        <v>145</v>
      </c>
      <c r="D1219">
        <v>68</v>
      </c>
      <c r="E1219" t="s">
        <v>13</v>
      </c>
      <c r="F1219" t="s">
        <v>173</v>
      </c>
      <c r="G1219">
        <v>305.33</v>
      </c>
      <c r="H1219" t="s">
        <v>14</v>
      </c>
      <c r="I1219" s="2">
        <v>45335</v>
      </c>
      <c r="J1219" s="2">
        <v>45364</v>
      </c>
      <c r="K1219" t="s">
        <v>172</v>
      </c>
    </row>
    <row r="1220" spans="1:11" x14ac:dyDescent="0.25">
      <c r="A1220" t="s">
        <v>94</v>
      </c>
      <c r="B1220" t="s">
        <v>30</v>
      </c>
      <c r="C1220">
        <v>127</v>
      </c>
      <c r="D1220">
        <v>79</v>
      </c>
      <c r="E1220" t="s">
        <v>13</v>
      </c>
      <c r="F1220" t="s">
        <v>173</v>
      </c>
      <c r="G1220">
        <v>338.07</v>
      </c>
      <c r="H1220" t="s">
        <v>20</v>
      </c>
      <c r="I1220" s="2">
        <v>45392</v>
      </c>
      <c r="J1220" s="2">
        <v>45476</v>
      </c>
      <c r="K1220" t="s">
        <v>172</v>
      </c>
    </row>
    <row r="1221" spans="1:11" x14ac:dyDescent="0.25">
      <c r="A1221" t="s">
        <v>110</v>
      </c>
      <c r="B1221" t="s">
        <v>30</v>
      </c>
      <c r="C1221">
        <v>84</v>
      </c>
      <c r="D1221">
        <v>21</v>
      </c>
      <c r="E1221" t="s">
        <v>13</v>
      </c>
      <c r="F1221" t="s">
        <v>173</v>
      </c>
      <c r="G1221">
        <v>45.17</v>
      </c>
      <c r="H1221" t="s">
        <v>14</v>
      </c>
      <c r="I1221" s="2">
        <v>45294</v>
      </c>
      <c r="J1221" s="2">
        <v>45358</v>
      </c>
      <c r="K1221" t="s">
        <v>172</v>
      </c>
    </row>
    <row r="1222" spans="1:11" x14ac:dyDescent="0.25">
      <c r="A1222" t="s">
        <v>109</v>
      </c>
      <c r="B1222" t="s">
        <v>16</v>
      </c>
      <c r="C1222">
        <v>41</v>
      </c>
      <c r="D1222">
        <v>79</v>
      </c>
      <c r="E1222" t="s">
        <v>19</v>
      </c>
      <c r="F1222" t="s">
        <v>171</v>
      </c>
      <c r="G1222">
        <v>475.99</v>
      </c>
      <c r="H1222" t="s">
        <v>26</v>
      </c>
      <c r="I1222" s="2">
        <v>45557</v>
      </c>
      <c r="J1222" s="2">
        <v>45603</v>
      </c>
      <c r="K1222" t="s">
        <v>21</v>
      </c>
    </row>
    <row r="1223" spans="1:11" x14ac:dyDescent="0.25">
      <c r="A1223" t="s">
        <v>98</v>
      </c>
      <c r="B1223" t="s">
        <v>30</v>
      </c>
      <c r="C1223">
        <v>99</v>
      </c>
      <c r="D1223">
        <v>24</v>
      </c>
      <c r="E1223" t="s">
        <v>13</v>
      </c>
      <c r="F1223" t="s">
        <v>173</v>
      </c>
      <c r="G1223">
        <v>420.05</v>
      </c>
      <c r="H1223" t="s">
        <v>14</v>
      </c>
      <c r="I1223" s="2">
        <v>45315</v>
      </c>
      <c r="J1223" s="2">
        <v>45396</v>
      </c>
      <c r="K1223" t="s">
        <v>21</v>
      </c>
    </row>
    <row r="1224" spans="1:11" x14ac:dyDescent="0.25">
      <c r="A1224" t="s">
        <v>67</v>
      </c>
      <c r="B1224" t="s">
        <v>12</v>
      </c>
      <c r="C1224">
        <v>40</v>
      </c>
      <c r="D1224">
        <v>63</v>
      </c>
      <c r="E1224" t="s">
        <v>19</v>
      </c>
      <c r="F1224" t="s">
        <v>170</v>
      </c>
      <c r="G1224">
        <v>403.52</v>
      </c>
      <c r="H1224" t="s">
        <v>26</v>
      </c>
      <c r="I1224" s="2">
        <v>45337</v>
      </c>
      <c r="J1224" s="2">
        <v>45354</v>
      </c>
    </row>
    <row r="1225" spans="1:11" x14ac:dyDescent="0.25">
      <c r="A1225" t="s">
        <v>115</v>
      </c>
      <c r="B1225" t="s">
        <v>23</v>
      </c>
      <c r="C1225">
        <v>165</v>
      </c>
      <c r="D1225">
        <v>46</v>
      </c>
      <c r="E1225" t="s">
        <v>13</v>
      </c>
      <c r="F1225" t="s">
        <v>171</v>
      </c>
      <c r="G1225">
        <v>412.38</v>
      </c>
      <c r="H1225" t="s">
        <v>14</v>
      </c>
      <c r="I1225" s="2">
        <v>45443</v>
      </c>
      <c r="J1225" s="2">
        <v>45531</v>
      </c>
    </row>
    <row r="1226" spans="1:11" x14ac:dyDescent="0.25">
      <c r="A1226" t="s">
        <v>151</v>
      </c>
      <c r="B1226" t="s">
        <v>30</v>
      </c>
      <c r="C1226">
        <v>33</v>
      </c>
      <c r="D1226">
        <v>51</v>
      </c>
      <c r="E1226" t="s">
        <v>19</v>
      </c>
      <c r="F1226" t="s">
        <v>170</v>
      </c>
      <c r="G1226">
        <v>466.69</v>
      </c>
      <c r="H1226" t="s">
        <v>20</v>
      </c>
      <c r="I1226" s="2">
        <v>45379</v>
      </c>
      <c r="J1226" s="2">
        <v>45444</v>
      </c>
      <c r="K1226" t="s">
        <v>172</v>
      </c>
    </row>
    <row r="1227" spans="1:11" x14ac:dyDescent="0.25">
      <c r="A1227" t="s">
        <v>82</v>
      </c>
      <c r="B1227" t="s">
        <v>30</v>
      </c>
      <c r="C1227">
        <v>16</v>
      </c>
      <c r="D1227">
        <v>40</v>
      </c>
      <c r="E1227" t="s">
        <v>19</v>
      </c>
      <c r="F1227" t="s">
        <v>173</v>
      </c>
      <c r="G1227">
        <v>274.41000000000003</v>
      </c>
      <c r="H1227" t="s">
        <v>20</v>
      </c>
      <c r="I1227" s="2">
        <v>45495</v>
      </c>
      <c r="J1227" s="2">
        <v>45576</v>
      </c>
      <c r="K1227" t="s">
        <v>172</v>
      </c>
    </row>
    <row r="1228" spans="1:11" x14ac:dyDescent="0.25">
      <c r="A1228" t="s">
        <v>92</v>
      </c>
      <c r="B1228" t="s">
        <v>16</v>
      </c>
      <c r="C1228">
        <v>164</v>
      </c>
      <c r="D1228">
        <v>27</v>
      </c>
      <c r="E1228" t="s">
        <v>13</v>
      </c>
      <c r="F1228" t="s">
        <v>171</v>
      </c>
      <c r="G1228">
        <v>104.14</v>
      </c>
      <c r="H1228" t="s">
        <v>14</v>
      </c>
      <c r="I1228" s="2">
        <v>45500</v>
      </c>
      <c r="J1228" s="2">
        <v>45562</v>
      </c>
      <c r="K1228" t="s">
        <v>17</v>
      </c>
    </row>
    <row r="1229" spans="1:11" x14ac:dyDescent="0.25">
      <c r="A1229" t="s">
        <v>137</v>
      </c>
      <c r="B1229" t="s">
        <v>16</v>
      </c>
      <c r="C1229">
        <v>152</v>
      </c>
      <c r="D1229">
        <v>91</v>
      </c>
      <c r="E1229" t="s">
        <v>13</v>
      </c>
      <c r="F1229" t="s">
        <v>170</v>
      </c>
      <c r="G1229">
        <v>310.31</v>
      </c>
      <c r="H1229" t="s">
        <v>20</v>
      </c>
      <c r="I1229" s="2">
        <v>45406</v>
      </c>
      <c r="J1229" s="2">
        <v>45437</v>
      </c>
      <c r="K1229" t="s">
        <v>172</v>
      </c>
    </row>
    <row r="1230" spans="1:11" x14ac:dyDescent="0.25">
      <c r="A1230" t="s">
        <v>90</v>
      </c>
      <c r="B1230" t="s">
        <v>12</v>
      </c>
      <c r="C1230">
        <v>121</v>
      </c>
      <c r="D1230">
        <v>69</v>
      </c>
      <c r="E1230" t="s">
        <v>13</v>
      </c>
      <c r="F1230" t="s">
        <v>173</v>
      </c>
      <c r="G1230">
        <v>372.73</v>
      </c>
      <c r="H1230" t="s">
        <v>14</v>
      </c>
      <c r="I1230" s="2">
        <v>45560</v>
      </c>
      <c r="J1230" s="2">
        <v>45581</v>
      </c>
    </row>
    <row r="1231" spans="1:11" x14ac:dyDescent="0.25">
      <c r="A1231" t="s">
        <v>124</v>
      </c>
      <c r="B1231" t="s">
        <v>23</v>
      </c>
      <c r="C1231">
        <v>75</v>
      </c>
      <c r="D1231">
        <v>86</v>
      </c>
      <c r="E1231" t="s">
        <v>19</v>
      </c>
      <c r="F1231" t="s">
        <v>170</v>
      </c>
      <c r="G1231">
        <v>370.27</v>
      </c>
      <c r="H1231" t="s">
        <v>20</v>
      </c>
      <c r="I1231" s="2">
        <v>45639</v>
      </c>
      <c r="J1231" s="2">
        <v>45666</v>
      </c>
    </row>
    <row r="1232" spans="1:11" x14ac:dyDescent="0.25">
      <c r="A1232" t="s">
        <v>117</v>
      </c>
      <c r="B1232" t="s">
        <v>16</v>
      </c>
      <c r="C1232">
        <v>86</v>
      </c>
      <c r="D1232">
        <v>63</v>
      </c>
      <c r="E1232" t="s">
        <v>13</v>
      </c>
      <c r="F1232" t="s">
        <v>170</v>
      </c>
      <c r="G1232">
        <v>263.12</v>
      </c>
      <c r="H1232" t="s">
        <v>26</v>
      </c>
      <c r="I1232" s="2">
        <v>45330</v>
      </c>
      <c r="J1232" s="2">
        <v>45410</v>
      </c>
    </row>
    <row r="1233" spans="1:11" x14ac:dyDescent="0.25">
      <c r="A1233" t="s">
        <v>146</v>
      </c>
      <c r="B1233" t="s">
        <v>30</v>
      </c>
      <c r="C1233">
        <v>116</v>
      </c>
      <c r="D1233">
        <v>77</v>
      </c>
      <c r="E1233" t="s">
        <v>13</v>
      </c>
      <c r="F1233" t="s">
        <v>170</v>
      </c>
      <c r="G1233">
        <v>38.89</v>
      </c>
      <c r="H1233" t="s">
        <v>14</v>
      </c>
      <c r="I1233" s="2">
        <v>45560</v>
      </c>
      <c r="J1233" s="2">
        <v>45578</v>
      </c>
      <c r="K1233" t="s">
        <v>21</v>
      </c>
    </row>
    <row r="1234" spans="1:11" x14ac:dyDescent="0.25">
      <c r="A1234" t="s">
        <v>124</v>
      </c>
      <c r="B1234" t="s">
        <v>23</v>
      </c>
      <c r="C1234">
        <v>105</v>
      </c>
      <c r="D1234">
        <v>22</v>
      </c>
      <c r="E1234" t="s">
        <v>13</v>
      </c>
      <c r="F1234" t="s">
        <v>173</v>
      </c>
      <c r="G1234">
        <v>188.7</v>
      </c>
      <c r="H1234" t="s">
        <v>26</v>
      </c>
      <c r="I1234" s="2">
        <v>45656</v>
      </c>
      <c r="J1234" s="2">
        <v>45680</v>
      </c>
      <c r="K1234" t="s">
        <v>21</v>
      </c>
    </row>
    <row r="1235" spans="1:11" x14ac:dyDescent="0.25">
      <c r="A1235" t="s">
        <v>128</v>
      </c>
      <c r="B1235" t="s">
        <v>23</v>
      </c>
      <c r="C1235">
        <v>85</v>
      </c>
      <c r="D1235">
        <v>89</v>
      </c>
      <c r="E1235" t="s">
        <v>19</v>
      </c>
      <c r="F1235" t="s">
        <v>173</v>
      </c>
      <c r="G1235">
        <v>460.78</v>
      </c>
      <c r="H1235" t="s">
        <v>26</v>
      </c>
      <c r="I1235" s="2">
        <v>45441</v>
      </c>
      <c r="J1235" s="2">
        <v>45472</v>
      </c>
      <c r="K1235" t="s">
        <v>172</v>
      </c>
    </row>
    <row r="1236" spans="1:11" x14ac:dyDescent="0.25">
      <c r="A1236" t="s">
        <v>113</v>
      </c>
      <c r="B1236" t="s">
        <v>30</v>
      </c>
      <c r="C1236">
        <v>26</v>
      </c>
      <c r="D1236">
        <v>21</v>
      </c>
      <c r="E1236" t="s">
        <v>13</v>
      </c>
      <c r="F1236" t="s">
        <v>170</v>
      </c>
      <c r="G1236">
        <v>294.3</v>
      </c>
      <c r="H1236" t="s">
        <v>14</v>
      </c>
      <c r="I1236" s="2">
        <v>45525</v>
      </c>
      <c r="J1236" s="2">
        <v>45591</v>
      </c>
      <c r="K1236" t="s">
        <v>17</v>
      </c>
    </row>
    <row r="1237" spans="1:11" x14ac:dyDescent="0.25">
      <c r="A1237" t="s">
        <v>94</v>
      </c>
      <c r="B1237" t="s">
        <v>16</v>
      </c>
      <c r="C1237">
        <v>56</v>
      </c>
      <c r="D1237">
        <v>63</v>
      </c>
      <c r="E1237" t="s">
        <v>19</v>
      </c>
      <c r="F1237" t="s">
        <v>171</v>
      </c>
      <c r="G1237">
        <v>271.47000000000003</v>
      </c>
      <c r="H1237" t="s">
        <v>26</v>
      </c>
      <c r="I1237" s="2">
        <v>45397</v>
      </c>
      <c r="J1237" s="2">
        <v>45417</v>
      </c>
      <c r="K1237" t="s">
        <v>17</v>
      </c>
    </row>
    <row r="1238" spans="1:11" x14ac:dyDescent="0.25">
      <c r="A1238" t="s">
        <v>85</v>
      </c>
      <c r="B1238" t="s">
        <v>30</v>
      </c>
      <c r="C1238">
        <v>30</v>
      </c>
      <c r="D1238">
        <v>21</v>
      </c>
      <c r="E1238" t="s">
        <v>13</v>
      </c>
      <c r="F1238" t="s">
        <v>171</v>
      </c>
      <c r="G1238">
        <v>138.08000000000001</v>
      </c>
      <c r="H1238" t="s">
        <v>14</v>
      </c>
      <c r="I1238" s="2">
        <v>45532</v>
      </c>
      <c r="J1238" s="2">
        <v>45615</v>
      </c>
      <c r="K1238" t="s">
        <v>17</v>
      </c>
    </row>
    <row r="1239" spans="1:11" x14ac:dyDescent="0.25">
      <c r="A1239" t="s">
        <v>76</v>
      </c>
      <c r="B1239" t="s">
        <v>23</v>
      </c>
      <c r="C1239">
        <v>133</v>
      </c>
      <c r="D1239">
        <v>54</v>
      </c>
      <c r="E1239" t="s">
        <v>13</v>
      </c>
      <c r="F1239" t="s">
        <v>173</v>
      </c>
      <c r="G1239">
        <v>187.38</v>
      </c>
      <c r="H1239" t="s">
        <v>26</v>
      </c>
      <c r="I1239" s="2">
        <v>45575</v>
      </c>
      <c r="J1239" s="2">
        <v>45663</v>
      </c>
      <c r="K1239" t="s">
        <v>21</v>
      </c>
    </row>
    <row r="1240" spans="1:11" x14ac:dyDescent="0.25">
      <c r="A1240" t="s">
        <v>74</v>
      </c>
      <c r="B1240" t="s">
        <v>28</v>
      </c>
      <c r="C1240">
        <v>167</v>
      </c>
      <c r="D1240">
        <v>49</v>
      </c>
      <c r="E1240" t="s">
        <v>13</v>
      </c>
      <c r="F1240" t="s">
        <v>173</v>
      </c>
      <c r="G1240">
        <v>448.2</v>
      </c>
      <c r="H1240" t="s">
        <v>14</v>
      </c>
      <c r="I1240" s="2">
        <v>45374</v>
      </c>
      <c r="J1240" s="2">
        <v>45397</v>
      </c>
    </row>
    <row r="1241" spans="1:11" x14ac:dyDescent="0.25">
      <c r="A1241" t="s">
        <v>152</v>
      </c>
      <c r="B1241" t="s">
        <v>28</v>
      </c>
      <c r="C1241">
        <v>97</v>
      </c>
      <c r="D1241">
        <v>27</v>
      </c>
      <c r="E1241" t="s">
        <v>13</v>
      </c>
      <c r="F1241" t="s">
        <v>173</v>
      </c>
      <c r="G1241">
        <v>334.9</v>
      </c>
      <c r="H1241" t="s">
        <v>14</v>
      </c>
      <c r="I1241" s="2">
        <v>45486</v>
      </c>
      <c r="J1241" s="2">
        <v>45521</v>
      </c>
    </row>
    <row r="1242" spans="1:11" x14ac:dyDescent="0.25">
      <c r="A1242" t="s">
        <v>145</v>
      </c>
      <c r="B1242" t="s">
        <v>12</v>
      </c>
      <c r="C1242">
        <v>11</v>
      </c>
      <c r="D1242">
        <v>41</v>
      </c>
      <c r="E1242" t="s">
        <v>19</v>
      </c>
      <c r="F1242" t="s">
        <v>173</v>
      </c>
      <c r="G1242">
        <v>394.76</v>
      </c>
      <c r="H1242" t="s">
        <v>20</v>
      </c>
      <c r="I1242" s="2">
        <v>45598</v>
      </c>
      <c r="J1242" s="2">
        <v>45636</v>
      </c>
      <c r="K1242" t="s">
        <v>21</v>
      </c>
    </row>
    <row r="1243" spans="1:11" x14ac:dyDescent="0.25">
      <c r="A1243" t="s">
        <v>78</v>
      </c>
      <c r="B1243" t="s">
        <v>30</v>
      </c>
      <c r="C1243">
        <v>52</v>
      </c>
      <c r="D1243">
        <v>63</v>
      </c>
      <c r="E1243" t="s">
        <v>19</v>
      </c>
      <c r="F1243" t="s">
        <v>173</v>
      </c>
      <c r="G1243">
        <v>229.9</v>
      </c>
      <c r="H1243" t="s">
        <v>14</v>
      </c>
      <c r="I1243" s="2">
        <v>45625</v>
      </c>
      <c r="J1243" s="2">
        <v>45643</v>
      </c>
      <c r="K1243" t="s">
        <v>17</v>
      </c>
    </row>
    <row r="1244" spans="1:11" x14ac:dyDescent="0.25">
      <c r="A1244" t="s">
        <v>144</v>
      </c>
      <c r="B1244" t="s">
        <v>30</v>
      </c>
      <c r="C1244">
        <v>198</v>
      </c>
      <c r="D1244">
        <v>77</v>
      </c>
      <c r="E1244" t="s">
        <v>13</v>
      </c>
      <c r="F1244" t="s">
        <v>171</v>
      </c>
      <c r="G1244">
        <v>316.97000000000003</v>
      </c>
      <c r="H1244" t="s">
        <v>14</v>
      </c>
      <c r="I1244" s="2">
        <v>45496</v>
      </c>
      <c r="J1244" s="2">
        <v>45534</v>
      </c>
      <c r="K1244" t="s">
        <v>17</v>
      </c>
    </row>
    <row r="1245" spans="1:11" x14ac:dyDescent="0.25">
      <c r="A1245" t="s">
        <v>39</v>
      </c>
      <c r="B1245" t="s">
        <v>12</v>
      </c>
      <c r="C1245">
        <v>137</v>
      </c>
      <c r="D1245">
        <v>55</v>
      </c>
      <c r="E1245" t="s">
        <v>13</v>
      </c>
      <c r="F1245" t="s">
        <v>173</v>
      </c>
      <c r="G1245">
        <v>127.95</v>
      </c>
      <c r="H1245" t="s">
        <v>26</v>
      </c>
      <c r="I1245" s="2">
        <v>45373</v>
      </c>
      <c r="J1245" s="2">
        <v>45446</v>
      </c>
      <c r="K1245" t="s">
        <v>172</v>
      </c>
    </row>
    <row r="1246" spans="1:11" x14ac:dyDescent="0.25">
      <c r="A1246" t="s">
        <v>78</v>
      </c>
      <c r="B1246" t="s">
        <v>12</v>
      </c>
      <c r="C1246">
        <v>172</v>
      </c>
      <c r="D1246">
        <v>88</v>
      </c>
      <c r="E1246" t="s">
        <v>13</v>
      </c>
      <c r="F1246" t="s">
        <v>170</v>
      </c>
      <c r="G1246">
        <v>354.2</v>
      </c>
      <c r="H1246" t="s">
        <v>14</v>
      </c>
      <c r="I1246" s="2">
        <v>45551</v>
      </c>
      <c r="J1246" s="2">
        <v>45568</v>
      </c>
      <c r="K1246" t="s">
        <v>172</v>
      </c>
    </row>
    <row r="1247" spans="1:11" x14ac:dyDescent="0.25">
      <c r="A1247" t="s">
        <v>95</v>
      </c>
      <c r="B1247" t="s">
        <v>12</v>
      </c>
      <c r="C1247">
        <v>144</v>
      </c>
      <c r="D1247">
        <v>96</v>
      </c>
      <c r="E1247" t="s">
        <v>13</v>
      </c>
      <c r="F1247" t="s">
        <v>170</v>
      </c>
      <c r="G1247">
        <v>216.66</v>
      </c>
      <c r="H1247" t="s">
        <v>20</v>
      </c>
      <c r="I1247" s="2">
        <v>45552</v>
      </c>
      <c r="J1247" s="2">
        <v>45634</v>
      </c>
      <c r="K1247" t="s">
        <v>17</v>
      </c>
    </row>
    <row r="1248" spans="1:11" x14ac:dyDescent="0.25">
      <c r="A1248" t="s">
        <v>153</v>
      </c>
      <c r="B1248" t="s">
        <v>23</v>
      </c>
      <c r="C1248">
        <v>153</v>
      </c>
      <c r="D1248">
        <v>50</v>
      </c>
      <c r="E1248" t="s">
        <v>13</v>
      </c>
      <c r="F1248" t="s">
        <v>171</v>
      </c>
      <c r="G1248">
        <v>224.06</v>
      </c>
      <c r="H1248" t="s">
        <v>26</v>
      </c>
      <c r="I1248" s="2">
        <v>45429</v>
      </c>
      <c r="J1248" s="2">
        <v>45483</v>
      </c>
      <c r="K1248" t="s">
        <v>21</v>
      </c>
    </row>
    <row r="1249" spans="1:11" x14ac:dyDescent="0.25">
      <c r="A1249" t="s">
        <v>89</v>
      </c>
      <c r="B1249" t="s">
        <v>30</v>
      </c>
      <c r="C1249">
        <v>189</v>
      </c>
      <c r="D1249">
        <v>66</v>
      </c>
      <c r="E1249" t="s">
        <v>13</v>
      </c>
      <c r="F1249" t="s">
        <v>170</v>
      </c>
      <c r="G1249">
        <v>326.41000000000003</v>
      </c>
      <c r="H1249" t="s">
        <v>26</v>
      </c>
      <c r="I1249" s="2">
        <v>45469</v>
      </c>
      <c r="J1249" s="2">
        <v>45531</v>
      </c>
      <c r="K1249" t="s">
        <v>17</v>
      </c>
    </row>
    <row r="1250" spans="1:11" x14ac:dyDescent="0.25">
      <c r="A1250" t="s">
        <v>143</v>
      </c>
      <c r="B1250" t="s">
        <v>23</v>
      </c>
      <c r="C1250">
        <v>121</v>
      </c>
      <c r="D1250">
        <v>74</v>
      </c>
      <c r="E1250" t="s">
        <v>13</v>
      </c>
      <c r="F1250" t="s">
        <v>171</v>
      </c>
      <c r="G1250">
        <v>468.46</v>
      </c>
      <c r="H1250" t="s">
        <v>20</v>
      </c>
      <c r="I1250" s="2">
        <v>45587</v>
      </c>
      <c r="J1250" s="2">
        <v>45655</v>
      </c>
      <c r="K1250" t="s">
        <v>172</v>
      </c>
    </row>
    <row r="1251" spans="1:11" x14ac:dyDescent="0.25">
      <c r="A1251" t="s">
        <v>147</v>
      </c>
      <c r="B1251" t="s">
        <v>12</v>
      </c>
      <c r="C1251">
        <v>45</v>
      </c>
      <c r="D1251">
        <v>99</v>
      </c>
      <c r="E1251" t="s">
        <v>19</v>
      </c>
      <c r="F1251" t="s">
        <v>171</v>
      </c>
      <c r="G1251">
        <v>36.68</v>
      </c>
      <c r="H1251" t="s">
        <v>26</v>
      </c>
      <c r="I1251" s="2">
        <v>45339</v>
      </c>
      <c r="J1251" s="2">
        <v>45388</v>
      </c>
      <c r="K1251" t="s">
        <v>17</v>
      </c>
    </row>
    <row r="1252" spans="1:11" x14ac:dyDescent="0.25">
      <c r="A1252" t="s">
        <v>152</v>
      </c>
      <c r="B1252" t="s">
        <v>30</v>
      </c>
      <c r="C1252">
        <v>63</v>
      </c>
      <c r="D1252">
        <v>81</v>
      </c>
      <c r="E1252" t="s">
        <v>19</v>
      </c>
      <c r="F1252" t="s">
        <v>170</v>
      </c>
      <c r="G1252">
        <v>413.25</v>
      </c>
      <c r="H1252" t="s">
        <v>26</v>
      </c>
      <c r="I1252" s="2">
        <v>45367</v>
      </c>
      <c r="J1252" s="2">
        <v>45437</v>
      </c>
      <c r="K1252" t="s">
        <v>21</v>
      </c>
    </row>
    <row r="1253" spans="1:11" x14ac:dyDescent="0.25">
      <c r="A1253" t="s">
        <v>54</v>
      </c>
      <c r="B1253" t="s">
        <v>23</v>
      </c>
      <c r="C1253">
        <v>129</v>
      </c>
      <c r="D1253">
        <v>49</v>
      </c>
      <c r="E1253" t="s">
        <v>13</v>
      </c>
      <c r="F1253" t="s">
        <v>173</v>
      </c>
      <c r="G1253">
        <v>149.72999999999999</v>
      </c>
      <c r="H1253" t="s">
        <v>26</v>
      </c>
      <c r="I1253" s="2">
        <v>45570</v>
      </c>
      <c r="J1253" s="2">
        <v>45624</v>
      </c>
    </row>
    <row r="1254" spans="1:11" x14ac:dyDescent="0.25">
      <c r="A1254" t="s">
        <v>154</v>
      </c>
      <c r="B1254" t="s">
        <v>23</v>
      </c>
      <c r="C1254">
        <v>53</v>
      </c>
      <c r="D1254">
        <v>74</v>
      </c>
      <c r="E1254" t="s">
        <v>19</v>
      </c>
      <c r="F1254" t="s">
        <v>170</v>
      </c>
      <c r="G1254">
        <v>224.74</v>
      </c>
      <c r="H1254" t="s">
        <v>26</v>
      </c>
      <c r="I1254" s="2">
        <v>45295</v>
      </c>
      <c r="J1254" s="2">
        <v>45377</v>
      </c>
      <c r="K1254" t="s">
        <v>21</v>
      </c>
    </row>
    <row r="1255" spans="1:11" x14ac:dyDescent="0.25">
      <c r="A1255" t="s">
        <v>152</v>
      </c>
      <c r="B1255" t="s">
        <v>12</v>
      </c>
      <c r="C1255">
        <v>106</v>
      </c>
      <c r="D1255">
        <v>35</v>
      </c>
      <c r="E1255" t="s">
        <v>13</v>
      </c>
      <c r="F1255" t="s">
        <v>170</v>
      </c>
      <c r="G1255">
        <v>15.85</v>
      </c>
      <c r="H1255" t="s">
        <v>20</v>
      </c>
      <c r="I1255" s="2">
        <v>45601</v>
      </c>
      <c r="J1255" s="2">
        <v>45661</v>
      </c>
      <c r="K1255" t="s">
        <v>21</v>
      </c>
    </row>
    <row r="1256" spans="1:11" x14ac:dyDescent="0.25">
      <c r="A1256" t="s">
        <v>111</v>
      </c>
      <c r="B1256" t="s">
        <v>30</v>
      </c>
      <c r="C1256">
        <v>192</v>
      </c>
      <c r="D1256">
        <v>31</v>
      </c>
      <c r="E1256" t="s">
        <v>13</v>
      </c>
      <c r="F1256" t="s">
        <v>171</v>
      </c>
      <c r="G1256">
        <v>154.02000000000001</v>
      </c>
      <c r="H1256" t="s">
        <v>20</v>
      </c>
      <c r="I1256" s="2">
        <v>45544</v>
      </c>
      <c r="J1256" s="2">
        <v>45571</v>
      </c>
      <c r="K1256" t="s">
        <v>172</v>
      </c>
    </row>
    <row r="1257" spans="1:11" x14ac:dyDescent="0.25">
      <c r="A1257" t="s">
        <v>54</v>
      </c>
      <c r="B1257" t="s">
        <v>12</v>
      </c>
      <c r="C1257">
        <v>50</v>
      </c>
      <c r="D1257">
        <v>36</v>
      </c>
      <c r="E1257" t="s">
        <v>13</v>
      </c>
      <c r="F1257" t="s">
        <v>170</v>
      </c>
      <c r="G1257">
        <v>253.8</v>
      </c>
      <c r="H1257" t="s">
        <v>26</v>
      </c>
      <c r="I1257" s="2">
        <v>45644</v>
      </c>
      <c r="J1257" s="2">
        <v>45685</v>
      </c>
      <c r="K1257" t="s">
        <v>21</v>
      </c>
    </row>
    <row r="1258" spans="1:11" x14ac:dyDescent="0.25">
      <c r="A1258" t="s">
        <v>141</v>
      </c>
      <c r="B1258" t="s">
        <v>30</v>
      </c>
      <c r="C1258">
        <v>180</v>
      </c>
      <c r="D1258">
        <v>35</v>
      </c>
      <c r="E1258" t="s">
        <v>13</v>
      </c>
      <c r="F1258" t="s">
        <v>171</v>
      </c>
      <c r="G1258">
        <v>32.81</v>
      </c>
      <c r="H1258" t="s">
        <v>26</v>
      </c>
      <c r="I1258" s="2">
        <v>45639</v>
      </c>
      <c r="J1258" s="2">
        <v>45659</v>
      </c>
      <c r="K1258" t="s">
        <v>21</v>
      </c>
    </row>
    <row r="1259" spans="1:11" x14ac:dyDescent="0.25">
      <c r="A1259" t="s">
        <v>80</v>
      </c>
      <c r="B1259" t="s">
        <v>28</v>
      </c>
      <c r="C1259">
        <v>35</v>
      </c>
      <c r="D1259">
        <v>31</v>
      </c>
      <c r="E1259" t="s">
        <v>13</v>
      </c>
      <c r="F1259" t="s">
        <v>173</v>
      </c>
      <c r="G1259">
        <v>248.09</v>
      </c>
      <c r="H1259" t="s">
        <v>20</v>
      </c>
      <c r="I1259" s="2">
        <v>45475</v>
      </c>
      <c r="J1259" s="2">
        <v>45506</v>
      </c>
      <c r="K1259" t="s">
        <v>172</v>
      </c>
    </row>
    <row r="1260" spans="1:11" x14ac:dyDescent="0.25">
      <c r="A1260" t="s">
        <v>92</v>
      </c>
      <c r="B1260" t="s">
        <v>16</v>
      </c>
      <c r="C1260">
        <v>114</v>
      </c>
      <c r="D1260">
        <v>27</v>
      </c>
      <c r="E1260" t="s">
        <v>13</v>
      </c>
      <c r="F1260" t="s">
        <v>173</v>
      </c>
      <c r="G1260">
        <v>463.92</v>
      </c>
      <c r="H1260" t="s">
        <v>20</v>
      </c>
      <c r="I1260" s="2">
        <v>45544</v>
      </c>
      <c r="J1260" s="2">
        <v>45594</v>
      </c>
      <c r="K1260" t="s">
        <v>172</v>
      </c>
    </row>
    <row r="1261" spans="1:11" x14ac:dyDescent="0.25">
      <c r="A1261" t="s">
        <v>108</v>
      </c>
      <c r="B1261" t="s">
        <v>16</v>
      </c>
      <c r="C1261">
        <v>25</v>
      </c>
      <c r="D1261">
        <v>22</v>
      </c>
      <c r="E1261" t="s">
        <v>13</v>
      </c>
      <c r="F1261" t="s">
        <v>173</v>
      </c>
      <c r="G1261">
        <v>57.17</v>
      </c>
      <c r="H1261" t="s">
        <v>20</v>
      </c>
      <c r="I1261" s="2">
        <v>45428</v>
      </c>
      <c r="J1261" s="2">
        <v>45444</v>
      </c>
    </row>
    <row r="1262" spans="1:11" x14ac:dyDescent="0.25">
      <c r="A1262" t="s">
        <v>128</v>
      </c>
      <c r="B1262" t="s">
        <v>16</v>
      </c>
      <c r="C1262">
        <v>28</v>
      </c>
      <c r="D1262">
        <v>35</v>
      </c>
      <c r="E1262" t="s">
        <v>19</v>
      </c>
      <c r="F1262" t="s">
        <v>170</v>
      </c>
      <c r="G1262">
        <v>383.4</v>
      </c>
      <c r="H1262" t="s">
        <v>26</v>
      </c>
      <c r="I1262" s="2">
        <v>45486</v>
      </c>
      <c r="J1262" s="2">
        <v>45552</v>
      </c>
      <c r="K1262" t="s">
        <v>17</v>
      </c>
    </row>
    <row r="1263" spans="1:11" x14ac:dyDescent="0.25">
      <c r="A1263" t="s">
        <v>94</v>
      </c>
      <c r="B1263" t="s">
        <v>12</v>
      </c>
      <c r="C1263">
        <v>148</v>
      </c>
      <c r="D1263">
        <v>49</v>
      </c>
      <c r="E1263" t="s">
        <v>13</v>
      </c>
      <c r="F1263" t="s">
        <v>171</v>
      </c>
      <c r="G1263">
        <v>207.79</v>
      </c>
      <c r="H1263" t="s">
        <v>26</v>
      </c>
      <c r="I1263" s="2">
        <v>45362</v>
      </c>
      <c r="J1263" s="2">
        <v>45442</v>
      </c>
      <c r="K1263" t="s">
        <v>21</v>
      </c>
    </row>
    <row r="1264" spans="1:11" x14ac:dyDescent="0.25">
      <c r="A1264" t="s">
        <v>78</v>
      </c>
      <c r="B1264" t="s">
        <v>28</v>
      </c>
      <c r="C1264">
        <v>10</v>
      </c>
      <c r="D1264">
        <v>42</v>
      </c>
      <c r="E1264" t="s">
        <v>19</v>
      </c>
      <c r="F1264" t="s">
        <v>173</v>
      </c>
      <c r="G1264">
        <v>329.31</v>
      </c>
      <c r="H1264" t="s">
        <v>14</v>
      </c>
      <c r="I1264" s="2">
        <v>45468</v>
      </c>
      <c r="J1264" s="2">
        <v>45534</v>
      </c>
      <c r="K1264" t="s">
        <v>172</v>
      </c>
    </row>
    <row r="1265" spans="1:11" x14ac:dyDescent="0.25">
      <c r="A1265" t="s">
        <v>105</v>
      </c>
      <c r="B1265" t="s">
        <v>30</v>
      </c>
      <c r="C1265">
        <v>39</v>
      </c>
      <c r="D1265">
        <v>24</v>
      </c>
      <c r="E1265" t="s">
        <v>13</v>
      </c>
      <c r="F1265" t="s">
        <v>171</v>
      </c>
      <c r="G1265">
        <v>133.82</v>
      </c>
      <c r="H1265" t="s">
        <v>20</v>
      </c>
      <c r="I1265" s="2">
        <v>45578</v>
      </c>
      <c r="J1265" s="2">
        <v>45635</v>
      </c>
    </row>
    <row r="1266" spans="1:11" x14ac:dyDescent="0.25">
      <c r="A1266" t="s">
        <v>54</v>
      </c>
      <c r="B1266" t="s">
        <v>23</v>
      </c>
      <c r="C1266">
        <v>10</v>
      </c>
      <c r="D1266">
        <v>84</v>
      </c>
      <c r="E1266" t="s">
        <v>19</v>
      </c>
      <c r="F1266" t="s">
        <v>171</v>
      </c>
      <c r="G1266">
        <v>83.95</v>
      </c>
      <c r="H1266" t="s">
        <v>26</v>
      </c>
      <c r="I1266" s="2">
        <v>45511</v>
      </c>
      <c r="J1266" s="2">
        <v>45547</v>
      </c>
      <c r="K1266" t="s">
        <v>17</v>
      </c>
    </row>
    <row r="1267" spans="1:11" x14ac:dyDescent="0.25">
      <c r="A1267" t="s">
        <v>79</v>
      </c>
      <c r="B1267" t="s">
        <v>30</v>
      </c>
      <c r="C1267">
        <v>163</v>
      </c>
      <c r="D1267">
        <v>49</v>
      </c>
      <c r="E1267" t="s">
        <v>13</v>
      </c>
      <c r="F1267" t="s">
        <v>173</v>
      </c>
      <c r="G1267">
        <v>84.43</v>
      </c>
      <c r="H1267" t="s">
        <v>20</v>
      </c>
      <c r="I1267" s="2">
        <v>45475</v>
      </c>
      <c r="J1267" s="2">
        <v>45544</v>
      </c>
      <c r="K1267" t="s">
        <v>172</v>
      </c>
    </row>
    <row r="1268" spans="1:11" x14ac:dyDescent="0.25">
      <c r="A1268" t="s">
        <v>94</v>
      </c>
      <c r="B1268" t="s">
        <v>23</v>
      </c>
      <c r="C1268">
        <v>112</v>
      </c>
      <c r="D1268">
        <v>40</v>
      </c>
      <c r="E1268" t="s">
        <v>13</v>
      </c>
      <c r="F1268" t="s">
        <v>173</v>
      </c>
      <c r="G1268">
        <v>39.89</v>
      </c>
      <c r="H1268" t="s">
        <v>26</v>
      </c>
      <c r="I1268" s="2">
        <v>45371</v>
      </c>
      <c r="J1268" s="2">
        <v>45452</v>
      </c>
      <c r="K1268" t="s">
        <v>17</v>
      </c>
    </row>
    <row r="1269" spans="1:11" x14ac:dyDescent="0.25">
      <c r="A1269" t="s">
        <v>98</v>
      </c>
      <c r="B1269" t="s">
        <v>30</v>
      </c>
      <c r="C1269">
        <v>186</v>
      </c>
      <c r="D1269">
        <v>89</v>
      </c>
      <c r="E1269" t="s">
        <v>13</v>
      </c>
      <c r="F1269" t="s">
        <v>171</v>
      </c>
      <c r="G1269">
        <v>96.9</v>
      </c>
      <c r="H1269" t="s">
        <v>20</v>
      </c>
      <c r="I1269" s="2">
        <v>45407</v>
      </c>
      <c r="J1269" s="2">
        <v>45481</v>
      </c>
      <c r="K1269" t="s">
        <v>17</v>
      </c>
    </row>
    <row r="1270" spans="1:11" x14ac:dyDescent="0.25">
      <c r="A1270" t="s">
        <v>54</v>
      </c>
      <c r="B1270" t="s">
        <v>28</v>
      </c>
      <c r="C1270">
        <v>38</v>
      </c>
      <c r="D1270">
        <v>41</v>
      </c>
      <c r="E1270" t="s">
        <v>19</v>
      </c>
      <c r="F1270" t="s">
        <v>173</v>
      </c>
      <c r="G1270">
        <v>333.79</v>
      </c>
      <c r="H1270" t="s">
        <v>26</v>
      </c>
      <c r="I1270" s="2">
        <v>45303</v>
      </c>
      <c r="J1270" s="2">
        <v>45375</v>
      </c>
      <c r="K1270" t="s">
        <v>21</v>
      </c>
    </row>
    <row r="1271" spans="1:11" x14ac:dyDescent="0.25">
      <c r="A1271" t="s">
        <v>134</v>
      </c>
      <c r="B1271" t="s">
        <v>23</v>
      </c>
      <c r="C1271">
        <v>53</v>
      </c>
      <c r="D1271">
        <v>91</v>
      </c>
      <c r="E1271" t="s">
        <v>19</v>
      </c>
      <c r="F1271" t="s">
        <v>171</v>
      </c>
      <c r="G1271">
        <v>441.44</v>
      </c>
      <c r="H1271" t="s">
        <v>14</v>
      </c>
      <c r="I1271" s="2">
        <v>45343</v>
      </c>
      <c r="J1271" s="2">
        <v>45369</v>
      </c>
      <c r="K1271" t="s">
        <v>21</v>
      </c>
    </row>
    <row r="1272" spans="1:11" x14ac:dyDescent="0.25">
      <c r="A1272" t="s">
        <v>75</v>
      </c>
      <c r="B1272" t="s">
        <v>12</v>
      </c>
      <c r="C1272">
        <v>97</v>
      </c>
      <c r="D1272">
        <v>51</v>
      </c>
      <c r="E1272" t="s">
        <v>13</v>
      </c>
      <c r="F1272" t="s">
        <v>171</v>
      </c>
      <c r="G1272">
        <v>407.99</v>
      </c>
      <c r="H1272" t="s">
        <v>14</v>
      </c>
      <c r="I1272" s="2">
        <v>45461</v>
      </c>
      <c r="J1272" s="2">
        <v>45544</v>
      </c>
      <c r="K1272" t="s">
        <v>172</v>
      </c>
    </row>
    <row r="1273" spans="1:11" x14ac:dyDescent="0.25">
      <c r="A1273" t="s">
        <v>139</v>
      </c>
      <c r="B1273" t="s">
        <v>30</v>
      </c>
      <c r="C1273">
        <v>54</v>
      </c>
      <c r="D1273">
        <v>52</v>
      </c>
      <c r="E1273" t="s">
        <v>13</v>
      </c>
      <c r="F1273" t="s">
        <v>173</v>
      </c>
      <c r="G1273">
        <v>344.14</v>
      </c>
      <c r="H1273" t="s">
        <v>20</v>
      </c>
      <c r="I1273" s="2">
        <v>45334</v>
      </c>
      <c r="J1273" s="2">
        <v>45387</v>
      </c>
      <c r="K1273" t="s">
        <v>17</v>
      </c>
    </row>
    <row r="1274" spans="1:11" x14ac:dyDescent="0.25">
      <c r="A1274" t="s">
        <v>75</v>
      </c>
      <c r="B1274" t="s">
        <v>30</v>
      </c>
      <c r="C1274">
        <v>110</v>
      </c>
      <c r="D1274">
        <v>35</v>
      </c>
      <c r="E1274" t="s">
        <v>13</v>
      </c>
      <c r="F1274" t="s">
        <v>170</v>
      </c>
      <c r="G1274">
        <v>59.66</v>
      </c>
      <c r="H1274" t="s">
        <v>26</v>
      </c>
      <c r="I1274" s="2">
        <v>45586</v>
      </c>
      <c r="J1274" s="2">
        <v>45613</v>
      </c>
      <c r="K1274" t="s">
        <v>172</v>
      </c>
    </row>
    <row r="1275" spans="1:11" x14ac:dyDescent="0.25">
      <c r="A1275" t="s">
        <v>155</v>
      </c>
      <c r="B1275" t="s">
        <v>23</v>
      </c>
      <c r="C1275">
        <v>151</v>
      </c>
      <c r="D1275">
        <v>95</v>
      </c>
      <c r="E1275" t="s">
        <v>13</v>
      </c>
      <c r="F1275" t="s">
        <v>173</v>
      </c>
      <c r="G1275">
        <v>148.15</v>
      </c>
      <c r="H1275" t="s">
        <v>26</v>
      </c>
      <c r="I1275" s="2">
        <v>45409</v>
      </c>
      <c r="J1275" s="2">
        <v>45464</v>
      </c>
      <c r="K1275" t="s">
        <v>172</v>
      </c>
    </row>
    <row r="1276" spans="1:11" x14ac:dyDescent="0.25">
      <c r="A1276" t="s">
        <v>76</v>
      </c>
      <c r="B1276" t="s">
        <v>12</v>
      </c>
      <c r="C1276">
        <v>149</v>
      </c>
      <c r="D1276">
        <v>57</v>
      </c>
      <c r="E1276" t="s">
        <v>13</v>
      </c>
      <c r="F1276" t="s">
        <v>170</v>
      </c>
      <c r="G1276">
        <v>158.35</v>
      </c>
      <c r="H1276" t="s">
        <v>20</v>
      </c>
      <c r="I1276" s="2">
        <v>45511</v>
      </c>
      <c r="J1276" s="2">
        <v>45582</v>
      </c>
      <c r="K1276" t="s">
        <v>17</v>
      </c>
    </row>
    <row r="1277" spans="1:11" x14ac:dyDescent="0.25">
      <c r="A1277" t="s">
        <v>128</v>
      </c>
      <c r="B1277" t="s">
        <v>12</v>
      </c>
      <c r="C1277">
        <v>68</v>
      </c>
      <c r="D1277">
        <v>33</v>
      </c>
      <c r="E1277" t="s">
        <v>13</v>
      </c>
      <c r="F1277" t="s">
        <v>171</v>
      </c>
      <c r="G1277">
        <v>128.72999999999999</v>
      </c>
      <c r="H1277" t="s">
        <v>26</v>
      </c>
      <c r="I1277" s="2">
        <v>45551</v>
      </c>
      <c r="J1277" s="2">
        <v>45618</v>
      </c>
      <c r="K1277" t="s">
        <v>172</v>
      </c>
    </row>
    <row r="1278" spans="1:11" x14ac:dyDescent="0.25">
      <c r="A1278" t="s">
        <v>94</v>
      </c>
      <c r="B1278" t="s">
        <v>28</v>
      </c>
      <c r="C1278">
        <v>55</v>
      </c>
      <c r="D1278">
        <v>55</v>
      </c>
      <c r="E1278" t="s">
        <v>13</v>
      </c>
      <c r="F1278" t="s">
        <v>171</v>
      </c>
      <c r="G1278">
        <v>259.93</v>
      </c>
      <c r="H1278" t="s">
        <v>20</v>
      </c>
      <c r="I1278" s="2">
        <v>45394</v>
      </c>
      <c r="J1278" s="2">
        <v>45420</v>
      </c>
      <c r="K1278" t="s">
        <v>17</v>
      </c>
    </row>
    <row r="1279" spans="1:11" x14ac:dyDescent="0.25">
      <c r="A1279" t="s">
        <v>114</v>
      </c>
      <c r="B1279" t="s">
        <v>12</v>
      </c>
      <c r="C1279">
        <v>32</v>
      </c>
      <c r="D1279">
        <v>42</v>
      </c>
      <c r="E1279" t="s">
        <v>19</v>
      </c>
      <c r="F1279" t="s">
        <v>170</v>
      </c>
      <c r="G1279">
        <v>270.10000000000002</v>
      </c>
      <c r="H1279" t="s">
        <v>26</v>
      </c>
      <c r="I1279" s="2">
        <v>45361</v>
      </c>
      <c r="J1279" s="2">
        <v>45388</v>
      </c>
      <c r="K1279" t="s">
        <v>17</v>
      </c>
    </row>
    <row r="1280" spans="1:11" x14ac:dyDescent="0.25">
      <c r="A1280" t="s">
        <v>145</v>
      </c>
      <c r="B1280" t="s">
        <v>12</v>
      </c>
      <c r="C1280">
        <v>35</v>
      </c>
      <c r="D1280">
        <v>85</v>
      </c>
      <c r="E1280" t="s">
        <v>19</v>
      </c>
      <c r="F1280" t="s">
        <v>171</v>
      </c>
      <c r="G1280">
        <v>181.66</v>
      </c>
      <c r="H1280" t="s">
        <v>20</v>
      </c>
      <c r="I1280" s="2">
        <v>45587</v>
      </c>
      <c r="J1280" s="2">
        <v>45675</v>
      </c>
      <c r="K1280" t="s">
        <v>17</v>
      </c>
    </row>
    <row r="1281" spans="1:11" x14ac:dyDescent="0.25">
      <c r="A1281" t="s">
        <v>149</v>
      </c>
      <c r="B1281" t="s">
        <v>12</v>
      </c>
      <c r="C1281">
        <v>147</v>
      </c>
      <c r="D1281">
        <v>21</v>
      </c>
      <c r="E1281" t="s">
        <v>13</v>
      </c>
      <c r="F1281" t="s">
        <v>170</v>
      </c>
      <c r="G1281">
        <v>180.13</v>
      </c>
      <c r="H1281" t="s">
        <v>26</v>
      </c>
      <c r="I1281" s="2">
        <v>45464</v>
      </c>
      <c r="J1281" s="2">
        <v>45535</v>
      </c>
      <c r="K1281" t="s">
        <v>17</v>
      </c>
    </row>
    <row r="1282" spans="1:11" x14ac:dyDescent="0.25">
      <c r="A1282" t="s">
        <v>128</v>
      </c>
      <c r="B1282" t="s">
        <v>16</v>
      </c>
      <c r="C1282">
        <v>80</v>
      </c>
      <c r="D1282">
        <v>92</v>
      </c>
      <c r="E1282" t="s">
        <v>19</v>
      </c>
      <c r="F1282" t="s">
        <v>170</v>
      </c>
      <c r="G1282">
        <v>415.14</v>
      </c>
      <c r="H1282" t="s">
        <v>20</v>
      </c>
      <c r="I1282" s="2">
        <v>45589</v>
      </c>
      <c r="J1282" s="2">
        <v>45643</v>
      </c>
    </row>
    <row r="1283" spans="1:11" x14ac:dyDescent="0.25">
      <c r="A1283" t="s">
        <v>66</v>
      </c>
      <c r="B1283" t="s">
        <v>28</v>
      </c>
      <c r="C1283">
        <v>189</v>
      </c>
      <c r="D1283">
        <v>84</v>
      </c>
      <c r="E1283" t="s">
        <v>13</v>
      </c>
      <c r="F1283" t="s">
        <v>171</v>
      </c>
      <c r="G1283">
        <v>395.7</v>
      </c>
      <c r="H1283" t="s">
        <v>26</v>
      </c>
      <c r="I1283" s="2">
        <v>45352</v>
      </c>
      <c r="J1283" s="2">
        <v>45411</v>
      </c>
      <c r="K1283" t="s">
        <v>17</v>
      </c>
    </row>
    <row r="1284" spans="1:11" x14ac:dyDescent="0.25">
      <c r="A1284" t="s">
        <v>117</v>
      </c>
      <c r="B1284" t="s">
        <v>30</v>
      </c>
      <c r="C1284">
        <v>108</v>
      </c>
      <c r="D1284">
        <v>94</v>
      </c>
      <c r="E1284" t="s">
        <v>13</v>
      </c>
      <c r="F1284" t="s">
        <v>170</v>
      </c>
      <c r="G1284">
        <v>157.36000000000001</v>
      </c>
      <c r="H1284" t="s">
        <v>14</v>
      </c>
      <c r="I1284" s="2">
        <v>45605</v>
      </c>
      <c r="J1284" s="2">
        <v>45654</v>
      </c>
      <c r="K1284" t="s">
        <v>21</v>
      </c>
    </row>
    <row r="1285" spans="1:11" x14ac:dyDescent="0.25">
      <c r="A1285" t="s">
        <v>109</v>
      </c>
      <c r="B1285" t="s">
        <v>23</v>
      </c>
      <c r="C1285">
        <v>153</v>
      </c>
      <c r="D1285">
        <v>86</v>
      </c>
      <c r="E1285" t="s">
        <v>13</v>
      </c>
      <c r="F1285" t="s">
        <v>173</v>
      </c>
      <c r="G1285">
        <v>457.33</v>
      </c>
      <c r="H1285" t="s">
        <v>26</v>
      </c>
      <c r="I1285" s="2">
        <v>45294</v>
      </c>
      <c r="J1285" s="2">
        <v>45311</v>
      </c>
      <c r="K1285" t="s">
        <v>21</v>
      </c>
    </row>
    <row r="1286" spans="1:11" x14ac:dyDescent="0.25">
      <c r="A1286" t="s">
        <v>109</v>
      </c>
      <c r="B1286" t="s">
        <v>30</v>
      </c>
      <c r="C1286">
        <v>193</v>
      </c>
      <c r="D1286">
        <v>71</v>
      </c>
      <c r="E1286" t="s">
        <v>13</v>
      </c>
      <c r="F1286" t="s">
        <v>173</v>
      </c>
      <c r="G1286">
        <v>476.64</v>
      </c>
      <c r="H1286" t="s">
        <v>20</v>
      </c>
      <c r="I1286" s="2">
        <v>45372</v>
      </c>
      <c r="J1286" s="2">
        <v>45391</v>
      </c>
      <c r="K1286" t="s">
        <v>21</v>
      </c>
    </row>
    <row r="1287" spans="1:11" x14ac:dyDescent="0.25">
      <c r="A1287" t="s">
        <v>77</v>
      </c>
      <c r="B1287" t="s">
        <v>28</v>
      </c>
      <c r="C1287">
        <v>72</v>
      </c>
      <c r="D1287">
        <v>81</v>
      </c>
      <c r="E1287" t="s">
        <v>19</v>
      </c>
      <c r="F1287" t="s">
        <v>171</v>
      </c>
      <c r="G1287">
        <v>166.74</v>
      </c>
      <c r="H1287" t="s">
        <v>14</v>
      </c>
      <c r="I1287" s="2">
        <v>45323</v>
      </c>
      <c r="J1287" s="2">
        <v>45348</v>
      </c>
      <c r="K1287" t="s">
        <v>17</v>
      </c>
    </row>
    <row r="1288" spans="1:11" x14ac:dyDescent="0.25">
      <c r="A1288" t="s">
        <v>126</v>
      </c>
      <c r="B1288" t="s">
        <v>23</v>
      </c>
      <c r="C1288">
        <v>39</v>
      </c>
      <c r="D1288">
        <v>42</v>
      </c>
      <c r="E1288" t="s">
        <v>19</v>
      </c>
      <c r="F1288" t="s">
        <v>171</v>
      </c>
      <c r="G1288">
        <v>180.44</v>
      </c>
      <c r="H1288" t="s">
        <v>26</v>
      </c>
      <c r="I1288" s="2">
        <v>45648</v>
      </c>
      <c r="J1288" s="2">
        <v>45733</v>
      </c>
      <c r="K1288" t="s">
        <v>21</v>
      </c>
    </row>
    <row r="1289" spans="1:11" x14ac:dyDescent="0.25">
      <c r="A1289" t="s">
        <v>79</v>
      </c>
      <c r="B1289" t="s">
        <v>28</v>
      </c>
      <c r="C1289">
        <v>16</v>
      </c>
      <c r="D1289">
        <v>45</v>
      </c>
      <c r="E1289" t="s">
        <v>19</v>
      </c>
      <c r="F1289" t="s">
        <v>170</v>
      </c>
      <c r="G1289">
        <v>255.29</v>
      </c>
      <c r="H1289" t="s">
        <v>14</v>
      </c>
      <c r="I1289" s="2">
        <v>45406</v>
      </c>
      <c r="J1289" s="2">
        <v>45476</v>
      </c>
    </row>
    <row r="1290" spans="1:11" x14ac:dyDescent="0.25">
      <c r="A1290" t="s">
        <v>43</v>
      </c>
      <c r="B1290" t="s">
        <v>12</v>
      </c>
      <c r="C1290">
        <v>128</v>
      </c>
      <c r="D1290">
        <v>87</v>
      </c>
      <c r="E1290" t="s">
        <v>13</v>
      </c>
      <c r="F1290" t="s">
        <v>170</v>
      </c>
      <c r="G1290">
        <v>470.85</v>
      </c>
      <c r="H1290" t="s">
        <v>26</v>
      </c>
      <c r="I1290" s="2">
        <v>45325</v>
      </c>
      <c r="J1290" s="2">
        <v>45349</v>
      </c>
      <c r="K1290" t="s">
        <v>172</v>
      </c>
    </row>
    <row r="1291" spans="1:11" x14ac:dyDescent="0.25">
      <c r="A1291" t="s">
        <v>100</v>
      </c>
      <c r="B1291" t="s">
        <v>23</v>
      </c>
      <c r="C1291">
        <v>60</v>
      </c>
      <c r="D1291">
        <v>74</v>
      </c>
      <c r="E1291" t="s">
        <v>19</v>
      </c>
      <c r="F1291" t="s">
        <v>170</v>
      </c>
      <c r="G1291">
        <v>438.78</v>
      </c>
      <c r="H1291" t="s">
        <v>14</v>
      </c>
      <c r="I1291" s="2">
        <v>45359</v>
      </c>
      <c r="J1291" s="2">
        <v>45407</v>
      </c>
      <c r="K1291" t="s">
        <v>17</v>
      </c>
    </row>
    <row r="1292" spans="1:11" x14ac:dyDescent="0.25">
      <c r="A1292" t="s">
        <v>116</v>
      </c>
      <c r="B1292" t="s">
        <v>12</v>
      </c>
      <c r="C1292">
        <v>170</v>
      </c>
      <c r="D1292">
        <v>25</v>
      </c>
      <c r="E1292" t="s">
        <v>13</v>
      </c>
      <c r="F1292" t="s">
        <v>170</v>
      </c>
      <c r="G1292">
        <v>55.77</v>
      </c>
      <c r="H1292" t="s">
        <v>20</v>
      </c>
      <c r="I1292" s="2">
        <v>45473</v>
      </c>
      <c r="J1292" s="2">
        <v>45554</v>
      </c>
      <c r="K1292" t="s">
        <v>21</v>
      </c>
    </row>
    <row r="1293" spans="1:11" x14ac:dyDescent="0.25">
      <c r="A1293" t="s">
        <v>143</v>
      </c>
      <c r="B1293" t="s">
        <v>30</v>
      </c>
      <c r="C1293">
        <v>103</v>
      </c>
      <c r="D1293">
        <v>54</v>
      </c>
      <c r="E1293" t="s">
        <v>13</v>
      </c>
      <c r="F1293" t="s">
        <v>173</v>
      </c>
      <c r="G1293">
        <v>199.4</v>
      </c>
      <c r="H1293" t="s">
        <v>26</v>
      </c>
      <c r="I1293" s="2">
        <v>45478</v>
      </c>
      <c r="J1293" s="2">
        <v>45564</v>
      </c>
    </row>
    <row r="1294" spans="1:11" x14ac:dyDescent="0.25">
      <c r="A1294" t="s">
        <v>79</v>
      </c>
      <c r="B1294" t="s">
        <v>30</v>
      </c>
      <c r="C1294">
        <v>41</v>
      </c>
      <c r="D1294">
        <v>41</v>
      </c>
      <c r="E1294" t="s">
        <v>13</v>
      </c>
      <c r="F1294" t="s">
        <v>173</v>
      </c>
      <c r="G1294">
        <v>278.92</v>
      </c>
      <c r="H1294" t="s">
        <v>26</v>
      </c>
      <c r="I1294" s="2">
        <v>45459</v>
      </c>
      <c r="J1294" s="2">
        <v>45504</v>
      </c>
      <c r="K1294" t="s">
        <v>172</v>
      </c>
    </row>
    <row r="1295" spans="1:11" x14ac:dyDescent="0.25">
      <c r="A1295" t="s">
        <v>111</v>
      </c>
      <c r="B1295" t="s">
        <v>23</v>
      </c>
      <c r="C1295">
        <v>24</v>
      </c>
      <c r="D1295">
        <v>62</v>
      </c>
      <c r="E1295" t="s">
        <v>19</v>
      </c>
      <c r="F1295" t="s">
        <v>171</v>
      </c>
      <c r="G1295">
        <v>254.05</v>
      </c>
      <c r="H1295" t="s">
        <v>20</v>
      </c>
      <c r="I1295" s="2">
        <v>45529</v>
      </c>
      <c r="J1295" s="2">
        <v>45618</v>
      </c>
    </row>
    <row r="1296" spans="1:11" x14ac:dyDescent="0.25">
      <c r="A1296" t="s">
        <v>89</v>
      </c>
      <c r="B1296" t="s">
        <v>23</v>
      </c>
      <c r="C1296">
        <v>38</v>
      </c>
      <c r="D1296">
        <v>34</v>
      </c>
      <c r="E1296" t="s">
        <v>13</v>
      </c>
      <c r="F1296" t="s">
        <v>170</v>
      </c>
      <c r="G1296">
        <v>100.96</v>
      </c>
      <c r="H1296" t="s">
        <v>14</v>
      </c>
      <c r="I1296" s="2">
        <v>45637</v>
      </c>
      <c r="J1296" s="2">
        <v>45722</v>
      </c>
      <c r="K1296" t="s">
        <v>21</v>
      </c>
    </row>
    <row r="1297" spans="1:11" x14ac:dyDescent="0.25">
      <c r="A1297" t="s">
        <v>94</v>
      </c>
      <c r="B1297" t="s">
        <v>28</v>
      </c>
      <c r="C1297">
        <v>34</v>
      </c>
      <c r="D1297">
        <v>79</v>
      </c>
      <c r="E1297" t="s">
        <v>19</v>
      </c>
      <c r="F1297" t="s">
        <v>170</v>
      </c>
      <c r="G1297">
        <v>430.11</v>
      </c>
      <c r="H1297" t="s">
        <v>20</v>
      </c>
      <c r="I1297" s="2">
        <v>45329</v>
      </c>
      <c r="J1297" s="2">
        <v>45409</v>
      </c>
    </row>
    <row r="1298" spans="1:11" x14ac:dyDescent="0.25">
      <c r="A1298" t="s">
        <v>123</v>
      </c>
      <c r="B1298" t="s">
        <v>28</v>
      </c>
      <c r="C1298">
        <v>130</v>
      </c>
      <c r="D1298">
        <v>31</v>
      </c>
      <c r="E1298" t="s">
        <v>13</v>
      </c>
      <c r="F1298" t="s">
        <v>171</v>
      </c>
      <c r="G1298">
        <v>340.09</v>
      </c>
      <c r="H1298" t="s">
        <v>20</v>
      </c>
      <c r="I1298" s="2">
        <v>45592</v>
      </c>
      <c r="J1298" s="2">
        <v>45676</v>
      </c>
      <c r="K1298" t="s">
        <v>172</v>
      </c>
    </row>
    <row r="1299" spans="1:11" x14ac:dyDescent="0.25">
      <c r="A1299" t="s">
        <v>137</v>
      </c>
      <c r="B1299" t="s">
        <v>12</v>
      </c>
      <c r="C1299">
        <v>107</v>
      </c>
      <c r="D1299">
        <v>68</v>
      </c>
      <c r="E1299" t="s">
        <v>13</v>
      </c>
      <c r="F1299" t="s">
        <v>170</v>
      </c>
      <c r="G1299">
        <v>419.76</v>
      </c>
      <c r="H1299" t="s">
        <v>14</v>
      </c>
      <c r="I1299" s="2">
        <v>45475</v>
      </c>
      <c r="J1299" s="2">
        <v>45530</v>
      </c>
      <c r="K1299" t="s">
        <v>21</v>
      </c>
    </row>
    <row r="1300" spans="1:11" x14ac:dyDescent="0.25">
      <c r="A1300" t="s">
        <v>93</v>
      </c>
      <c r="B1300" t="s">
        <v>23</v>
      </c>
      <c r="C1300">
        <v>171</v>
      </c>
      <c r="D1300">
        <v>61</v>
      </c>
      <c r="E1300" t="s">
        <v>13</v>
      </c>
      <c r="F1300" t="s">
        <v>170</v>
      </c>
      <c r="G1300">
        <v>430.09</v>
      </c>
      <c r="H1300" t="s">
        <v>20</v>
      </c>
      <c r="I1300" s="2">
        <v>45416</v>
      </c>
      <c r="J1300" s="2">
        <v>45493</v>
      </c>
      <c r="K1300" t="s">
        <v>172</v>
      </c>
    </row>
    <row r="1301" spans="1:11" x14ac:dyDescent="0.25">
      <c r="A1301" t="s">
        <v>153</v>
      </c>
      <c r="B1301" t="s">
        <v>30</v>
      </c>
      <c r="C1301">
        <v>178</v>
      </c>
      <c r="D1301">
        <v>57</v>
      </c>
      <c r="E1301" t="s">
        <v>13</v>
      </c>
      <c r="F1301" t="s">
        <v>170</v>
      </c>
      <c r="G1301">
        <v>375.44</v>
      </c>
      <c r="H1301" t="s">
        <v>26</v>
      </c>
      <c r="I1301" s="2">
        <v>45633</v>
      </c>
      <c r="J1301" s="2">
        <v>45679</v>
      </c>
    </row>
    <row r="1302" spans="1:11" x14ac:dyDescent="0.25">
      <c r="A1302" t="s">
        <v>112</v>
      </c>
      <c r="B1302" t="s">
        <v>28</v>
      </c>
      <c r="C1302">
        <v>101</v>
      </c>
      <c r="D1302">
        <v>64</v>
      </c>
      <c r="E1302" t="s">
        <v>13</v>
      </c>
      <c r="F1302" t="s">
        <v>170</v>
      </c>
      <c r="G1302">
        <v>222.41</v>
      </c>
      <c r="H1302" t="s">
        <v>26</v>
      </c>
      <c r="I1302" s="2">
        <v>45574</v>
      </c>
      <c r="J1302" s="2">
        <v>45608</v>
      </c>
      <c r="K1302" t="s">
        <v>17</v>
      </c>
    </row>
    <row r="1303" spans="1:11" x14ac:dyDescent="0.25">
      <c r="A1303" t="s">
        <v>91</v>
      </c>
      <c r="B1303" t="s">
        <v>28</v>
      </c>
      <c r="C1303">
        <v>97</v>
      </c>
      <c r="D1303">
        <v>54</v>
      </c>
      <c r="E1303" t="s">
        <v>13</v>
      </c>
      <c r="F1303" t="s">
        <v>170</v>
      </c>
      <c r="G1303">
        <v>307.22000000000003</v>
      </c>
      <c r="H1303" t="s">
        <v>26</v>
      </c>
      <c r="I1303" s="2">
        <v>45338</v>
      </c>
      <c r="J1303" s="2">
        <v>45409</v>
      </c>
      <c r="K1303" t="s">
        <v>17</v>
      </c>
    </row>
    <row r="1304" spans="1:11" x14ac:dyDescent="0.25">
      <c r="A1304" t="s">
        <v>119</v>
      </c>
      <c r="B1304" t="s">
        <v>30</v>
      </c>
      <c r="C1304">
        <v>11</v>
      </c>
      <c r="D1304">
        <v>49</v>
      </c>
      <c r="E1304" t="s">
        <v>19</v>
      </c>
      <c r="F1304" t="s">
        <v>171</v>
      </c>
      <c r="G1304">
        <v>84.38</v>
      </c>
      <c r="H1304" t="s">
        <v>20</v>
      </c>
      <c r="I1304" s="2">
        <v>45472</v>
      </c>
      <c r="J1304" s="2">
        <v>45536</v>
      </c>
      <c r="K1304" t="s">
        <v>17</v>
      </c>
    </row>
    <row r="1305" spans="1:11" x14ac:dyDescent="0.25">
      <c r="A1305" t="s">
        <v>94</v>
      </c>
      <c r="B1305" t="s">
        <v>28</v>
      </c>
      <c r="C1305">
        <v>18</v>
      </c>
      <c r="D1305">
        <v>49</v>
      </c>
      <c r="E1305" t="s">
        <v>19</v>
      </c>
      <c r="F1305" t="s">
        <v>170</v>
      </c>
      <c r="G1305">
        <v>338.45</v>
      </c>
      <c r="H1305" t="s">
        <v>26</v>
      </c>
      <c r="I1305" s="2">
        <v>45341</v>
      </c>
      <c r="J1305" s="2">
        <v>45380</v>
      </c>
      <c r="K1305" t="s">
        <v>17</v>
      </c>
    </row>
    <row r="1306" spans="1:11" x14ac:dyDescent="0.25">
      <c r="A1306" t="s">
        <v>123</v>
      </c>
      <c r="B1306" t="s">
        <v>12</v>
      </c>
      <c r="C1306">
        <v>100</v>
      </c>
      <c r="D1306">
        <v>97</v>
      </c>
      <c r="E1306" t="s">
        <v>13</v>
      </c>
      <c r="F1306" t="s">
        <v>171</v>
      </c>
      <c r="G1306">
        <v>93.73</v>
      </c>
      <c r="H1306" t="s">
        <v>26</v>
      </c>
      <c r="I1306" s="2">
        <v>45558</v>
      </c>
      <c r="J1306" s="2">
        <v>45584</v>
      </c>
      <c r="K1306" t="s">
        <v>172</v>
      </c>
    </row>
    <row r="1307" spans="1:11" x14ac:dyDescent="0.25">
      <c r="A1307" t="s">
        <v>131</v>
      </c>
      <c r="B1307" t="s">
        <v>23</v>
      </c>
      <c r="C1307">
        <v>43</v>
      </c>
      <c r="D1307">
        <v>25</v>
      </c>
      <c r="E1307" t="s">
        <v>13</v>
      </c>
      <c r="F1307" t="s">
        <v>170</v>
      </c>
      <c r="G1307">
        <v>348.51</v>
      </c>
      <c r="H1307" t="s">
        <v>26</v>
      </c>
      <c r="I1307" s="2">
        <v>45595</v>
      </c>
      <c r="J1307" s="2">
        <v>45680</v>
      </c>
      <c r="K1307" t="s">
        <v>17</v>
      </c>
    </row>
    <row r="1308" spans="1:11" x14ac:dyDescent="0.25">
      <c r="A1308" t="s">
        <v>130</v>
      </c>
      <c r="B1308" t="s">
        <v>30</v>
      </c>
      <c r="C1308">
        <v>186</v>
      </c>
      <c r="D1308">
        <v>86</v>
      </c>
      <c r="E1308" t="s">
        <v>13</v>
      </c>
      <c r="F1308" t="s">
        <v>173</v>
      </c>
      <c r="G1308">
        <v>118.65</v>
      </c>
      <c r="H1308" t="s">
        <v>26</v>
      </c>
      <c r="I1308" s="2">
        <v>45371</v>
      </c>
      <c r="J1308" s="2">
        <v>45424</v>
      </c>
      <c r="K1308" t="s">
        <v>172</v>
      </c>
    </row>
    <row r="1309" spans="1:11" x14ac:dyDescent="0.25">
      <c r="A1309" t="s">
        <v>144</v>
      </c>
      <c r="B1309" t="s">
        <v>23</v>
      </c>
      <c r="C1309">
        <v>48</v>
      </c>
      <c r="D1309">
        <v>99</v>
      </c>
      <c r="E1309" t="s">
        <v>19</v>
      </c>
      <c r="F1309" t="s">
        <v>173</v>
      </c>
      <c r="G1309">
        <v>63.19</v>
      </c>
      <c r="H1309" t="s">
        <v>26</v>
      </c>
      <c r="I1309" s="2">
        <v>45635</v>
      </c>
      <c r="J1309" s="2">
        <v>45666</v>
      </c>
      <c r="K1309" t="s">
        <v>21</v>
      </c>
    </row>
    <row r="1310" spans="1:11" x14ac:dyDescent="0.25">
      <c r="A1310" t="s">
        <v>138</v>
      </c>
      <c r="B1310" t="s">
        <v>28</v>
      </c>
      <c r="C1310">
        <v>188</v>
      </c>
      <c r="D1310">
        <v>26</v>
      </c>
      <c r="E1310" t="s">
        <v>13</v>
      </c>
      <c r="F1310" t="s">
        <v>173</v>
      </c>
      <c r="G1310">
        <v>86.82</v>
      </c>
      <c r="H1310" t="s">
        <v>26</v>
      </c>
      <c r="I1310" s="2">
        <v>45445</v>
      </c>
      <c r="J1310" s="2">
        <v>45504</v>
      </c>
      <c r="K1310" t="s">
        <v>17</v>
      </c>
    </row>
    <row r="1311" spans="1:11" x14ac:dyDescent="0.25">
      <c r="A1311" t="s">
        <v>80</v>
      </c>
      <c r="B1311" t="s">
        <v>28</v>
      </c>
      <c r="C1311">
        <v>16</v>
      </c>
      <c r="D1311">
        <v>71</v>
      </c>
      <c r="E1311" t="s">
        <v>19</v>
      </c>
      <c r="F1311" t="s">
        <v>173</v>
      </c>
      <c r="G1311">
        <v>5.99</v>
      </c>
      <c r="H1311" t="s">
        <v>20</v>
      </c>
      <c r="I1311" s="2">
        <v>45531</v>
      </c>
      <c r="J1311" s="2">
        <v>45556</v>
      </c>
      <c r="K1311" t="s">
        <v>172</v>
      </c>
    </row>
    <row r="1312" spans="1:11" x14ac:dyDescent="0.25">
      <c r="A1312" t="s">
        <v>78</v>
      </c>
      <c r="B1312" t="s">
        <v>30</v>
      </c>
      <c r="C1312">
        <v>73</v>
      </c>
      <c r="D1312">
        <v>33</v>
      </c>
      <c r="E1312" t="s">
        <v>13</v>
      </c>
      <c r="F1312" t="s">
        <v>171</v>
      </c>
      <c r="G1312">
        <v>360.78</v>
      </c>
      <c r="H1312" t="s">
        <v>26</v>
      </c>
      <c r="I1312" s="2">
        <v>45615</v>
      </c>
      <c r="J1312" s="2">
        <v>45699</v>
      </c>
      <c r="K1312" t="s">
        <v>17</v>
      </c>
    </row>
    <row r="1313" spans="1:11" x14ac:dyDescent="0.25">
      <c r="A1313" t="s">
        <v>80</v>
      </c>
      <c r="B1313" t="s">
        <v>12</v>
      </c>
      <c r="C1313">
        <v>56</v>
      </c>
      <c r="D1313">
        <v>92</v>
      </c>
      <c r="E1313" t="s">
        <v>19</v>
      </c>
      <c r="F1313" t="s">
        <v>171</v>
      </c>
      <c r="G1313">
        <v>367.54</v>
      </c>
      <c r="H1313" t="s">
        <v>26</v>
      </c>
      <c r="I1313" s="2">
        <v>45559</v>
      </c>
      <c r="J1313" s="2">
        <v>45596</v>
      </c>
      <c r="K1313" t="s">
        <v>17</v>
      </c>
    </row>
    <row r="1314" spans="1:11" x14ac:dyDescent="0.25">
      <c r="A1314" t="s">
        <v>126</v>
      </c>
      <c r="B1314" t="s">
        <v>16</v>
      </c>
      <c r="C1314">
        <v>54</v>
      </c>
      <c r="D1314">
        <v>34</v>
      </c>
      <c r="E1314" t="s">
        <v>13</v>
      </c>
      <c r="F1314" t="s">
        <v>170</v>
      </c>
      <c r="G1314">
        <v>259.89</v>
      </c>
      <c r="H1314" t="s">
        <v>14</v>
      </c>
      <c r="I1314" s="2">
        <v>45626</v>
      </c>
      <c r="J1314" s="2">
        <v>45710</v>
      </c>
      <c r="K1314" t="s">
        <v>17</v>
      </c>
    </row>
    <row r="1315" spans="1:11" x14ac:dyDescent="0.25">
      <c r="A1315" t="s">
        <v>120</v>
      </c>
      <c r="B1315" t="s">
        <v>30</v>
      </c>
      <c r="C1315">
        <v>46</v>
      </c>
      <c r="D1315">
        <v>40</v>
      </c>
      <c r="E1315" t="s">
        <v>13</v>
      </c>
      <c r="F1315" t="s">
        <v>173</v>
      </c>
      <c r="G1315">
        <v>84.87</v>
      </c>
      <c r="H1315" t="s">
        <v>20</v>
      </c>
      <c r="I1315" s="2">
        <v>45499</v>
      </c>
      <c r="J1315" s="2">
        <v>45551</v>
      </c>
      <c r="K1315" t="s">
        <v>172</v>
      </c>
    </row>
    <row r="1316" spans="1:11" x14ac:dyDescent="0.25">
      <c r="A1316" t="s">
        <v>152</v>
      </c>
      <c r="B1316" t="s">
        <v>16</v>
      </c>
      <c r="C1316">
        <v>11</v>
      </c>
      <c r="D1316">
        <v>54</v>
      </c>
      <c r="E1316" t="s">
        <v>19</v>
      </c>
      <c r="F1316" t="s">
        <v>171</v>
      </c>
      <c r="G1316">
        <v>46.36</v>
      </c>
      <c r="H1316" t="s">
        <v>20</v>
      </c>
      <c r="I1316" s="2">
        <v>45545</v>
      </c>
      <c r="J1316" s="2">
        <v>45561</v>
      </c>
    </row>
    <row r="1317" spans="1:11" x14ac:dyDescent="0.25">
      <c r="A1317" t="s">
        <v>72</v>
      </c>
      <c r="B1317" t="s">
        <v>16</v>
      </c>
      <c r="C1317">
        <v>61</v>
      </c>
      <c r="D1317">
        <v>85</v>
      </c>
      <c r="E1317" t="s">
        <v>19</v>
      </c>
      <c r="F1317" t="s">
        <v>170</v>
      </c>
      <c r="G1317">
        <v>14.47</v>
      </c>
      <c r="H1317" t="s">
        <v>20</v>
      </c>
      <c r="I1317" s="2">
        <v>45410</v>
      </c>
      <c r="J1317" s="2">
        <v>45496</v>
      </c>
      <c r="K1317" t="s">
        <v>17</v>
      </c>
    </row>
    <row r="1318" spans="1:11" x14ac:dyDescent="0.25">
      <c r="A1318" t="s">
        <v>107</v>
      </c>
      <c r="B1318" t="s">
        <v>12</v>
      </c>
      <c r="C1318">
        <v>79</v>
      </c>
      <c r="D1318">
        <v>21</v>
      </c>
      <c r="E1318" t="s">
        <v>13</v>
      </c>
      <c r="F1318" t="s">
        <v>170</v>
      </c>
      <c r="G1318">
        <v>87.05</v>
      </c>
      <c r="H1318" t="s">
        <v>20</v>
      </c>
      <c r="I1318" s="2">
        <v>45535</v>
      </c>
      <c r="J1318" s="2">
        <v>45586</v>
      </c>
      <c r="K1318" t="s">
        <v>17</v>
      </c>
    </row>
    <row r="1319" spans="1:11" x14ac:dyDescent="0.25">
      <c r="A1319" t="s">
        <v>133</v>
      </c>
      <c r="B1319" t="s">
        <v>16</v>
      </c>
      <c r="C1319">
        <v>82</v>
      </c>
      <c r="D1319">
        <v>54</v>
      </c>
      <c r="E1319" t="s">
        <v>13</v>
      </c>
      <c r="F1319" t="s">
        <v>171</v>
      </c>
      <c r="G1319">
        <v>445.97</v>
      </c>
      <c r="H1319" t="s">
        <v>26</v>
      </c>
      <c r="I1319" s="2">
        <v>45384</v>
      </c>
      <c r="J1319" s="2">
        <v>45447</v>
      </c>
      <c r="K1319" t="s">
        <v>21</v>
      </c>
    </row>
    <row r="1320" spans="1:11" x14ac:dyDescent="0.25">
      <c r="A1320" t="s">
        <v>75</v>
      </c>
      <c r="B1320" t="s">
        <v>16</v>
      </c>
      <c r="C1320">
        <v>7</v>
      </c>
      <c r="D1320">
        <v>97</v>
      </c>
      <c r="E1320" t="s">
        <v>19</v>
      </c>
      <c r="F1320" t="s">
        <v>173</v>
      </c>
      <c r="G1320">
        <v>124.56</v>
      </c>
      <c r="H1320" t="s">
        <v>26</v>
      </c>
      <c r="I1320" s="2">
        <v>45363</v>
      </c>
      <c r="J1320" s="2">
        <v>45429</v>
      </c>
    </row>
    <row r="1321" spans="1:11" x14ac:dyDescent="0.25">
      <c r="A1321" t="s">
        <v>80</v>
      </c>
      <c r="B1321" t="s">
        <v>12</v>
      </c>
      <c r="C1321">
        <v>148</v>
      </c>
      <c r="D1321">
        <v>39</v>
      </c>
      <c r="E1321" t="s">
        <v>13</v>
      </c>
      <c r="F1321" t="s">
        <v>170</v>
      </c>
      <c r="G1321">
        <v>180.36</v>
      </c>
      <c r="H1321" t="s">
        <v>14</v>
      </c>
      <c r="I1321" s="2">
        <v>45450</v>
      </c>
      <c r="J1321" s="2">
        <v>45497</v>
      </c>
      <c r="K1321" t="s">
        <v>172</v>
      </c>
    </row>
    <row r="1322" spans="1:11" x14ac:dyDescent="0.25">
      <c r="A1322" t="s">
        <v>156</v>
      </c>
      <c r="B1322" t="s">
        <v>16</v>
      </c>
      <c r="C1322">
        <v>80</v>
      </c>
      <c r="D1322">
        <v>29</v>
      </c>
      <c r="E1322" t="s">
        <v>13</v>
      </c>
      <c r="F1322" t="s">
        <v>173</v>
      </c>
      <c r="G1322">
        <v>57.15</v>
      </c>
      <c r="H1322" t="s">
        <v>14</v>
      </c>
      <c r="I1322" s="2">
        <v>45547</v>
      </c>
      <c r="J1322" s="2">
        <v>45583</v>
      </c>
      <c r="K1322" t="s">
        <v>21</v>
      </c>
    </row>
    <row r="1323" spans="1:11" x14ac:dyDescent="0.25">
      <c r="A1323" t="s">
        <v>124</v>
      </c>
      <c r="B1323" t="s">
        <v>16</v>
      </c>
      <c r="C1323">
        <v>117</v>
      </c>
      <c r="D1323">
        <v>44</v>
      </c>
      <c r="E1323" t="s">
        <v>13</v>
      </c>
      <c r="F1323" t="s">
        <v>173</v>
      </c>
      <c r="G1323">
        <v>115.07</v>
      </c>
      <c r="H1323" t="s">
        <v>20</v>
      </c>
      <c r="I1323" s="2">
        <v>45379</v>
      </c>
      <c r="J1323" s="2">
        <v>45398</v>
      </c>
      <c r="K1323" t="s">
        <v>17</v>
      </c>
    </row>
    <row r="1324" spans="1:11" x14ac:dyDescent="0.25">
      <c r="A1324" t="s">
        <v>27</v>
      </c>
      <c r="B1324" t="s">
        <v>16</v>
      </c>
      <c r="C1324">
        <v>197</v>
      </c>
      <c r="D1324">
        <v>85</v>
      </c>
      <c r="E1324" t="s">
        <v>13</v>
      </c>
      <c r="F1324" t="s">
        <v>173</v>
      </c>
      <c r="G1324">
        <v>262.02</v>
      </c>
      <c r="H1324" t="s">
        <v>14</v>
      </c>
      <c r="I1324" s="2">
        <v>45601</v>
      </c>
      <c r="J1324" s="2">
        <v>45633</v>
      </c>
      <c r="K1324" t="s">
        <v>21</v>
      </c>
    </row>
    <row r="1325" spans="1:11" x14ac:dyDescent="0.25">
      <c r="A1325" t="s">
        <v>89</v>
      </c>
      <c r="B1325" t="s">
        <v>30</v>
      </c>
      <c r="C1325">
        <v>199</v>
      </c>
      <c r="D1325">
        <v>44</v>
      </c>
      <c r="E1325" t="s">
        <v>13</v>
      </c>
      <c r="F1325" t="s">
        <v>170</v>
      </c>
      <c r="G1325">
        <v>305.83999999999997</v>
      </c>
      <c r="H1325" t="s">
        <v>14</v>
      </c>
      <c r="I1325" s="2">
        <v>45600</v>
      </c>
      <c r="J1325" s="2">
        <v>45652</v>
      </c>
      <c r="K1325" t="s">
        <v>21</v>
      </c>
    </row>
    <row r="1326" spans="1:11" x14ac:dyDescent="0.25">
      <c r="A1326" t="s">
        <v>82</v>
      </c>
      <c r="B1326" t="s">
        <v>30</v>
      </c>
      <c r="C1326">
        <v>24</v>
      </c>
      <c r="D1326">
        <v>73</v>
      </c>
      <c r="E1326" t="s">
        <v>19</v>
      </c>
      <c r="F1326" t="s">
        <v>173</v>
      </c>
      <c r="G1326">
        <v>126.45</v>
      </c>
      <c r="H1326" t="s">
        <v>20</v>
      </c>
      <c r="I1326" s="2">
        <v>45366</v>
      </c>
      <c r="J1326" s="2">
        <v>45417</v>
      </c>
      <c r="K1326" t="s">
        <v>17</v>
      </c>
    </row>
    <row r="1327" spans="1:11" x14ac:dyDescent="0.25">
      <c r="A1327" t="s">
        <v>76</v>
      </c>
      <c r="B1327" t="s">
        <v>30</v>
      </c>
      <c r="C1327">
        <v>88</v>
      </c>
      <c r="D1327">
        <v>52</v>
      </c>
      <c r="E1327" t="s">
        <v>13</v>
      </c>
      <c r="F1327" t="s">
        <v>170</v>
      </c>
      <c r="G1327">
        <v>33.58</v>
      </c>
      <c r="H1327" t="s">
        <v>20</v>
      </c>
      <c r="I1327" s="2">
        <v>45543</v>
      </c>
      <c r="J1327" s="2">
        <v>45621</v>
      </c>
    </row>
    <row r="1328" spans="1:11" x14ac:dyDescent="0.25">
      <c r="A1328" t="s">
        <v>92</v>
      </c>
      <c r="B1328" t="s">
        <v>12</v>
      </c>
      <c r="C1328">
        <v>11</v>
      </c>
      <c r="D1328">
        <v>55</v>
      </c>
      <c r="E1328" t="s">
        <v>19</v>
      </c>
      <c r="F1328" t="s">
        <v>173</v>
      </c>
      <c r="G1328">
        <v>198.56</v>
      </c>
      <c r="H1328" t="s">
        <v>14</v>
      </c>
      <c r="I1328" s="2">
        <v>45349</v>
      </c>
      <c r="J1328" s="2">
        <v>45373</v>
      </c>
    </row>
    <row r="1329" spans="1:11" x14ac:dyDescent="0.25">
      <c r="A1329" t="s">
        <v>102</v>
      </c>
      <c r="B1329" t="s">
        <v>28</v>
      </c>
      <c r="C1329">
        <v>142</v>
      </c>
      <c r="D1329">
        <v>33</v>
      </c>
      <c r="E1329" t="s">
        <v>13</v>
      </c>
      <c r="F1329" t="s">
        <v>170</v>
      </c>
      <c r="G1329">
        <v>120.93</v>
      </c>
      <c r="H1329" t="s">
        <v>26</v>
      </c>
      <c r="I1329" s="2">
        <v>45316</v>
      </c>
      <c r="J1329" s="2">
        <v>45372</v>
      </c>
      <c r="K1329" t="s">
        <v>21</v>
      </c>
    </row>
    <row r="1330" spans="1:11" x14ac:dyDescent="0.25">
      <c r="A1330" t="s">
        <v>135</v>
      </c>
      <c r="B1330" t="s">
        <v>16</v>
      </c>
      <c r="C1330">
        <v>58</v>
      </c>
      <c r="D1330">
        <v>84</v>
      </c>
      <c r="E1330" t="s">
        <v>19</v>
      </c>
      <c r="F1330" t="s">
        <v>173</v>
      </c>
      <c r="G1330">
        <v>113.68</v>
      </c>
      <c r="H1330" t="s">
        <v>14</v>
      </c>
      <c r="I1330" s="2">
        <v>45459</v>
      </c>
      <c r="J1330" s="2">
        <v>45521</v>
      </c>
      <c r="K1330" t="s">
        <v>17</v>
      </c>
    </row>
    <row r="1331" spans="1:11" x14ac:dyDescent="0.25">
      <c r="A1331" t="s">
        <v>129</v>
      </c>
      <c r="B1331" t="s">
        <v>16</v>
      </c>
      <c r="C1331">
        <v>153</v>
      </c>
      <c r="D1331">
        <v>99</v>
      </c>
      <c r="E1331" t="s">
        <v>13</v>
      </c>
      <c r="F1331" t="s">
        <v>171</v>
      </c>
      <c r="G1331">
        <v>480.13</v>
      </c>
      <c r="H1331" t="s">
        <v>14</v>
      </c>
      <c r="I1331" s="2">
        <v>45336</v>
      </c>
      <c r="J1331" s="2">
        <v>45394</v>
      </c>
      <c r="K1331" t="s">
        <v>172</v>
      </c>
    </row>
    <row r="1332" spans="1:11" x14ac:dyDescent="0.25">
      <c r="A1332" t="s">
        <v>91</v>
      </c>
      <c r="B1332" t="s">
        <v>12</v>
      </c>
      <c r="C1332">
        <v>108</v>
      </c>
      <c r="D1332">
        <v>73</v>
      </c>
      <c r="E1332" t="s">
        <v>13</v>
      </c>
      <c r="F1332" t="s">
        <v>173</v>
      </c>
      <c r="G1332">
        <v>310.07</v>
      </c>
      <c r="H1332" t="s">
        <v>26</v>
      </c>
      <c r="I1332" s="2">
        <v>45478</v>
      </c>
      <c r="J1332" s="2">
        <v>45508</v>
      </c>
      <c r="K1332" t="s">
        <v>21</v>
      </c>
    </row>
    <row r="1333" spans="1:11" x14ac:dyDescent="0.25">
      <c r="A1333" t="s">
        <v>119</v>
      </c>
      <c r="B1333" t="s">
        <v>16</v>
      </c>
      <c r="C1333">
        <v>25</v>
      </c>
      <c r="D1333">
        <v>71</v>
      </c>
      <c r="E1333" t="s">
        <v>19</v>
      </c>
      <c r="F1333" t="s">
        <v>173</v>
      </c>
      <c r="G1333">
        <v>280.64999999999998</v>
      </c>
      <c r="H1333" t="s">
        <v>26</v>
      </c>
      <c r="I1333" s="2">
        <v>45438</v>
      </c>
      <c r="J1333" s="2">
        <v>45506</v>
      </c>
      <c r="K1333" t="s">
        <v>172</v>
      </c>
    </row>
    <row r="1334" spans="1:11" x14ac:dyDescent="0.25">
      <c r="A1334" t="s">
        <v>96</v>
      </c>
      <c r="B1334" t="s">
        <v>30</v>
      </c>
      <c r="C1334">
        <v>46</v>
      </c>
      <c r="D1334">
        <v>22</v>
      </c>
      <c r="E1334" t="s">
        <v>13</v>
      </c>
      <c r="F1334" t="s">
        <v>170</v>
      </c>
      <c r="G1334">
        <v>210.81</v>
      </c>
      <c r="H1334" t="s">
        <v>20</v>
      </c>
      <c r="I1334" s="2">
        <v>45380</v>
      </c>
      <c r="J1334" s="2">
        <v>45429</v>
      </c>
      <c r="K1334" t="s">
        <v>21</v>
      </c>
    </row>
    <row r="1335" spans="1:11" x14ac:dyDescent="0.25">
      <c r="A1335" t="s">
        <v>116</v>
      </c>
      <c r="B1335" t="s">
        <v>28</v>
      </c>
      <c r="C1335">
        <v>31</v>
      </c>
      <c r="D1335">
        <v>60</v>
      </c>
      <c r="E1335" t="s">
        <v>19</v>
      </c>
      <c r="F1335" t="s">
        <v>170</v>
      </c>
      <c r="G1335">
        <v>217.33</v>
      </c>
      <c r="H1335" t="s">
        <v>20</v>
      </c>
      <c r="I1335" s="2">
        <v>45641</v>
      </c>
      <c r="J1335" s="2">
        <v>45683</v>
      </c>
      <c r="K1335" t="s">
        <v>21</v>
      </c>
    </row>
    <row r="1336" spans="1:11" x14ac:dyDescent="0.25">
      <c r="A1336" t="s">
        <v>18</v>
      </c>
      <c r="B1336" t="s">
        <v>23</v>
      </c>
      <c r="C1336">
        <v>9</v>
      </c>
      <c r="D1336">
        <v>25</v>
      </c>
      <c r="E1336" t="s">
        <v>19</v>
      </c>
      <c r="F1336" t="s">
        <v>173</v>
      </c>
      <c r="G1336">
        <v>272.75</v>
      </c>
      <c r="H1336" t="s">
        <v>14</v>
      </c>
      <c r="I1336" s="2">
        <v>45596</v>
      </c>
      <c r="J1336" s="2">
        <v>45612</v>
      </c>
      <c r="K1336" t="s">
        <v>17</v>
      </c>
    </row>
    <row r="1337" spans="1:11" x14ac:dyDescent="0.25">
      <c r="A1337" t="s">
        <v>107</v>
      </c>
      <c r="B1337" t="s">
        <v>16</v>
      </c>
      <c r="C1337">
        <v>15</v>
      </c>
      <c r="D1337">
        <v>44</v>
      </c>
      <c r="E1337" t="s">
        <v>19</v>
      </c>
      <c r="F1337" t="s">
        <v>171</v>
      </c>
      <c r="G1337">
        <v>349.73</v>
      </c>
      <c r="H1337" t="s">
        <v>26</v>
      </c>
      <c r="I1337" s="2">
        <v>45603</v>
      </c>
      <c r="J1337" s="2">
        <v>45630</v>
      </c>
      <c r="K1337" t="s">
        <v>17</v>
      </c>
    </row>
    <row r="1338" spans="1:11" x14ac:dyDescent="0.25">
      <c r="A1338" t="s">
        <v>95</v>
      </c>
      <c r="B1338" t="s">
        <v>30</v>
      </c>
      <c r="C1338">
        <v>198</v>
      </c>
      <c r="D1338">
        <v>32</v>
      </c>
      <c r="E1338" t="s">
        <v>13</v>
      </c>
      <c r="F1338" t="s">
        <v>171</v>
      </c>
      <c r="G1338">
        <v>352.56</v>
      </c>
      <c r="H1338" t="s">
        <v>20</v>
      </c>
      <c r="I1338" s="2">
        <v>45489</v>
      </c>
      <c r="J1338" s="2">
        <v>45544</v>
      </c>
      <c r="K1338" t="s">
        <v>172</v>
      </c>
    </row>
    <row r="1339" spans="1:11" x14ac:dyDescent="0.25">
      <c r="A1339" t="s">
        <v>43</v>
      </c>
      <c r="B1339" t="s">
        <v>23</v>
      </c>
      <c r="C1339">
        <v>144</v>
      </c>
      <c r="D1339">
        <v>27</v>
      </c>
      <c r="E1339" t="s">
        <v>13</v>
      </c>
      <c r="F1339" t="s">
        <v>170</v>
      </c>
      <c r="G1339">
        <v>89.99</v>
      </c>
      <c r="H1339" t="s">
        <v>14</v>
      </c>
      <c r="I1339" s="2">
        <v>45631</v>
      </c>
      <c r="J1339" s="2">
        <v>45704</v>
      </c>
      <c r="K1339" t="s">
        <v>172</v>
      </c>
    </row>
    <row r="1340" spans="1:11" x14ac:dyDescent="0.25">
      <c r="A1340" t="s">
        <v>122</v>
      </c>
      <c r="B1340" t="s">
        <v>28</v>
      </c>
      <c r="C1340">
        <v>150</v>
      </c>
      <c r="D1340">
        <v>40</v>
      </c>
      <c r="E1340" t="s">
        <v>13</v>
      </c>
      <c r="F1340" t="s">
        <v>171</v>
      </c>
      <c r="G1340">
        <v>252.56</v>
      </c>
      <c r="H1340" t="s">
        <v>26</v>
      </c>
      <c r="I1340" s="2">
        <v>45321</v>
      </c>
      <c r="J1340" s="2">
        <v>45404</v>
      </c>
    </row>
    <row r="1341" spans="1:11" x14ac:dyDescent="0.25">
      <c r="A1341" t="s">
        <v>136</v>
      </c>
      <c r="B1341" t="s">
        <v>23</v>
      </c>
      <c r="C1341">
        <v>25</v>
      </c>
      <c r="D1341">
        <v>87</v>
      </c>
      <c r="E1341" t="s">
        <v>19</v>
      </c>
      <c r="F1341" t="s">
        <v>173</v>
      </c>
      <c r="G1341">
        <v>208.92</v>
      </c>
      <c r="H1341" t="s">
        <v>14</v>
      </c>
      <c r="I1341" s="2">
        <v>45592</v>
      </c>
      <c r="J1341" s="2">
        <v>45659</v>
      </c>
      <c r="K1341" t="s">
        <v>17</v>
      </c>
    </row>
    <row r="1342" spans="1:11" x14ac:dyDescent="0.25">
      <c r="A1342" t="s">
        <v>18</v>
      </c>
      <c r="B1342" t="s">
        <v>30</v>
      </c>
      <c r="C1342">
        <v>85</v>
      </c>
      <c r="D1342">
        <v>44</v>
      </c>
      <c r="E1342" t="s">
        <v>13</v>
      </c>
      <c r="F1342" t="s">
        <v>170</v>
      </c>
      <c r="G1342">
        <v>435.91</v>
      </c>
      <c r="H1342" t="s">
        <v>20</v>
      </c>
      <c r="I1342" s="2">
        <v>45557</v>
      </c>
      <c r="J1342" s="2">
        <v>45616</v>
      </c>
      <c r="K1342" t="s">
        <v>21</v>
      </c>
    </row>
    <row r="1343" spans="1:11" x14ac:dyDescent="0.25">
      <c r="A1343" t="s">
        <v>157</v>
      </c>
      <c r="B1343" t="s">
        <v>23</v>
      </c>
      <c r="C1343">
        <v>134</v>
      </c>
      <c r="D1343">
        <v>98</v>
      </c>
      <c r="E1343" t="s">
        <v>13</v>
      </c>
      <c r="F1343" t="s">
        <v>173</v>
      </c>
      <c r="G1343">
        <v>317.55</v>
      </c>
      <c r="H1343" t="s">
        <v>20</v>
      </c>
      <c r="I1343" s="2">
        <v>45583</v>
      </c>
      <c r="J1343" s="2">
        <v>45617</v>
      </c>
      <c r="K1343" t="s">
        <v>21</v>
      </c>
    </row>
    <row r="1344" spans="1:11" x14ac:dyDescent="0.25">
      <c r="A1344" t="s">
        <v>153</v>
      </c>
      <c r="B1344" t="s">
        <v>12</v>
      </c>
      <c r="C1344">
        <v>13</v>
      </c>
      <c r="D1344">
        <v>87</v>
      </c>
      <c r="E1344" t="s">
        <v>19</v>
      </c>
      <c r="F1344" t="s">
        <v>170</v>
      </c>
      <c r="G1344">
        <v>268.58999999999997</v>
      </c>
      <c r="H1344" t="s">
        <v>26</v>
      </c>
      <c r="I1344" s="2">
        <v>45465</v>
      </c>
      <c r="J1344" s="2">
        <v>45503</v>
      </c>
    </row>
    <row r="1345" spans="1:11" x14ac:dyDescent="0.25">
      <c r="A1345" t="s">
        <v>78</v>
      </c>
      <c r="B1345" t="s">
        <v>23</v>
      </c>
      <c r="C1345">
        <v>78</v>
      </c>
      <c r="D1345">
        <v>64</v>
      </c>
      <c r="E1345" t="s">
        <v>13</v>
      </c>
      <c r="F1345" t="s">
        <v>170</v>
      </c>
      <c r="G1345">
        <v>62.12</v>
      </c>
      <c r="H1345" t="s">
        <v>14</v>
      </c>
      <c r="I1345" s="2">
        <v>45486</v>
      </c>
      <c r="J1345" s="2">
        <v>45561</v>
      </c>
      <c r="K1345" t="s">
        <v>17</v>
      </c>
    </row>
    <row r="1346" spans="1:11" x14ac:dyDescent="0.25">
      <c r="A1346" t="s">
        <v>81</v>
      </c>
      <c r="B1346" t="s">
        <v>16</v>
      </c>
      <c r="C1346">
        <v>116</v>
      </c>
      <c r="D1346">
        <v>79</v>
      </c>
      <c r="E1346" t="s">
        <v>13</v>
      </c>
      <c r="F1346" t="s">
        <v>170</v>
      </c>
      <c r="G1346">
        <v>304.79000000000002</v>
      </c>
      <c r="H1346" t="s">
        <v>26</v>
      </c>
      <c r="I1346" s="2">
        <v>45384</v>
      </c>
      <c r="J1346" s="2">
        <v>45456</v>
      </c>
      <c r="K1346" t="s">
        <v>21</v>
      </c>
    </row>
    <row r="1347" spans="1:11" x14ac:dyDescent="0.25">
      <c r="A1347" t="s">
        <v>125</v>
      </c>
      <c r="B1347" t="s">
        <v>16</v>
      </c>
      <c r="C1347">
        <v>6</v>
      </c>
      <c r="D1347">
        <v>31</v>
      </c>
      <c r="E1347" t="s">
        <v>19</v>
      </c>
      <c r="F1347" t="s">
        <v>170</v>
      </c>
      <c r="G1347">
        <v>63.02</v>
      </c>
      <c r="H1347" t="s">
        <v>20</v>
      </c>
      <c r="I1347" s="2">
        <v>45470</v>
      </c>
      <c r="J1347" s="2">
        <v>45511</v>
      </c>
    </row>
    <row r="1348" spans="1:11" x14ac:dyDescent="0.25">
      <c r="A1348" t="s">
        <v>91</v>
      </c>
      <c r="B1348" t="s">
        <v>12</v>
      </c>
      <c r="C1348">
        <v>136</v>
      </c>
      <c r="D1348">
        <v>51</v>
      </c>
      <c r="E1348" t="s">
        <v>13</v>
      </c>
      <c r="F1348" t="s">
        <v>171</v>
      </c>
      <c r="G1348">
        <v>171.92</v>
      </c>
      <c r="H1348" t="s">
        <v>20</v>
      </c>
      <c r="I1348" s="2">
        <v>45634</v>
      </c>
      <c r="J1348" s="2">
        <v>45674</v>
      </c>
    </row>
    <row r="1349" spans="1:11" x14ac:dyDescent="0.25">
      <c r="A1349" t="s">
        <v>92</v>
      </c>
      <c r="B1349" t="s">
        <v>30</v>
      </c>
      <c r="C1349">
        <v>114</v>
      </c>
      <c r="D1349">
        <v>32</v>
      </c>
      <c r="E1349" t="s">
        <v>13</v>
      </c>
      <c r="F1349" t="s">
        <v>173</v>
      </c>
      <c r="G1349">
        <v>75.709999999999994</v>
      </c>
      <c r="H1349" t="s">
        <v>14</v>
      </c>
      <c r="I1349" s="2">
        <v>45476</v>
      </c>
      <c r="J1349" s="2">
        <v>45497</v>
      </c>
      <c r="K1349" t="s">
        <v>21</v>
      </c>
    </row>
    <row r="1350" spans="1:11" x14ac:dyDescent="0.25">
      <c r="A1350" t="s">
        <v>54</v>
      </c>
      <c r="B1350" t="s">
        <v>16</v>
      </c>
      <c r="C1350">
        <v>175</v>
      </c>
      <c r="D1350">
        <v>50</v>
      </c>
      <c r="E1350" t="s">
        <v>13</v>
      </c>
      <c r="F1350" t="s">
        <v>173</v>
      </c>
      <c r="G1350">
        <v>347.58</v>
      </c>
      <c r="H1350" t="s">
        <v>14</v>
      </c>
      <c r="I1350" s="2">
        <v>45330</v>
      </c>
      <c r="J1350" s="2">
        <v>45386</v>
      </c>
      <c r="K1350" t="s">
        <v>21</v>
      </c>
    </row>
    <row r="1351" spans="1:11" x14ac:dyDescent="0.25">
      <c r="A1351" t="s">
        <v>133</v>
      </c>
      <c r="B1351" t="s">
        <v>28</v>
      </c>
      <c r="C1351">
        <v>71</v>
      </c>
      <c r="D1351">
        <v>97</v>
      </c>
      <c r="E1351" t="s">
        <v>19</v>
      </c>
      <c r="F1351" t="s">
        <v>173</v>
      </c>
      <c r="G1351">
        <v>107.09</v>
      </c>
      <c r="H1351" t="s">
        <v>14</v>
      </c>
      <c r="I1351" s="2">
        <v>45549</v>
      </c>
      <c r="J1351" s="2">
        <v>45610</v>
      </c>
      <c r="K1351" t="s">
        <v>172</v>
      </c>
    </row>
    <row r="1352" spans="1:11" x14ac:dyDescent="0.25">
      <c r="A1352" t="s">
        <v>91</v>
      </c>
      <c r="B1352" t="s">
        <v>16</v>
      </c>
      <c r="C1352">
        <v>58</v>
      </c>
      <c r="D1352">
        <v>39</v>
      </c>
      <c r="E1352" t="s">
        <v>13</v>
      </c>
      <c r="F1352" t="s">
        <v>170</v>
      </c>
      <c r="G1352">
        <v>198.97</v>
      </c>
      <c r="H1352" t="s">
        <v>26</v>
      </c>
      <c r="I1352" s="2">
        <v>45322</v>
      </c>
      <c r="J1352" s="2">
        <v>45389</v>
      </c>
      <c r="K1352" t="s">
        <v>17</v>
      </c>
    </row>
    <row r="1353" spans="1:11" x14ac:dyDescent="0.25">
      <c r="A1353" t="s">
        <v>154</v>
      </c>
      <c r="B1353" t="s">
        <v>16</v>
      </c>
      <c r="C1353">
        <v>81</v>
      </c>
      <c r="D1353">
        <v>37</v>
      </c>
      <c r="E1353" t="s">
        <v>13</v>
      </c>
      <c r="F1353" t="s">
        <v>171</v>
      </c>
      <c r="G1353">
        <v>448.36</v>
      </c>
      <c r="H1353" t="s">
        <v>14</v>
      </c>
      <c r="I1353" s="2">
        <v>45495</v>
      </c>
      <c r="J1353" s="2">
        <v>45568</v>
      </c>
      <c r="K1353" t="s">
        <v>172</v>
      </c>
    </row>
    <row r="1354" spans="1:11" x14ac:dyDescent="0.25">
      <c r="A1354" t="s">
        <v>42</v>
      </c>
      <c r="B1354" t="s">
        <v>30</v>
      </c>
      <c r="C1354">
        <v>115</v>
      </c>
      <c r="D1354">
        <v>79</v>
      </c>
      <c r="E1354" t="s">
        <v>13</v>
      </c>
      <c r="F1354" t="s">
        <v>173</v>
      </c>
      <c r="G1354">
        <v>106.14</v>
      </c>
      <c r="H1354" t="s">
        <v>14</v>
      </c>
      <c r="I1354" s="2">
        <v>45355</v>
      </c>
      <c r="J1354" s="2">
        <v>45407</v>
      </c>
    </row>
    <row r="1355" spans="1:11" x14ac:dyDescent="0.25">
      <c r="A1355" t="s">
        <v>116</v>
      </c>
      <c r="B1355" t="s">
        <v>23</v>
      </c>
      <c r="C1355">
        <v>166</v>
      </c>
      <c r="D1355">
        <v>82</v>
      </c>
      <c r="E1355" t="s">
        <v>13</v>
      </c>
      <c r="F1355" t="s">
        <v>171</v>
      </c>
      <c r="G1355">
        <v>256.36</v>
      </c>
      <c r="H1355" t="s">
        <v>20</v>
      </c>
      <c r="I1355" s="2">
        <v>45451</v>
      </c>
      <c r="J1355" s="2">
        <v>45534</v>
      </c>
      <c r="K1355" t="s">
        <v>21</v>
      </c>
    </row>
    <row r="1356" spans="1:11" x14ac:dyDescent="0.25">
      <c r="A1356" t="s">
        <v>142</v>
      </c>
      <c r="B1356" t="s">
        <v>16</v>
      </c>
      <c r="C1356">
        <v>145</v>
      </c>
      <c r="D1356">
        <v>25</v>
      </c>
      <c r="E1356" t="s">
        <v>13</v>
      </c>
      <c r="F1356" t="s">
        <v>170</v>
      </c>
      <c r="G1356">
        <v>212.54</v>
      </c>
      <c r="H1356" t="s">
        <v>20</v>
      </c>
      <c r="I1356" s="2">
        <v>45579</v>
      </c>
      <c r="J1356" s="2">
        <v>45646</v>
      </c>
      <c r="K1356" t="s">
        <v>172</v>
      </c>
    </row>
    <row r="1357" spans="1:11" x14ac:dyDescent="0.25">
      <c r="A1357" t="s">
        <v>101</v>
      </c>
      <c r="B1357" t="s">
        <v>12</v>
      </c>
      <c r="C1357">
        <v>186</v>
      </c>
      <c r="D1357">
        <v>51</v>
      </c>
      <c r="E1357" t="s">
        <v>13</v>
      </c>
      <c r="F1357" t="s">
        <v>173</v>
      </c>
      <c r="G1357">
        <v>13.97</v>
      </c>
      <c r="H1357" t="s">
        <v>14</v>
      </c>
      <c r="I1357" s="2">
        <v>45641</v>
      </c>
      <c r="J1357" s="2">
        <v>45670</v>
      </c>
    </row>
    <row r="1358" spans="1:11" x14ac:dyDescent="0.25">
      <c r="A1358" t="s">
        <v>90</v>
      </c>
      <c r="B1358" t="s">
        <v>23</v>
      </c>
      <c r="C1358">
        <v>102</v>
      </c>
      <c r="D1358">
        <v>62</v>
      </c>
      <c r="E1358" t="s">
        <v>13</v>
      </c>
      <c r="F1358" t="s">
        <v>171</v>
      </c>
      <c r="G1358">
        <v>397.42</v>
      </c>
      <c r="H1358" t="s">
        <v>14</v>
      </c>
      <c r="I1358" s="2">
        <v>45330</v>
      </c>
      <c r="J1358" s="2">
        <v>45370</v>
      </c>
      <c r="K1358" t="s">
        <v>17</v>
      </c>
    </row>
    <row r="1359" spans="1:11" x14ac:dyDescent="0.25">
      <c r="A1359" t="s">
        <v>136</v>
      </c>
      <c r="B1359" t="s">
        <v>28</v>
      </c>
      <c r="C1359">
        <v>16</v>
      </c>
      <c r="D1359">
        <v>21</v>
      </c>
      <c r="E1359" t="s">
        <v>19</v>
      </c>
      <c r="F1359" t="s">
        <v>170</v>
      </c>
      <c r="G1359">
        <v>39.18</v>
      </c>
      <c r="H1359" t="s">
        <v>20</v>
      </c>
      <c r="I1359" s="2">
        <v>45561</v>
      </c>
      <c r="J1359" s="2">
        <v>45623</v>
      </c>
      <c r="K1359" t="s">
        <v>21</v>
      </c>
    </row>
    <row r="1360" spans="1:11" x14ac:dyDescent="0.25">
      <c r="A1360" t="s">
        <v>90</v>
      </c>
      <c r="B1360" t="s">
        <v>30</v>
      </c>
      <c r="C1360">
        <v>13</v>
      </c>
      <c r="D1360">
        <v>79</v>
      </c>
      <c r="E1360" t="s">
        <v>19</v>
      </c>
      <c r="F1360" t="s">
        <v>171</v>
      </c>
      <c r="G1360">
        <v>239.76</v>
      </c>
      <c r="H1360" t="s">
        <v>14</v>
      </c>
      <c r="I1360" s="2">
        <v>45510</v>
      </c>
      <c r="J1360" s="2">
        <v>45543</v>
      </c>
      <c r="K1360" t="s">
        <v>172</v>
      </c>
    </row>
    <row r="1361" spans="1:11" x14ac:dyDescent="0.25">
      <c r="A1361" t="s">
        <v>128</v>
      </c>
      <c r="B1361" t="s">
        <v>28</v>
      </c>
      <c r="C1361">
        <v>158</v>
      </c>
      <c r="D1361">
        <v>42</v>
      </c>
      <c r="E1361" t="s">
        <v>13</v>
      </c>
      <c r="F1361" t="s">
        <v>173</v>
      </c>
      <c r="G1361">
        <v>282.54000000000002</v>
      </c>
      <c r="H1361" t="s">
        <v>26</v>
      </c>
      <c r="I1361" s="2">
        <v>45655</v>
      </c>
      <c r="J1361" s="2">
        <v>45678</v>
      </c>
      <c r="K1361" t="s">
        <v>17</v>
      </c>
    </row>
    <row r="1362" spans="1:11" x14ac:dyDescent="0.25">
      <c r="A1362" t="s">
        <v>95</v>
      </c>
      <c r="B1362" t="s">
        <v>23</v>
      </c>
      <c r="C1362">
        <v>151</v>
      </c>
      <c r="D1362">
        <v>50</v>
      </c>
      <c r="E1362" t="s">
        <v>13</v>
      </c>
      <c r="F1362" t="s">
        <v>173</v>
      </c>
      <c r="G1362">
        <v>316.07</v>
      </c>
      <c r="H1362" t="s">
        <v>26</v>
      </c>
      <c r="I1362" s="2">
        <v>45647</v>
      </c>
      <c r="J1362" s="2">
        <v>45725</v>
      </c>
      <c r="K1362" t="s">
        <v>172</v>
      </c>
    </row>
    <row r="1363" spans="1:11" x14ac:dyDescent="0.25">
      <c r="A1363" t="s">
        <v>147</v>
      </c>
      <c r="B1363" t="s">
        <v>23</v>
      </c>
      <c r="C1363">
        <v>107</v>
      </c>
      <c r="D1363">
        <v>24</v>
      </c>
      <c r="E1363" t="s">
        <v>13</v>
      </c>
      <c r="F1363" t="s">
        <v>170</v>
      </c>
      <c r="G1363">
        <v>345.87</v>
      </c>
      <c r="H1363" t="s">
        <v>26</v>
      </c>
      <c r="I1363" s="2">
        <v>45532</v>
      </c>
      <c r="J1363" s="2">
        <v>45600</v>
      </c>
    </row>
    <row r="1364" spans="1:11" x14ac:dyDescent="0.25">
      <c r="A1364" t="s">
        <v>91</v>
      </c>
      <c r="B1364" t="s">
        <v>23</v>
      </c>
      <c r="C1364">
        <v>187</v>
      </c>
      <c r="D1364">
        <v>53</v>
      </c>
      <c r="E1364" t="s">
        <v>13</v>
      </c>
      <c r="F1364" t="s">
        <v>170</v>
      </c>
      <c r="G1364">
        <v>130.37</v>
      </c>
      <c r="H1364" t="s">
        <v>14</v>
      </c>
      <c r="I1364" s="2">
        <v>45576</v>
      </c>
      <c r="J1364" s="2">
        <v>45641</v>
      </c>
      <c r="K1364" t="s">
        <v>17</v>
      </c>
    </row>
    <row r="1365" spans="1:11" x14ac:dyDescent="0.25">
      <c r="A1365" t="s">
        <v>154</v>
      </c>
      <c r="B1365" t="s">
        <v>28</v>
      </c>
      <c r="C1365">
        <v>44</v>
      </c>
      <c r="D1365">
        <v>29</v>
      </c>
      <c r="E1365" t="s">
        <v>13</v>
      </c>
      <c r="F1365" t="s">
        <v>170</v>
      </c>
      <c r="G1365">
        <v>9.94</v>
      </c>
      <c r="H1365" t="s">
        <v>20</v>
      </c>
      <c r="I1365" s="2">
        <v>45517</v>
      </c>
      <c r="J1365" s="2">
        <v>45570</v>
      </c>
      <c r="K1365" t="s">
        <v>172</v>
      </c>
    </row>
    <row r="1366" spans="1:11" x14ac:dyDescent="0.25">
      <c r="A1366" t="s">
        <v>76</v>
      </c>
      <c r="B1366" t="s">
        <v>23</v>
      </c>
      <c r="C1366">
        <v>97</v>
      </c>
      <c r="D1366">
        <v>21</v>
      </c>
      <c r="E1366" t="s">
        <v>13</v>
      </c>
      <c r="F1366" t="s">
        <v>171</v>
      </c>
      <c r="G1366">
        <v>363.1</v>
      </c>
      <c r="H1366" t="s">
        <v>14</v>
      </c>
      <c r="I1366" s="2">
        <v>45331</v>
      </c>
      <c r="J1366" s="2">
        <v>45349</v>
      </c>
      <c r="K1366" t="s">
        <v>17</v>
      </c>
    </row>
    <row r="1367" spans="1:11" x14ac:dyDescent="0.25">
      <c r="A1367" t="s">
        <v>82</v>
      </c>
      <c r="B1367" t="s">
        <v>28</v>
      </c>
      <c r="C1367">
        <v>130</v>
      </c>
      <c r="D1367">
        <v>30</v>
      </c>
      <c r="E1367" t="s">
        <v>13</v>
      </c>
      <c r="F1367" t="s">
        <v>171</v>
      </c>
      <c r="G1367">
        <v>270.14999999999998</v>
      </c>
      <c r="H1367" t="s">
        <v>14</v>
      </c>
      <c r="I1367" s="2">
        <v>45507</v>
      </c>
      <c r="J1367" s="2">
        <v>45524</v>
      </c>
    </row>
    <row r="1368" spans="1:11" x14ac:dyDescent="0.25">
      <c r="A1368" t="s">
        <v>121</v>
      </c>
      <c r="B1368" t="s">
        <v>23</v>
      </c>
      <c r="C1368">
        <v>36</v>
      </c>
      <c r="D1368">
        <v>69</v>
      </c>
      <c r="E1368" t="s">
        <v>19</v>
      </c>
      <c r="F1368" t="s">
        <v>171</v>
      </c>
      <c r="G1368">
        <v>418.88</v>
      </c>
      <c r="H1368" t="s">
        <v>20</v>
      </c>
      <c r="I1368" s="2">
        <v>45369</v>
      </c>
      <c r="J1368" s="2">
        <v>45447</v>
      </c>
      <c r="K1368" t="s">
        <v>17</v>
      </c>
    </row>
    <row r="1369" spans="1:11" x14ac:dyDescent="0.25">
      <c r="A1369" t="s">
        <v>93</v>
      </c>
      <c r="B1369" t="s">
        <v>12</v>
      </c>
      <c r="C1369">
        <v>170</v>
      </c>
      <c r="D1369">
        <v>50</v>
      </c>
      <c r="E1369" t="s">
        <v>13</v>
      </c>
      <c r="F1369" t="s">
        <v>170</v>
      </c>
      <c r="G1369">
        <v>411.59</v>
      </c>
      <c r="H1369" t="s">
        <v>20</v>
      </c>
      <c r="I1369" s="2">
        <v>45296</v>
      </c>
      <c r="J1369" s="2">
        <v>45339</v>
      </c>
      <c r="K1369" t="s">
        <v>172</v>
      </c>
    </row>
    <row r="1370" spans="1:11" x14ac:dyDescent="0.25">
      <c r="A1370" t="s">
        <v>81</v>
      </c>
      <c r="B1370" t="s">
        <v>23</v>
      </c>
      <c r="C1370">
        <v>167</v>
      </c>
      <c r="D1370">
        <v>75</v>
      </c>
      <c r="E1370" t="s">
        <v>13</v>
      </c>
      <c r="F1370" t="s">
        <v>173</v>
      </c>
      <c r="G1370">
        <v>422.45</v>
      </c>
      <c r="H1370" t="s">
        <v>20</v>
      </c>
      <c r="I1370" s="2">
        <v>45317</v>
      </c>
      <c r="J1370" s="2">
        <v>45342</v>
      </c>
    </row>
    <row r="1371" spans="1:11" x14ac:dyDescent="0.25">
      <c r="A1371" t="s">
        <v>43</v>
      </c>
      <c r="B1371" t="s">
        <v>28</v>
      </c>
      <c r="C1371">
        <v>182</v>
      </c>
      <c r="D1371">
        <v>98</v>
      </c>
      <c r="E1371" t="s">
        <v>13</v>
      </c>
      <c r="F1371" t="s">
        <v>173</v>
      </c>
      <c r="G1371">
        <v>245.12</v>
      </c>
      <c r="H1371" t="s">
        <v>26</v>
      </c>
      <c r="I1371" s="2">
        <v>45528</v>
      </c>
      <c r="J1371" s="2">
        <v>45600</v>
      </c>
      <c r="K1371" t="s">
        <v>21</v>
      </c>
    </row>
    <row r="1372" spans="1:11" x14ac:dyDescent="0.25">
      <c r="A1372" t="s">
        <v>83</v>
      </c>
      <c r="B1372" t="s">
        <v>16</v>
      </c>
      <c r="C1372">
        <v>107</v>
      </c>
      <c r="D1372">
        <v>92</v>
      </c>
      <c r="E1372" t="s">
        <v>13</v>
      </c>
      <c r="F1372" t="s">
        <v>171</v>
      </c>
      <c r="G1372">
        <v>170.15</v>
      </c>
      <c r="H1372" t="s">
        <v>14</v>
      </c>
      <c r="I1372" s="2">
        <v>45418</v>
      </c>
      <c r="J1372" s="2">
        <v>45507</v>
      </c>
      <c r="K1372" t="s">
        <v>172</v>
      </c>
    </row>
    <row r="1373" spans="1:11" x14ac:dyDescent="0.25">
      <c r="A1373" t="s">
        <v>43</v>
      </c>
      <c r="B1373" t="s">
        <v>23</v>
      </c>
      <c r="C1373">
        <v>38</v>
      </c>
      <c r="D1373">
        <v>28</v>
      </c>
      <c r="E1373" t="s">
        <v>13</v>
      </c>
      <c r="F1373" t="s">
        <v>171</v>
      </c>
      <c r="G1373">
        <v>396.82</v>
      </c>
      <c r="H1373" t="s">
        <v>20</v>
      </c>
      <c r="I1373" s="2">
        <v>45599</v>
      </c>
      <c r="J1373" s="2">
        <v>45640</v>
      </c>
      <c r="K1373" t="s">
        <v>172</v>
      </c>
    </row>
    <row r="1374" spans="1:11" x14ac:dyDescent="0.25">
      <c r="A1374" t="s">
        <v>120</v>
      </c>
      <c r="B1374" t="s">
        <v>16</v>
      </c>
      <c r="C1374">
        <v>14</v>
      </c>
      <c r="D1374">
        <v>40</v>
      </c>
      <c r="E1374" t="s">
        <v>19</v>
      </c>
      <c r="F1374" t="s">
        <v>173</v>
      </c>
      <c r="G1374">
        <v>228.39</v>
      </c>
      <c r="H1374" t="s">
        <v>14</v>
      </c>
      <c r="I1374" s="2">
        <v>45459</v>
      </c>
      <c r="J1374" s="2">
        <v>45494</v>
      </c>
    </row>
    <row r="1375" spans="1:11" x14ac:dyDescent="0.25">
      <c r="A1375" t="s">
        <v>99</v>
      </c>
      <c r="B1375" t="s">
        <v>12</v>
      </c>
      <c r="C1375">
        <v>119</v>
      </c>
      <c r="D1375">
        <v>92</v>
      </c>
      <c r="E1375" t="s">
        <v>13</v>
      </c>
      <c r="F1375" t="s">
        <v>173</v>
      </c>
      <c r="G1375">
        <v>95.8</v>
      </c>
      <c r="H1375" t="s">
        <v>26</v>
      </c>
      <c r="I1375" s="2">
        <v>45446</v>
      </c>
      <c r="J1375" s="2">
        <v>45499</v>
      </c>
    </row>
    <row r="1376" spans="1:11" x14ac:dyDescent="0.25">
      <c r="A1376" t="s">
        <v>118</v>
      </c>
      <c r="B1376" t="s">
        <v>30</v>
      </c>
      <c r="C1376">
        <v>3</v>
      </c>
      <c r="D1376">
        <v>47</v>
      </c>
      <c r="E1376" t="s">
        <v>19</v>
      </c>
      <c r="F1376" t="s">
        <v>171</v>
      </c>
      <c r="G1376">
        <v>428.21</v>
      </c>
      <c r="H1376" t="s">
        <v>26</v>
      </c>
      <c r="I1376" s="2">
        <v>45612</v>
      </c>
      <c r="J1376" s="2">
        <v>45672</v>
      </c>
      <c r="K1376" t="s">
        <v>21</v>
      </c>
    </row>
    <row r="1377" spans="1:11" x14ac:dyDescent="0.25">
      <c r="A1377" t="s">
        <v>42</v>
      </c>
      <c r="B1377" t="s">
        <v>12</v>
      </c>
      <c r="C1377">
        <v>92</v>
      </c>
      <c r="D1377">
        <v>81</v>
      </c>
      <c r="E1377" t="s">
        <v>13</v>
      </c>
      <c r="F1377" t="s">
        <v>171</v>
      </c>
      <c r="G1377">
        <v>441.87</v>
      </c>
      <c r="H1377" t="s">
        <v>20</v>
      </c>
      <c r="I1377" s="2">
        <v>45560</v>
      </c>
      <c r="J1377" s="2">
        <v>45640</v>
      </c>
      <c r="K1377" t="s">
        <v>172</v>
      </c>
    </row>
    <row r="1378" spans="1:11" x14ac:dyDescent="0.25">
      <c r="A1378" t="s">
        <v>129</v>
      </c>
      <c r="B1378" t="s">
        <v>23</v>
      </c>
      <c r="C1378">
        <v>152</v>
      </c>
      <c r="D1378">
        <v>26</v>
      </c>
      <c r="E1378" t="s">
        <v>13</v>
      </c>
      <c r="F1378" t="s">
        <v>173</v>
      </c>
      <c r="G1378">
        <v>235.82</v>
      </c>
      <c r="H1378" t="s">
        <v>20</v>
      </c>
      <c r="I1378" s="2">
        <v>45378</v>
      </c>
      <c r="J1378" s="2">
        <v>45428</v>
      </c>
    </row>
    <row r="1379" spans="1:11" x14ac:dyDescent="0.25">
      <c r="A1379" t="s">
        <v>67</v>
      </c>
      <c r="B1379" t="s">
        <v>16</v>
      </c>
      <c r="C1379">
        <v>140</v>
      </c>
      <c r="D1379">
        <v>99</v>
      </c>
      <c r="E1379" t="s">
        <v>13</v>
      </c>
      <c r="F1379" t="s">
        <v>170</v>
      </c>
      <c r="G1379">
        <v>42.47</v>
      </c>
      <c r="H1379" t="s">
        <v>14</v>
      </c>
      <c r="I1379" s="2">
        <v>45634</v>
      </c>
      <c r="J1379" s="2">
        <v>45723</v>
      </c>
      <c r="K1379" t="s">
        <v>21</v>
      </c>
    </row>
    <row r="1380" spans="1:11" x14ac:dyDescent="0.25">
      <c r="A1380" t="s">
        <v>120</v>
      </c>
      <c r="B1380" t="s">
        <v>16</v>
      </c>
      <c r="C1380">
        <v>160</v>
      </c>
      <c r="D1380">
        <v>35</v>
      </c>
      <c r="E1380" t="s">
        <v>13</v>
      </c>
      <c r="F1380" t="s">
        <v>171</v>
      </c>
      <c r="G1380">
        <v>196.97</v>
      </c>
      <c r="H1380" t="s">
        <v>20</v>
      </c>
      <c r="I1380" s="2">
        <v>45322</v>
      </c>
      <c r="J1380" s="2">
        <v>45401</v>
      </c>
      <c r="K1380" t="s">
        <v>21</v>
      </c>
    </row>
    <row r="1381" spans="1:11" x14ac:dyDescent="0.25">
      <c r="A1381" t="s">
        <v>101</v>
      </c>
      <c r="B1381" t="s">
        <v>28</v>
      </c>
      <c r="C1381">
        <v>15</v>
      </c>
      <c r="D1381">
        <v>23</v>
      </c>
      <c r="E1381" t="s">
        <v>19</v>
      </c>
      <c r="F1381" t="s">
        <v>173</v>
      </c>
      <c r="G1381">
        <v>402.75</v>
      </c>
      <c r="H1381" t="s">
        <v>14</v>
      </c>
      <c r="I1381" s="2">
        <v>45613</v>
      </c>
      <c r="J1381" s="2">
        <v>45690</v>
      </c>
    </row>
    <row r="1382" spans="1:11" x14ac:dyDescent="0.25">
      <c r="A1382" t="s">
        <v>74</v>
      </c>
      <c r="B1382" t="s">
        <v>16</v>
      </c>
      <c r="C1382">
        <v>169</v>
      </c>
      <c r="D1382">
        <v>23</v>
      </c>
      <c r="E1382" t="s">
        <v>13</v>
      </c>
      <c r="F1382" t="s">
        <v>173</v>
      </c>
      <c r="G1382">
        <v>451.38</v>
      </c>
      <c r="H1382" t="s">
        <v>20</v>
      </c>
      <c r="I1382" s="2">
        <v>45630</v>
      </c>
      <c r="J1382" s="2">
        <v>45679</v>
      </c>
      <c r="K1382" t="s">
        <v>172</v>
      </c>
    </row>
    <row r="1383" spans="1:11" x14ac:dyDescent="0.25">
      <c r="A1383" t="s">
        <v>135</v>
      </c>
      <c r="B1383" t="s">
        <v>28</v>
      </c>
      <c r="C1383">
        <v>107</v>
      </c>
      <c r="D1383">
        <v>59</v>
      </c>
      <c r="E1383" t="s">
        <v>13</v>
      </c>
      <c r="F1383" t="s">
        <v>173</v>
      </c>
      <c r="G1383">
        <v>105.72</v>
      </c>
      <c r="H1383" t="s">
        <v>14</v>
      </c>
      <c r="I1383" s="2">
        <v>45375</v>
      </c>
      <c r="J1383" s="2">
        <v>45420</v>
      </c>
      <c r="K1383" t="s">
        <v>17</v>
      </c>
    </row>
    <row r="1384" spans="1:11" x14ac:dyDescent="0.25">
      <c r="A1384" t="s">
        <v>84</v>
      </c>
      <c r="B1384" t="s">
        <v>30</v>
      </c>
      <c r="C1384">
        <v>125</v>
      </c>
      <c r="D1384">
        <v>36</v>
      </c>
      <c r="E1384" t="s">
        <v>13</v>
      </c>
      <c r="F1384" t="s">
        <v>173</v>
      </c>
      <c r="G1384">
        <v>38.15</v>
      </c>
      <c r="H1384" t="s">
        <v>14</v>
      </c>
      <c r="I1384" s="2">
        <v>45560</v>
      </c>
      <c r="J1384" s="2">
        <v>45602</v>
      </c>
      <c r="K1384" t="s">
        <v>17</v>
      </c>
    </row>
    <row r="1385" spans="1:11" x14ac:dyDescent="0.25">
      <c r="A1385" t="s">
        <v>111</v>
      </c>
      <c r="B1385" t="s">
        <v>23</v>
      </c>
      <c r="C1385">
        <v>193</v>
      </c>
      <c r="D1385">
        <v>71</v>
      </c>
      <c r="E1385" t="s">
        <v>13</v>
      </c>
      <c r="F1385" t="s">
        <v>170</v>
      </c>
      <c r="G1385">
        <v>439.29</v>
      </c>
      <c r="H1385" t="s">
        <v>14</v>
      </c>
      <c r="I1385" s="2">
        <v>45621</v>
      </c>
      <c r="J1385" s="2">
        <v>45636</v>
      </c>
      <c r="K1385" t="s">
        <v>21</v>
      </c>
    </row>
    <row r="1386" spans="1:11" x14ac:dyDescent="0.25">
      <c r="A1386" t="s">
        <v>147</v>
      </c>
      <c r="B1386" t="s">
        <v>28</v>
      </c>
      <c r="C1386">
        <v>54</v>
      </c>
      <c r="D1386">
        <v>71</v>
      </c>
      <c r="E1386" t="s">
        <v>19</v>
      </c>
      <c r="F1386" t="s">
        <v>173</v>
      </c>
      <c r="G1386">
        <v>197.76</v>
      </c>
      <c r="H1386" t="s">
        <v>14</v>
      </c>
      <c r="I1386" s="2">
        <v>45548</v>
      </c>
      <c r="J1386" s="2">
        <v>45587</v>
      </c>
      <c r="K1386" t="s">
        <v>17</v>
      </c>
    </row>
    <row r="1387" spans="1:11" x14ac:dyDescent="0.25">
      <c r="A1387" t="s">
        <v>158</v>
      </c>
      <c r="B1387" t="s">
        <v>30</v>
      </c>
      <c r="C1387">
        <v>169</v>
      </c>
      <c r="D1387">
        <v>55</v>
      </c>
      <c r="E1387" t="s">
        <v>13</v>
      </c>
      <c r="F1387" t="s">
        <v>171</v>
      </c>
      <c r="G1387">
        <v>273.17</v>
      </c>
      <c r="H1387" t="s">
        <v>26</v>
      </c>
      <c r="I1387" s="2">
        <v>45602</v>
      </c>
      <c r="J1387" s="2">
        <v>45659</v>
      </c>
      <c r="K1387" t="s">
        <v>17</v>
      </c>
    </row>
    <row r="1388" spans="1:11" x14ac:dyDescent="0.25">
      <c r="A1388" t="s">
        <v>126</v>
      </c>
      <c r="B1388" t="s">
        <v>16</v>
      </c>
      <c r="C1388">
        <v>33</v>
      </c>
      <c r="D1388">
        <v>57</v>
      </c>
      <c r="E1388" t="s">
        <v>19</v>
      </c>
      <c r="F1388" t="s">
        <v>170</v>
      </c>
      <c r="G1388">
        <v>484.19</v>
      </c>
      <c r="H1388" t="s">
        <v>14</v>
      </c>
      <c r="I1388" s="2">
        <v>45465</v>
      </c>
      <c r="J1388" s="2">
        <v>45546</v>
      </c>
    </row>
    <row r="1389" spans="1:11" x14ac:dyDescent="0.25">
      <c r="A1389" t="s">
        <v>124</v>
      </c>
      <c r="B1389" t="s">
        <v>16</v>
      </c>
      <c r="C1389">
        <v>157</v>
      </c>
      <c r="D1389">
        <v>69</v>
      </c>
      <c r="E1389" t="s">
        <v>13</v>
      </c>
      <c r="F1389" t="s">
        <v>173</v>
      </c>
      <c r="G1389">
        <v>37.950000000000003</v>
      </c>
      <c r="H1389" t="s">
        <v>20</v>
      </c>
      <c r="I1389" s="2">
        <v>45438</v>
      </c>
      <c r="J1389" s="2">
        <v>45515</v>
      </c>
      <c r="K1389" t="s">
        <v>21</v>
      </c>
    </row>
    <row r="1390" spans="1:11" x14ac:dyDescent="0.25">
      <c r="A1390" t="s">
        <v>126</v>
      </c>
      <c r="B1390" t="s">
        <v>30</v>
      </c>
      <c r="C1390">
        <v>12</v>
      </c>
      <c r="D1390">
        <v>82</v>
      </c>
      <c r="E1390" t="s">
        <v>19</v>
      </c>
      <c r="F1390" t="s">
        <v>170</v>
      </c>
      <c r="G1390">
        <v>325.92</v>
      </c>
      <c r="H1390" t="s">
        <v>26</v>
      </c>
      <c r="I1390" s="2">
        <v>45472</v>
      </c>
      <c r="J1390" s="2">
        <v>45537</v>
      </c>
      <c r="K1390" t="s">
        <v>172</v>
      </c>
    </row>
    <row r="1391" spans="1:11" x14ac:dyDescent="0.25">
      <c r="A1391" t="s">
        <v>94</v>
      </c>
      <c r="B1391" t="s">
        <v>16</v>
      </c>
      <c r="C1391">
        <v>140</v>
      </c>
      <c r="D1391">
        <v>82</v>
      </c>
      <c r="E1391" t="s">
        <v>13</v>
      </c>
      <c r="F1391" t="s">
        <v>171</v>
      </c>
      <c r="G1391">
        <v>41.68</v>
      </c>
      <c r="H1391" t="s">
        <v>26</v>
      </c>
      <c r="I1391" s="2">
        <v>45588</v>
      </c>
      <c r="J1391" s="2">
        <v>45604</v>
      </c>
      <c r="K1391" t="s">
        <v>21</v>
      </c>
    </row>
    <row r="1392" spans="1:11" x14ac:dyDescent="0.25">
      <c r="A1392" t="s">
        <v>101</v>
      </c>
      <c r="B1392" t="s">
        <v>30</v>
      </c>
      <c r="C1392">
        <v>17</v>
      </c>
      <c r="D1392">
        <v>81</v>
      </c>
      <c r="E1392" t="s">
        <v>19</v>
      </c>
      <c r="F1392" t="s">
        <v>173</v>
      </c>
      <c r="G1392">
        <v>190.86</v>
      </c>
      <c r="H1392" t="s">
        <v>14</v>
      </c>
      <c r="I1392" s="2">
        <v>45340</v>
      </c>
      <c r="J1392" s="2">
        <v>45418</v>
      </c>
    </row>
    <row r="1393" spans="1:11" x14ac:dyDescent="0.25">
      <c r="A1393" t="s">
        <v>137</v>
      </c>
      <c r="B1393" t="s">
        <v>28</v>
      </c>
      <c r="C1393">
        <v>159</v>
      </c>
      <c r="D1393">
        <v>26</v>
      </c>
      <c r="E1393" t="s">
        <v>13</v>
      </c>
      <c r="F1393" t="s">
        <v>171</v>
      </c>
      <c r="G1393">
        <v>402.89</v>
      </c>
      <c r="H1393" t="s">
        <v>26</v>
      </c>
      <c r="I1393" s="2">
        <v>45527</v>
      </c>
      <c r="J1393" s="2">
        <v>45615</v>
      </c>
      <c r="K1393" t="s">
        <v>17</v>
      </c>
    </row>
    <row r="1394" spans="1:11" x14ac:dyDescent="0.25">
      <c r="A1394" t="s">
        <v>141</v>
      </c>
      <c r="B1394" t="s">
        <v>28</v>
      </c>
      <c r="C1394">
        <v>95</v>
      </c>
      <c r="D1394">
        <v>46</v>
      </c>
      <c r="E1394" t="s">
        <v>13</v>
      </c>
      <c r="F1394" t="s">
        <v>173</v>
      </c>
      <c r="G1394">
        <v>219.57</v>
      </c>
      <c r="H1394" t="s">
        <v>14</v>
      </c>
      <c r="I1394" s="2">
        <v>45602</v>
      </c>
      <c r="J1394" s="2">
        <v>45685</v>
      </c>
      <c r="K1394" t="s">
        <v>172</v>
      </c>
    </row>
    <row r="1395" spans="1:11" x14ac:dyDescent="0.25">
      <c r="A1395" t="s">
        <v>128</v>
      </c>
      <c r="B1395" t="s">
        <v>30</v>
      </c>
      <c r="C1395">
        <v>122</v>
      </c>
      <c r="D1395">
        <v>33</v>
      </c>
      <c r="E1395" t="s">
        <v>13</v>
      </c>
      <c r="F1395" t="s">
        <v>173</v>
      </c>
      <c r="G1395">
        <v>498.61</v>
      </c>
      <c r="H1395" t="s">
        <v>20</v>
      </c>
      <c r="I1395" s="2">
        <v>45560</v>
      </c>
      <c r="J1395" s="2">
        <v>45583</v>
      </c>
      <c r="K1395" t="s">
        <v>21</v>
      </c>
    </row>
    <row r="1396" spans="1:11" x14ac:dyDescent="0.25">
      <c r="A1396" t="s">
        <v>130</v>
      </c>
      <c r="B1396" t="s">
        <v>28</v>
      </c>
      <c r="C1396">
        <v>38</v>
      </c>
      <c r="D1396">
        <v>90</v>
      </c>
      <c r="E1396" t="s">
        <v>19</v>
      </c>
      <c r="F1396" t="s">
        <v>173</v>
      </c>
      <c r="G1396">
        <v>281.73</v>
      </c>
      <c r="H1396" t="s">
        <v>14</v>
      </c>
      <c r="I1396" s="2">
        <v>45321</v>
      </c>
      <c r="J1396" s="2">
        <v>45337</v>
      </c>
      <c r="K1396" t="s">
        <v>17</v>
      </c>
    </row>
    <row r="1397" spans="1:11" x14ac:dyDescent="0.25">
      <c r="A1397" t="s">
        <v>141</v>
      </c>
      <c r="B1397" t="s">
        <v>28</v>
      </c>
      <c r="C1397">
        <v>45</v>
      </c>
      <c r="D1397">
        <v>24</v>
      </c>
      <c r="E1397" t="s">
        <v>13</v>
      </c>
      <c r="F1397" t="s">
        <v>173</v>
      </c>
      <c r="G1397">
        <v>163.98</v>
      </c>
      <c r="H1397" t="s">
        <v>26</v>
      </c>
      <c r="I1397" s="2">
        <v>45570</v>
      </c>
      <c r="J1397" s="2">
        <v>45618</v>
      </c>
      <c r="K1397" t="s">
        <v>21</v>
      </c>
    </row>
    <row r="1398" spans="1:11" x14ac:dyDescent="0.25">
      <c r="A1398" t="s">
        <v>127</v>
      </c>
      <c r="B1398" t="s">
        <v>28</v>
      </c>
      <c r="C1398">
        <v>28</v>
      </c>
      <c r="D1398">
        <v>74</v>
      </c>
      <c r="E1398" t="s">
        <v>19</v>
      </c>
      <c r="F1398" t="s">
        <v>173</v>
      </c>
      <c r="G1398">
        <v>113.96</v>
      </c>
      <c r="H1398" t="s">
        <v>20</v>
      </c>
      <c r="I1398" s="2">
        <v>45363</v>
      </c>
      <c r="J1398" s="2">
        <v>45437</v>
      </c>
      <c r="K1398" t="s">
        <v>172</v>
      </c>
    </row>
    <row r="1399" spans="1:11" x14ac:dyDescent="0.25">
      <c r="A1399" t="s">
        <v>93</v>
      </c>
      <c r="B1399" t="s">
        <v>12</v>
      </c>
      <c r="C1399">
        <v>189</v>
      </c>
      <c r="D1399">
        <v>21</v>
      </c>
      <c r="E1399" t="s">
        <v>13</v>
      </c>
      <c r="F1399" t="s">
        <v>170</v>
      </c>
      <c r="G1399">
        <v>178.51</v>
      </c>
      <c r="H1399" t="s">
        <v>14</v>
      </c>
      <c r="I1399" s="2">
        <v>45538</v>
      </c>
      <c r="J1399" s="2">
        <v>45613</v>
      </c>
      <c r="K1399" t="s">
        <v>21</v>
      </c>
    </row>
    <row r="1400" spans="1:11" x14ac:dyDescent="0.25">
      <c r="A1400" t="s">
        <v>127</v>
      </c>
      <c r="B1400" t="s">
        <v>23</v>
      </c>
      <c r="C1400">
        <v>61</v>
      </c>
      <c r="D1400">
        <v>81</v>
      </c>
      <c r="E1400" t="s">
        <v>19</v>
      </c>
      <c r="F1400" t="s">
        <v>173</v>
      </c>
      <c r="G1400">
        <v>189.4</v>
      </c>
      <c r="H1400" t="s">
        <v>20</v>
      </c>
      <c r="I1400" s="2">
        <v>45449</v>
      </c>
      <c r="J1400" s="2">
        <v>45494</v>
      </c>
      <c r="K1400" t="s">
        <v>21</v>
      </c>
    </row>
    <row r="1401" spans="1:11" x14ac:dyDescent="0.25">
      <c r="A1401" t="s">
        <v>157</v>
      </c>
      <c r="B1401" t="s">
        <v>16</v>
      </c>
      <c r="C1401">
        <v>184</v>
      </c>
      <c r="D1401">
        <v>40</v>
      </c>
      <c r="E1401" t="s">
        <v>13</v>
      </c>
      <c r="F1401" t="s">
        <v>173</v>
      </c>
      <c r="G1401">
        <v>39.01</v>
      </c>
      <c r="H1401" t="s">
        <v>20</v>
      </c>
      <c r="I1401" s="2">
        <v>45323</v>
      </c>
      <c r="J1401" s="2">
        <v>45347</v>
      </c>
      <c r="K1401" t="s">
        <v>21</v>
      </c>
    </row>
    <row r="1402" spans="1:11" x14ac:dyDescent="0.25">
      <c r="A1402" t="s">
        <v>80</v>
      </c>
      <c r="B1402" t="s">
        <v>12</v>
      </c>
      <c r="C1402">
        <v>15</v>
      </c>
      <c r="D1402">
        <v>98</v>
      </c>
      <c r="E1402" t="s">
        <v>19</v>
      </c>
      <c r="F1402" t="s">
        <v>170</v>
      </c>
      <c r="G1402">
        <v>187.94</v>
      </c>
      <c r="H1402" t="s">
        <v>26</v>
      </c>
      <c r="I1402" s="2">
        <v>45503</v>
      </c>
      <c r="J1402" s="2">
        <v>45553</v>
      </c>
      <c r="K1402" t="s">
        <v>17</v>
      </c>
    </row>
    <row r="1403" spans="1:11" x14ac:dyDescent="0.25">
      <c r="A1403" t="s">
        <v>110</v>
      </c>
      <c r="B1403" t="s">
        <v>28</v>
      </c>
      <c r="C1403">
        <v>183</v>
      </c>
      <c r="D1403">
        <v>40</v>
      </c>
      <c r="E1403" t="s">
        <v>13</v>
      </c>
      <c r="F1403" t="s">
        <v>170</v>
      </c>
      <c r="G1403">
        <v>234.8</v>
      </c>
      <c r="H1403" t="s">
        <v>20</v>
      </c>
      <c r="I1403" s="2">
        <v>45622</v>
      </c>
      <c r="J1403" s="2">
        <v>45685</v>
      </c>
      <c r="K1403" t="s">
        <v>172</v>
      </c>
    </row>
    <row r="1404" spans="1:11" x14ac:dyDescent="0.25">
      <c r="A1404" t="s">
        <v>75</v>
      </c>
      <c r="B1404" t="s">
        <v>30</v>
      </c>
      <c r="C1404">
        <v>120</v>
      </c>
      <c r="D1404">
        <v>29</v>
      </c>
      <c r="E1404" t="s">
        <v>13</v>
      </c>
      <c r="F1404" t="s">
        <v>170</v>
      </c>
      <c r="G1404">
        <v>362.76</v>
      </c>
      <c r="H1404" t="s">
        <v>26</v>
      </c>
      <c r="I1404" s="2">
        <v>45578</v>
      </c>
      <c r="J1404" s="2">
        <v>45662</v>
      </c>
      <c r="K1404" t="s">
        <v>172</v>
      </c>
    </row>
    <row r="1405" spans="1:11" x14ac:dyDescent="0.25">
      <c r="A1405" t="s">
        <v>105</v>
      </c>
      <c r="B1405" t="s">
        <v>28</v>
      </c>
      <c r="C1405">
        <v>9</v>
      </c>
      <c r="D1405">
        <v>77</v>
      </c>
      <c r="E1405" t="s">
        <v>19</v>
      </c>
      <c r="F1405" t="s">
        <v>170</v>
      </c>
      <c r="G1405">
        <v>330.08</v>
      </c>
      <c r="H1405" t="s">
        <v>20</v>
      </c>
      <c r="I1405" s="2">
        <v>45590</v>
      </c>
      <c r="J1405" s="2">
        <v>45653</v>
      </c>
      <c r="K1405" t="s">
        <v>17</v>
      </c>
    </row>
    <row r="1406" spans="1:11" x14ac:dyDescent="0.25">
      <c r="A1406" t="s">
        <v>91</v>
      </c>
      <c r="B1406" t="s">
        <v>23</v>
      </c>
      <c r="C1406">
        <v>157</v>
      </c>
      <c r="D1406">
        <v>58</v>
      </c>
      <c r="E1406" t="s">
        <v>13</v>
      </c>
      <c r="F1406" t="s">
        <v>170</v>
      </c>
      <c r="G1406">
        <v>355.84</v>
      </c>
      <c r="H1406" t="s">
        <v>14</v>
      </c>
      <c r="I1406" s="2">
        <v>45314</v>
      </c>
      <c r="J1406" s="2">
        <v>45331</v>
      </c>
      <c r="K1406" t="s">
        <v>17</v>
      </c>
    </row>
    <row r="1407" spans="1:11" x14ac:dyDescent="0.25">
      <c r="A1407" t="s">
        <v>136</v>
      </c>
      <c r="B1407" t="s">
        <v>28</v>
      </c>
      <c r="C1407">
        <v>152</v>
      </c>
      <c r="D1407">
        <v>24</v>
      </c>
      <c r="E1407" t="s">
        <v>13</v>
      </c>
      <c r="F1407" t="s">
        <v>170</v>
      </c>
      <c r="G1407">
        <v>9.14</v>
      </c>
      <c r="H1407" t="s">
        <v>20</v>
      </c>
      <c r="I1407" s="2">
        <v>45623</v>
      </c>
      <c r="J1407" s="2">
        <v>45711</v>
      </c>
      <c r="K1407" t="s">
        <v>17</v>
      </c>
    </row>
    <row r="1408" spans="1:11" x14ac:dyDescent="0.25">
      <c r="A1408" t="s">
        <v>142</v>
      </c>
      <c r="B1408" t="s">
        <v>30</v>
      </c>
      <c r="C1408">
        <v>102</v>
      </c>
      <c r="D1408">
        <v>84</v>
      </c>
      <c r="E1408" t="s">
        <v>13</v>
      </c>
      <c r="F1408" t="s">
        <v>173</v>
      </c>
      <c r="G1408">
        <v>112.75</v>
      </c>
      <c r="H1408" t="s">
        <v>14</v>
      </c>
      <c r="I1408" s="2">
        <v>45560</v>
      </c>
      <c r="J1408" s="2">
        <v>45579</v>
      </c>
    </row>
    <row r="1409" spans="1:11" x14ac:dyDescent="0.25">
      <c r="A1409" t="s">
        <v>155</v>
      </c>
      <c r="B1409" t="s">
        <v>23</v>
      </c>
      <c r="C1409">
        <v>83</v>
      </c>
      <c r="D1409">
        <v>32</v>
      </c>
      <c r="E1409" t="s">
        <v>13</v>
      </c>
      <c r="F1409" t="s">
        <v>173</v>
      </c>
      <c r="G1409">
        <v>332.53</v>
      </c>
      <c r="H1409" t="s">
        <v>14</v>
      </c>
      <c r="I1409" s="2">
        <v>45488</v>
      </c>
      <c r="J1409" s="2">
        <v>45563</v>
      </c>
      <c r="K1409" t="s">
        <v>21</v>
      </c>
    </row>
    <row r="1410" spans="1:11" x14ac:dyDescent="0.25">
      <c r="A1410" t="s">
        <v>82</v>
      </c>
      <c r="B1410" t="s">
        <v>28</v>
      </c>
      <c r="C1410">
        <v>132</v>
      </c>
      <c r="D1410">
        <v>72</v>
      </c>
      <c r="E1410" t="s">
        <v>13</v>
      </c>
      <c r="F1410" t="s">
        <v>171</v>
      </c>
      <c r="G1410">
        <v>244.57</v>
      </c>
      <c r="H1410" t="s">
        <v>20</v>
      </c>
      <c r="I1410" s="2">
        <v>45488</v>
      </c>
      <c r="J1410" s="2">
        <v>45528</v>
      </c>
      <c r="K1410" t="s">
        <v>21</v>
      </c>
    </row>
    <row r="1411" spans="1:11" x14ac:dyDescent="0.25">
      <c r="A1411" t="s">
        <v>87</v>
      </c>
      <c r="B1411" t="s">
        <v>23</v>
      </c>
      <c r="C1411">
        <v>64</v>
      </c>
      <c r="D1411">
        <v>64</v>
      </c>
      <c r="E1411" t="s">
        <v>13</v>
      </c>
      <c r="F1411" t="s">
        <v>173</v>
      </c>
      <c r="G1411">
        <v>7.63</v>
      </c>
      <c r="H1411" t="s">
        <v>14</v>
      </c>
      <c r="I1411" s="2">
        <v>45506</v>
      </c>
      <c r="J1411" s="2">
        <v>45592</v>
      </c>
      <c r="K1411" t="s">
        <v>172</v>
      </c>
    </row>
    <row r="1412" spans="1:11" x14ac:dyDescent="0.25">
      <c r="A1412" t="s">
        <v>124</v>
      </c>
      <c r="B1412" t="s">
        <v>16</v>
      </c>
      <c r="C1412">
        <v>176</v>
      </c>
      <c r="D1412">
        <v>51</v>
      </c>
      <c r="E1412" t="s">
        <v>13</v>
      </c>
      <c r="F1412" t="s">
        <v>173</v>
      </c>
      <c r="G1412">
        <v>403.22</v>
      </c>
      <c r="H1412" t="s">
        <v>20</v>
      </c>
      <c r="I1412" s="2">
        <v>45586</v>
      </c>
      <c r="J1412" s="2">
        <v>45605</v>
      </c>
      <c r="K1412" t="s">
        <v>21</v>
      </c>
    </row>
    <row r="1413" spans="1:11" x14ac:dyDescent="0.25">
      <c r="A1413" t="s">
        <v>122</v>
      </c>
      <c r="B1413" t="s">
        <v>16</v>
      </c>
      <c r="C1413">
        <v>2</v>
      </c>
      <c r="D1413">
        <v>55</v>
      </c>
      <c r="E1413" t="s">
        <v>19</v>
      </c>
      <c r="F1413" t="s">
        <v>170</v>
      </c>
      <c r="G1413">
        <v>387.54</v>
      </c>
      <c r="H1413" t="s">
        <v>20</v>
      </c>
      <c r="I1413" s="2">
        <v>45654</v>
      </c>
      <c r="J1413" s="2">
        <v>45683</v>
      </c>
    </row>
    <row r="1414" spans="1:11" x14ac:dyDescent="0.25">
      <c r="A1414" t="s">
        <v>148</v>
      </c>
      <c r="B1414" t="s">
        <v>28</v>
      </c>
      <c r="C1414">
        <v>172</v>
      </c>
      <c r="D1414">
        <v>79</v>
      </c>
      <c r="E1414" t="s">
        <v>13</v>
      </c>
      <c r="F1414" t="s">
        <v>170</v>
      </c>
      <c r="G1414">
        <v>276.47000000000003</v>
      </c>
      <c r="H1414" t="s">
        <v>14</v>
      </c>
      <c r="I1414" s="2">
        <v>45343</v>
      </c>
      <c r="J1414" s="2">
        <v>45373</v>
      </c>
      <c r="K1414" t="s">
        <v>17</v>
      </c>
    </row>
    <row r="1415" spans="1:11" x14ac:dyDescent="0.25">
      <c r="A1415" t="s">
        <v>104</v>
      </c>
      <c r="B1415" t="s">
        <v>23</v>
      </c>
      <c r="C1415">
        <v>141</v>
      </c>
      <c r="D1415">
        <v>30</v>
      </c>
      <c r="E1415" t="s">
        <v>13</v>
      </c>
      <c r="F1415" t="s">
        <v>173</v>
      </c>
      <c r="G1415">
        <v>37.9</v>
      </c>
      <c r="H1415" t="s">
        <v>14</v>
      </c>
      <c r="I1415" s="2">
        <v>45625</v>
      </c>
      <c r="J1415" s="2">
        <v>45640</v>
      </c>
      <c r="K1415" t="s">
        <v>172</v>
      </c>
    </row>
    <row r="1416" spans="1:11" x14ac:dyDescent="0.25">
      <c r="A1416" t="s">
        <v>134</v>
      </c>
      <c r="B1416" t="s">
        <v>30</v>
      </c>
      <c r="C1416">
        <v>119</v>
      </c>
      <c r="D1416">
        <v>82</v>
      </c>
      <c r="E1416" t="s">
        <v>13</v>
      </c>
      <c r="F1416" t="s">
        <v>171</v>
      </c>
      <c r="G1416">
        <v>384.42</v>
      </c>
      <c r="H1416" t="s">
        <v>26</v>
      </c>
      <c r="I1416" s="2">
        <v>45370</v>
      </c>
      <c r="J1416" s="2">
        <v>45400</v>
      </c>
      <c r="K1416" t="s">
        <v>172</v>
      </c>
    </row>
    <row r="1417" spans="1:11" x14ac:dyDescent="0.25">
      <c r="A1417" t="s">
        <v>92</v>
      </c>
      <c r="B1417" t="s">
        <v>28</v>
      </c>
      <c r="C1417">
        <v>157</v>
      </c>
      <c r="D1417">
        <v>40</v>
      </c>
      <c r="E1417" t="s">
        <v>13</v>
      </c>
      <c r="F1417" t="s">
        <v>170</v>
      </c>
      <c r="G1417">
        <v>293.94</v>
      </c>
      <c r="H1417" t="s">
        <v>14</v>
      </c>
      <c r="I1417" s="2">
        <v>45575</v>
      </c>
      <c r="J1417" s="2">
        <v>45626</v>
      </c>
      <c r="K1417" t="s">
        <v>21</v>
      </c>
    </row>
    <row r="1418" spans="1:11" x14ac:dyDescent="0.25">
      <c r="A1418" t="s">
        <v>77</v>
      </c>
      <c r="B1418" t="s">
        <v>16</v>
      </c>
      <c r="C1418">
        <v>67</v>
      </c>
      <c r="D1418">
        <v>71</v>
      </c>
      <c r="E1418" t="s">
        <v>19</v>
      </c>
      <c r="F1418" t="s">
        <v>173</v>
      </c>
      <c r="G1418">
        <v>392.07</v>
      </c>
      <c r="H1418" t="s">
        <v>26</v>
      </c>
      <c r="I1418" s="2">
        <v>45614</v>
      </c>
      <c r="J1418" s="2">
        <v>45631</v>
      </c>
      <c r="K1418" t="s">
        <v>172</v>
      </c>
    </row>
    <row r="1419" spans="1:11" x14ac:dyDescent="0.25">
      <c r="A1419" t="s">
        <v>109</v>
      </c>
      <c r="B1419" t="s">
        <v>16</v>
      </c>
      <c r="C1419">
        <v>145</v>
      </c>
      <c r="D1419">
        <v>74</v>
      </c>
      <c r="E1419" t="s">
        <v>13</v>
      </c>
      <c r="F1419" t="s">
        <v>173</v>
      </c>
      <c r="G1419">
        <v>377.11</v>
      </c>
      <c r="H1419" t="s">
        <v>14</v>
      </c>
      <c r="I1419" s="2">
        <v>45552</v>
      </c>
      <c r="J1419" s="2">
        <v>45618</v>
      </c>
      <c r="K1419" t="s">
        <v>17</v>
      </c>
    </row>
    <row r="1420" spans="1:11" x14ac:dyDescent="0.25">
      <c r="A1420" t="s">
        <v>115</v>
      </c>
      <c r="B1420" t="s">
        <v>28</v>
      </c>
      <c r="C1420">
        <v>189</v>
      </c>
      <c r="D1420">
        <v>45</v>
      </c>
      <c r="E1420" t="s">
        <v>13</v>
      </c>
      <c r="F1420" t="s">
        <v>171</v>
      </c>
      <c r="G1420">
        <v>402.49</v>
      </c>
      <c r="H1420" t="s">
        <v>20</v>
      </c>
      <c r="I1420" s="2">
        <v>45656</v>
      </c>
      <c r="J1420" s="2">
        <v>45717</v>
      </c>
      <c r="K1420" t="s">
        <v>172</v>
      </c>
    </row>
    <row r="1421" spans="1:11" x14ac:dyDescent="0.25">
      <c r="A1421" t="s">
        <v>114</v>
      </c>
      <c r="B1421" t="s">
        <v>23</v>
      </c>
      <c r="C1421">
        <v>36</v>
      </c>
      <c r="D1421">
        <v>87</v>
      </c>
      <c r="E1421" t="s">
        <v>19</v>
      </c>
      <c r="F1421" t="s">
        <v>171</v>
      </c>
      <c r="G1421">
        <v>261.41000000000003</v>
      </c>
      <c r="H1421" t="s">
        <v>14</v>
      </c>
      <c r="I1421" s="2">
        <v>45596</v>
      </c>
      <c r="J1421" s="2">
        <v>45623</v>
      </c>
      <c r="K1421" t="s">
        <v>17</v>
      </c>
    </row>
    <row r="1422" spans="1:11" x14ac:dyDescent="0.25">
      <c r="A1422" t="s">
        <v>84</v>
      </c>
      <c r="B1422" t="s">
        <v>16</v>
      </c>
      <c r="C1422">
        <v>152</v>
      </c>
      <c r="D1422">
        <v>53</v>
      </c>
      <c r="E1422" t="s">
        <v>13</v>
      </c>
      <c r="F1422" t="s">
        <v>170</v>
      </c>
      <c r="G1422">
        <v>74.459999999999994</v>
      </c>
      <c r="H1422" t="s">
        <v>20</v>
      </c>
      <c r="I1422" s="2">
        <v>45387</v>
      </c>
      <c r="J1422" s="2">
        <v>45456</v>
      </c>
    </row>
    <row r="1423" spans="1:11" x14ac:dyDescent="0.25">
      <c r="A1423" t="s">
        <v>89</v>
      </c>
      <c r="B1423" t="s">
        <v>23</v>
      </c>
      <c r="C1423">
        <v>175</v>
      </c>
      <c r="D1423">
        <v>71</v>
      </c>
      <c r="E1423" t="s">
        <v>13</v>
      </c>
      <c r="F1423" t="s">
        <v>171</v>
      </c>
      <c r="G1423">
        <v>337.22</v>
      </c>
      <c r="H1423" t="s">
        <v>20</v>
      </c>
      <c r="I1423" s="2">
        <v>45477</v>
      </c>
      <c r="J1423" s="2">
        <v>45512</v>
      </c>
    </row>
    <row r="1424" spans="1:11" x14ac:dyDescent="0.25">
      <c r="A1424" t="s">
        <v>155</v>
      </c>
      <c r="B1424" t="s">
        <v>16</v>
      </c>
      <c r="C1424">
        <v>192</v>
      </c>
      <c r="D1424">
        <v>71</v>
      </c>
      <c r="E1424" t="s">
        <v>13</v>
      </c>
      <c r="F1424" t="s">
        <v>173</v>
      </c>
      <c r="G1424">
        <v>312.13</v>
      </c>
      <c r="H1424" t="s">
        <v>20</v>
      </c>
      <c r="I1424" s="2">
        <v>45433</v>
      </c>
      <c r="J1424" s="2">
        <v>45513</v>
      </c>
      <c r="K1424" t="s">
        <v>17</v>
      </c>
    </row>
    <row r="1425" spans="1:11" x14ac:dyDescent="0.25">
      <c r="A1425" t="s">
        <v>147</v>
      </c>
      <c r="B1425" t="s">
        <v>16</v>
      </c>
      <c r="C1425">
        <v>180</v>
      </c>
      <c r="D1425">
        <v>48</v>
      </c>
      <c r="E1425" t="s">
        <v>13</v>
      </c>
      <c r="F1425" t="s">
        <v>173</v>
      </c>
      <c r="G1425">
        <v>372.42</v>
      </c>
      <c r="H1425" t="s">
        <v>26</v>
      </c>
      <c r="I1425" s="2">
        <v>45651</v>
      </c>
      <c r="J1425" s="2">
        <v>45719</v>
      </c>
      <c r="K1425" t="s">
        <v>21</v>
      </c>
    </row>
    <row r="1426" spans="1:11" x14ac:dyDescent="0.25">
      <c r="A1426" t="s">
        <v>106</v>
      </c>
      <c r="B1426" t="s">
        <v>12</v>
      </c>
      <c r="C1426">
        <v>72</v>
      </c>
      <c r="D1426">
        <v>57</v>
      </c>
      <c r="E1426" t="s">
        <v>13</v>
      </c>
      <c r="F1426" t="s">
        <v>171</v>
      </c>
      <c r="G1426">
        <v>89.09</v>
      </c>
      <c r="H1426" t="s">
        <v>14</v>
      </c>
      <c r="I1426" s="2">
        <v>45554</v>
      </c>
      <c r="J1426" s="2">
        <v>45595</v>
      </c>
      <c r="K1426" t="s">
        <v>172</v>
      </c>
    </row>
    <row r="1427" spans="1:11" x14ac:dyDescent="0.25">
      <c r="A1427" t="s">
        <v>106</v>
      </c>
      <c r="B1427" t="s">
        <v>16</v>
      </c>
      <c r="C1427">
        <v>142</v>
      </c>
      <c r="D1427">
        <v>61</v>
      </c>
      <c r="E1427" t="s">
        <v>13</v>
      </c>
      <c r="F1427" t="s">
        <v>171</v>
      </c>
      <c r="G1427">
        <v>101.51</v>
      </c>
      <c r="H1427" t="s">
        <v>20</v>
      </c>
      <c r="I1427" s="2">
        <v>45647</v>
      </c>
      <c r="J1427" s="2">
        <v>45699</v>
      </c>
      <c r="K1427" t="s">
        <v>21</v>
      </c>
    </row>
    <row r="1428" spans="1:11" x14ac:dyDescent="0.25">
      <c r="A1428" t="s">
        <v>133</v>
      </c>
      <c r="B1428" t="s">
        <v>30</v>
      </c>
      <c r="C1428">
        <v>48</v>
      </c>
      <c r="D1428">
        <v>40</v>
      </c>
      <c r="E1428" t="s">
        <v>13</v>
      </c>
      <c r="F1428" t="s">
        <v>171</v>
      </c>
      <c r="G1428">
        <v>445.75</v>
      </c>
      <c r="H1428" t="s">
        <v>20</v>
      </c>
      <c r="I1428" s="2">
        <v>45586</v>
      </c>
      <c r="J1428" s="2">
        <v>45658</v>
      </c>
      <c r="K1428" t="s">
        <v>172</v>
      </c>
    </row>
    <row r="1429" spans="1:11" x14ac:dyDescent="0.25">
      <c r="A1429" t="s">
        <v>84</v>
      </c>
      <c r="B1429" t="s">
        <v>28</v>
      </c>
      <c r="C1429">
        <v>120</v>
      </c>
      <c r="D1429">
        <v>61</v>
      </c>
      <c r="E1429" t="s">
        <v>13</v>
      </c>
      <c r="F1429" t="s">
        <v>171</v>
      </c>
      <c r="G1429">
        <v>376.24</v>
      </c>
      <c r="H1429" t="s">
        <v>26</v>
      </c>
      <c r="I1429" s="2">
        <v>45567</v>
      </c>
      <c r="J1429" s="2">
        <v>45643</v>
      </c>
    </row>
    <row r="1430" spans="1:11" x14ac:dyDescent="0.25">
      <c r="A1430" t="s">
        <v>118</v>
      </c>
      <c r="B1430" t="s">
        <v>28</v>
      </c>
      <c r="C1430">
        <v>87</v>
      </c>
      <c r="D1430">
        <v>32</v>
      </c>
      <c r="E1430" t="s">
        <v>13</v>
      </c>
      <c r="F1430" t="s">
        <v>170</v>
      </c>
      <c r="G1430">
        <v>454.57</v>
      </c>
      <c r="H1430" t="s">
        <v>14</v>
      </c>
      <c r="I1430" s="2">
        <v>45431</v>
      </c>
      <c r="J1430" s="2">
        <v>45491</v>
      </c>
    </row>
    <row r="1431" spans="1:11" x14ac:dyDescent="0.25">
      <c r="A1431" t="s">
        <v>123</v>
      </c>
      <c r="B1431" t="s">
        <v>23</v>
      </c>
      <c r="C1431">
        <v>195</v>
      </c>
      <c r="D1431">
        <v>83</v>
      </c>
      <c r="E1431" t="s">
        <v>13</v>
      </c>
      <c r="F1431" t="s">
        <v>171</v>
      </c>
      <c r="G1431">
        <v>380.56</v>
      </c>
      <c r="H1431" t="s">
        <v>14</v>
      </c>
      <c r="I1431" s="2">
        <v>45499</v>
      </c>
      <c r="J1431" s="2">
        <v>45524</v>
      </c>
    </row>
    <row r="1432" spans="1:11" x14ac:dyDescent="0.25">
      <c r="A1432" t="s">
        <v>116</v>
      </c>
      <c r="B1432" t="s">
        <v>16</v>
      </c>
      <c r="C1432">
        <v>139</v>
      </c>
      <c r="D1432">
        <v>36</v>
      </c>
      <c r="E1432" t="s">
        <v>13</v>
      </c>
      <c r="F1432" t="s">
        <v>170</v>
      </c>
      <c r="G1432">
        <v>300.58999999999997</v>
      </c>
      <c r="H1432" t="s">
        <v>26</v>
      </c>
      <c r="I1432" s="2">
        <v>45429</v>
      </c>
      <c r="J1432" s="2">
        <v>45515</v>
      </c>
      <c r="K1432" t="s">
        <v>172</v>
      </c>
    </row>
    <row r="1433" spans="1:11" x14ac:dyDescent="0.25">
      <c r="A1433" t="s">
        <v>151</v>
      </c>
      <c r="B1433" t="s">
        <v>30</v>
      </c>
      <c r="C1433">
        <v>186</v>
      </c>
      <c r="D1433">
        <v>28</v>
      </c>
      <c r="E1433" t="s">
        <v>13</v>
      </c>
      <c r="F1433" t="s">
        <v>173</v>
      </c>
      <c r="G1433">
        <v>328.8</v>
      </c>
      <c r="H1433" t="s">
        <v>26</v>
      </c>
      <c r="I1433" s="2">
        <v>45531</v>
      </c>
      <c r="J1433" s="2">
        <v>45553</v>
      </c>
    </row>
    <row r="1434" spans="1:11" x14ac:dyDescent="0.25">
      <c r="A1434" t="s">
        <v>100</v>
      </c>
      <c r="B1434" t="s">
        <v>23</v>
      </c>
      <c r="C1434">
        <v>36</v>
      </c>
      <c r="D1434">
        <v>60</v>
      </c>
      <c r="E1434" t="s">
        <v>19</v>
      </c>
      <c r="F1434" t="s">
        <v>171</v>
      </c>
      <c r="G1434">
        <v>445.12</v>
      </c>
      <c r="H1434" t="s">
        <v>14</v>
      </c>
      <c r="I1434" s="2">
        <v>45448</v>
      </c>
      <c r="J1434" s="2">
        <v>45533</v>
      </c>
    </row>
    <row r="1435" spans="1:11" x14ac:dyDescent="0.25">
      <c r="A1435" t="s">
        <v>145</v>
      </c>
      <c r="B1435" t="s">
        <v>12</v>
      </c>
      <c r="C1435">
        <v>60</v>
      </c>
      <c r="D1435">
        <v>20</v>
      </c>
      <c r="E1435" t="s">
        <v>13</v>
      </c>
      <c r="F1435" t="s">
        <v>170</v>
      </c>
      <c r="G1435">
        <v>291.51</v>
      </c>
      <c r="H1435" t="s">
        <v>26</v>
      </c>
      <c r="I1435" s="2">
        <v>45560</v>
      </c>
      <c r="J1435" s="2">
        <v>45638</v>
      </c>
    </row>
    <row r="1436" spans="1:11" x14ac:dyDescent="0.25">
      <c r="A1436" t="s">
        <v>136</v>
      </c>
      <c r="B1436" t="s">
        <v>23</v>
      </c>
      <c r="C1436">
        <v>170</v>
      </c>
      <c r="D1436">
        <v>21</v>
      </c>
      <c r="E1436" t="s">
        <v>13</v>
      </c>
      <c r="F1436" t="s">
        <v>171</v>
      </c>
      <c r="G1436">
        <v>318.02999999999997</v>
      </c>
      <c r="H1436" t="s">
        <v>14</v>
      </c>
      <c r="I1436" s="2">
        <v>45583</v>
      </c>
      <c r="J1436" s="2">
        <v>45618</v>
      </c>
    </row>
    <row r="1437" spans="1:11" x14ac:dyDescent="0.25">
      <c r="A1437" t="s">
        <v>114</v>
      </c>
      <c r="B1437" t="s">
        <v>23</v>
      </c>
      <c r="C1437">
        <v>123</v>
      </c>
      <c r="D1437">
        <v>79</v>
      </c>
      <c r="E1437" t="s">
        <v>13</v>
      </c>
      <c r="F1437" t="s">
        <v>173</v>
      </c>
      <c r="G1437">
        <v>82.46</v>
      </c>
      <c r="H1437" t="s">
        <v>14</v>
      </c>
      <c r="I1437" s="2">
        <v>45542</v>
      </c>
      <c r="J1437" s="2">
        <v>45628</v>
      </c>
      <c r="K1437" t="s">
        <v>21</v>
      </c>
    </row>
    <row r="1438" spans="1:11" x14ac:dyDescent="0.25">
      <c r="A1438" t="s">
        <v>125</v>
      </c>
      <c r="B1438" t="s">
        <v>16</v>
      </c>
      <c r="C1438">
        <v>197</v>
      </c>
      <c r="D1438">
        <v>67</v>
      </c>
      <c r="E1438" t="s">
        <v>13</v>
      </c>
      <c r="F1438" t="s">
        <v>173</v>
      </c>
      <c r="G1438">
        <v>239.59</v>
      </c>
      <c r="H1438" t="s">
        <v>20</v>
      </c>
      <c r="I1438" s="2">
        <v>45466</v>
      </c>
      <c r="J1438" s="2">
        <v>45543</v>
      </c>
    </row>
    <row r="1439" spans="1:11" x14ac:dyDescent="0.25">
      <c r="A1439" t="s">
        <v>54</v>
      </c>
      <c r="B1439" t="s">
        <v>12</v>
      </c>
      <c r="C1439">
        <v>38</v>
      </c>
      <c r="D1439">
        <v>48</v>
      </c>
      <c r="E1439" t="s">
        <v>19</v>
      </c>
      <c r="F1439" t="s">
        <v>173</v>
      </c>
      <c r="G1439">
        <v>359.62</v>
      </c>
      <c r="H1439" t="s">
        <v>20</v>
      </c>
      <c r="I1439" s="2">
        <v>45487</v>
      </c>
      <c r="J1439" s="2">
        <v>45565</v>
      </c>
    </row>
    <row r="1440" spans="1:11" x14ac:dyDescent="0.25">
      <c r="A1440" t="s">
        <v>148</v>
      </c>
      <c r="B1440" t="s">
        <v>23</v>
      </c>
      <c r="C1440">
        <v>183</v>
      </c>
      <c r="D1440">
        <v>29</v>
      </c>
      <c r="E1440" t="s">
        <v>13</v>
      </c>
      <c r="F1440" t="s">
        <v>171</v>
      </c>
      <c r="G1440">
        <v>139.12</v>
      </c>
      <c r="H1440" t="s">
        <v>14</v>
      </c>
      <c r="I1440" s="2">
        <v>45350</v>
      </c>
      <c r="J1440" s="2">
        <v>45384</v>
      </c>
      <c r="K1440" t="s">
        <v>21</v>
      </c>
    </row>
    <row r="1441" spans="1:11" x14ac:dyDescent="0.25">
      <c r="A1441" t="s">
        <v>105</v>
      </c>
      <c r="B1441" t="s">
        <v>30</v>
      </c>
      <c r="C1441">
        <v>62</v>
      </c>
      <c r="D1441">
        <v>77</v>
      </c>
      <c r="E1441" t="s">
        <v>19</v>
      </c>
      <c r="F1441" t="s">
        <v>171</v>
      </c>
      <c r="G1441">
        <v>105.12</v>
      </c>
      <c r="H1441" t="s">
        <v>14</v>
      </c>
      <c r="I1441" s="2">
        <v>45453</v>
      </c>
      <c r="J1441" s="2">
        <v>45475</v>
      </c>
      <c r="K1441" t="s">
        <v>21</v>
      </c>
    </row>
    <row r="1442" spans="1:11" x14ac:dyDescent="0.25">
      <c r="A1442" t="s">
        <v>159</v>
      </c>
      <c r="B1442" t="s">
        <v>30</v>
      </c>
      <c r="C1442">
        <v>45</v>
      </c>
      <c r="D1442">
        <v>79</v>
      </c>
      <c r="E1442" t="s">
        <v>19</v>
      </c>
      <c r="F1442" t="s">
        <v>170</v>
      </c>
      <c r="G1442">
        <v>160.34</v>
      </c>
      <c r="H1442" t="s">
        <v>14</v>
      </c>
      <c r="I1442" s="2">
        <v>45601</v>
      </c>
      <c r="J1442" s="2">
        <v>45673</v>
      </c>
      <c r="K1442" t="s">
        <v>172</v>
      </c>
    </row>
    <row r="1443" spans="1:11" x14ac:dyDescent="0.25">
      <c r="A1443" t="s">
        <v>137</v>
      </c>
      <c r="B1443" t="s">
        <v>28</v>
      </c>
      <c r="C1443">
        <v>87</v>
      </c>
      <c r="D1443">
        <v>40</v>
      </c>
      <c r="E1443" t="s">
        <v>13</v>
      </c>
      <c r="F1443" t="s">
        <v>173</v>
      </c>
      <c r="G1443">
        <v>124.54</v>
      </c>
      <c r="H1443" t="s">
        <v>14</v>
      </c>
      <c r="I1443" s="2">
        <v>45449</v>
      </c>
      <c r="J1443" s="2">
        <v>45509</v>
      </c>
      <c r="K1443" t="s">
        <v>17</v>
      </c>
    </row>
    <row r="1444" spans="1:11" x14ac:dyDescent="0.25">
      <c r="A1444" t="s">
        <v>140</v>
      </c>
      <c r="B1444" t="s">
        <v>12</v>
      </c>
      <c r="C1444">
        <v>10</v>
      </c>
      <c r="D1444">
        <v>47</v>
      </c>
      <c r="E1444" t="s">
        <v>19</v>
      </c>
      <c r="F1444" t="s">
        <v>171</v>
      </c>
      <c r="G1444">
        <v>111.38</v>
      </c>
      <c r="H1444" t="s">
        <v>14</v>
      </c>
      <c r="I1444" s="2">
        <v>45616</v>
      </c>
      <c r="J1444" s="2">
        <v>45661</v>
      </c>
    </row>
    <row r="1445" spans="1:11" x14ac:dyDescent="0.25">
      <c r="A1445" t="s">
        <v>135</v>
      </c>
      <c r="B1445" t="s">
        <v>12</v>
      </c>
      <c r="C1445">
        <v>61</v>
      </c>
      <c r="D1445">
        <v>94</v>
      </c>
      <c r="E1445" t="s">
        <v>19</v>
      </c>
      <c r="F1445" t="s">
        <v>173</v>
      </c>
      <c r="G1445">
        <v>215.3</v>
      </c>
      <c r="H1445" t="s">
        <v>14</v>
      </c>
      <c r="I1445" s="2">
        <v>45625</v>
      </c>
      <c r="J1445" s="2">
        <v>45648</v>
      </c>
    </row>
    <row r="1446" spans="1:11" x14ac:dyDescent="0.25">
      <c r="A1446" t="s">
        <v>109</v>
      </c>
      <c r="B1446" t="s">
        <v>28</v>
      </c>
      <c r="C1446">
        <v>76</v>
      </c>
      <c r="D1446">
        <v>53</v>
      </c>
      <c r="E1446" t="s">
        <v>13</v>
      </c>
      <c r="F1446" t="s">
        <v>173</v>
      </c>
      <c r="G1446">
        <v>454.38</v>
      </c>
      <c r="H1446" t="s">
        <v>26</v>
      </c>
      <c r="I1446" s="2">
        <v>45642</v>
      </c>
      <c r="J1446" s="2">
        <v>45671</v>
      </c>
    </row>
    <row r="1447" spans="1:11" x14ac:dyDescent="0.25">
      <c r="A1447" t="s">
        <v>112</v>
      </c>
      <c r="B1447" t="s">
        <v>23</v>
      </c>
      <c r="C1447">
        <v>152</v>
      </c>
      <c r="D1447">
        <v>27</v>
      </c>
      <c r="E1447" t="s">
        <v>13</v>
      </c>
      <c r="F1447" t="s">
        <v>170</v>
      </c>
      <c r="G1447">
        <v>255.99</v>
      </c>
      <c r="H1447" t="s">
        <v>14</v>
      </c>
      <c r="I1447" s="2">
        <v>45595</v>
      </c>
      <c r="J1447" s="2">
        <v>45635</v>
      </c>
      <c r="K1447" t="s">
        <v>172</v>
      </c>
    </row>
    <row r="1448" spans="1:11" x14ac:dyDescent="0.25">
      <c r="A1448" t="s">
        <v>117</v>
      </c>
      <c r="B1448" t="s">
        <v>12</v>
      </c>
      <c r="C1448">
        <v>198</v>
      </c>
      <c r="D1448">
        <v>78</v>
      </c>
      <c r="E1448" t="s">
        <v>13</v>
      </c>
      <c r="F1448" t="s">
        <v>170</v>
      </c>
      <c r="G1448">
        <v>98.02</v>
      </c>
      <c r="H1448" t="s">
        <v>26</v>
      </c>
      <c r="I1448" s="2">
        <v>45502</v>
      </c>
      <c r="J1448" s="2">
        <v>45526</v>
      </c>
    </row>
    <row r="1449" spans="1:11" x14ac:dyDescent="0.25">
      <c r="A1449" t="s">
        <v>118</v>
      </c>
      <c r="B1449" t="s">
        <v>30</v>
      </c>
      <c r="C1449">
        <v>51</v>
      </c>
      <c r="D1449">
        <v>91</v>
      </c>
      <c r="E1449" t="s">
        <v>19</v>
      </c>
      <c r="F1449" t="s">
        <v>170</v>
      </c>
      <c r="G1449">
        <v>43.1</v>
      </c>
      <c r="H1449" t="s">
        <v>26</v>
      </c>
      <c r="I1449" s="2">
        <v>45373</v>
      </c>
      <c r="J1449" s="2">
        <v>45416</v>
      </c>
      <c r="K1449" t="s">
        <v>17</v>
      </c>
    </row>
    <row r="1450" spans="1:11" x14ac:dyDescent="0.25">
      <c r="A1450" t="s">
        <v>39</v>
      </c>
      <c r="B1450" t="s">
        <v>30</v>
      </c>
      <c r="C1450">
        <v>3</v>
      </c>
      <c r="D1450">
        <v>68</v>
      </c>
      <c r="E1450" t="s">
        <v>19</v>
      </c>
      <c r="F1450" t="s">
        <v>170</v>
      </c>
      <c r="G1450">
        <v>349.6</v>
      </c>
      <c r="H1450" t="s">
        <v>14</v>
      </c>
      <c r="I1450" s="2">
        <v>45448</v>
      </c>
      <c r="J1450" s="2">
        <v>45498</v>
      </c>
      <c r="K1450" t="s">
        <v>21</v>
      </c>
    </row>
    <row r="1451" spans="1:11" x14ac:dyDescent="0.25">
      <c r="A1451" t="s">
        <v>77</v>
      </c>
      <c r="B1451" t="s">
        <v>16</v>
      </c>
      <c r="C1451">
        <v>58</v>
      </c>
      <c r="D1451">
        <v>98</v>
      </c>
      <c r="E1451" t="s">
        <v>19</v>
      </c>
      <c r="F1451" t="s">
        <v>173</v>
      </c>
      <c r="G1451">
        <v>194.49</v>
      </c>
      <c r="H1451" t="s">
        <v>14</v>
      </c>
      <c r="I1451" s="2">
        <v>45337</v>
      </c>
      <c r="J1451" s="2">
        <v>45388</v>
      </c>
      <c r="K1451" t="s">
        <v>172</v>
      </c>
    </row>
    <row r="1452" spans="1:11" x14ac:dyDescent="0.25">
      <c r="A1452" t="s">
        <v>128</v>
      </c>
      <c r="B1452" t="s">
        <v>12</v>
      </c>
      <c r="C1452">
        <v>71</v>
      </c>
      <c r="D1452">
        <v>36</v>
      </c>
      <c r="E1452" t="s">
        <v>13</v>
      </c>
      <c r="F1452" t="s">
        <v>170</v>
      </c>
      <c r="G1452">
        <v>411.81</v>
      </c>
      <c r="H1452" t="s">
        <v>26</v>
      </c>
      <c r="I1452" s="2">
        <v>45470</v>
      </c>
      <c r="J1452" s="2">
        <v>45555</v>
      </c>
      <c r="K1452" t="s">
        <v>21</v>
      </c>
    </row>
    <row r="1453" spans="1:11" x14ac:dyDescent="0.25">
      <c r="A1453" t="s">
        <v>149</v>
      </c>
      <c r="B1453" t="s">
        <v>23</v>
      </c>
      <c r="C1453">
        <v>147</v>
      </c>
      <c r="D1453">
        <v>79</v>
      </c>
      <c r="E1453" t="s">
        <v>13</v>
      </c>
      <c r="F1453" t="s">
        <v>170</v>
      </c>
      <c r="G1453">
        <v>331.46</v>
      </c>
      <c r="H1453" t="s">
        <v>26</v>
      </c>
      <c r="I1453" s="2">
        <v>45527</v>
      </c>
      <c r="J1453" s="2">
        <v>45564</v>
      </c>
    </row>
    <row r="1454" spans="1:11" x14ac:dyDescent="0.25">
      <c r="A1454" t="s">
        <v>120</v>
      </c>
      <c r="B1454" t="s">
        <v>28</v>
      </c>
      <c r="C1454">
        <v>92</v>
      </c>
      <c r="D1454">
        <v>64</v>
      </c>
      <c r="E1454" t="s">
        <v>13</v>
      </c>
      <c r="F1454" t="s">
        <v>170</v>
      </c>
      <c r="G1454">
        <v>399.14</v>
      </c>
      <c r="H1454" t="s">
        <v>14</v>
      </c>
      <c r="I1454" s="2">
        <v>45530</v>
      </c>
      <c r="J1454" s="2">
        <v>45585</v>
      </c>
    </row>
    <row r="1455" spans="1:11" x14ac:dyDescent="0.25">
      <c r="A1455" t="s">
        <v>132</v>
      </c>
      <c r="B1455" t="s">
        <v>28</v>
      </c>
      <c r="C1455">
        <v>62</v>
      </c>
      <c r="D1455">
        <v>88</v>
      </c>
      <c r="E1455" t="s">
        <v>19</v>
      </c>
      <c r="F1455" t="s">
        <v>170</v>
      </c>
      <c r="G1455">
        <v>139.61000000000001</v>
      </c>
      <c r="H1455" t="s">
        <v>14</v>
      </c>
      <c r="I1455" s="2">
        <v>45365</v>
      </c>
      <c r="J1455" s="2">
        <v>45407</v>
      </c>
    </row>
    <row r="1456" spans="1:11" x14ac:dyDescent="0.25">
      <c r="A1456" t="s">
        <v>96</v>
      </c>
      <c r="B1456" t="s">
        <v>23</v>
      </c>
      <c r="C1456">
        <v>53</v>
      </c>
      <c r="D1456">
        <v>51</v>
      </c>
      <c r="E1456" t="s">
        <v>13</v>
      </c>
      <c r="F1456" t="s">
        <v>173</v>
      </c>
      <c r="G1456">
        <v>347.72</v>
      </c>
      <c r="H1456" t="s">
        <v>26</v>
      </c>
      <c r="I1456" s="2">
        <v>45543</v>
      </c>
      <c r="J1456" s="2">
        <v>45605</v>
      </c>
      <c r="K1456" t="s">
        <v>17</v>
      </c>
    </row>
    <row r="1457" spans="1:11" x14ac:dyDescent="0.25">
      <c r="A1457" t="s">
        <v>132</v>
      </c>
      <c r="B1457" t="s">
        <v>16</v>
      </c>
      <c r="C1457">
        <v>116</v>
      </c>
      <c r="D1457">
        <v>63</v>
      </c>
      <c r="E1457" t="s">
        <v>13</v>
      </c>
      <c r="F1457" t="s">
        <v>170</v>
      </c>
      <c r="G1457">
        <v>135.71</v>
      </c>
      <c r="H1457" t="s">
        <v>26</v>
      </c>
      <c r="I1457" s="2">
        <v>45458</v>
      </c>
      <c r="J1457" s="2">
        <v>45510</v>
      </c>
      <c r="K1457" t="s">
        <v>17</v>
      </c>
    </row>
    <row r="1458" spans="1:11" x14ac:dyDescent="0.25">
      <c r="A1458" t="s">
        <v>87</v>
      </c>
      <c r="B1458" t="s">
        <v>28</v>
      </c>
      <c r="C1458">
        <v>109</v>
      </c>
      <c r="D1458">
        <v>84</v>
      </c>
      <c r="E1458" t="s">
        <v>13</v>
      </c>
      <c r="F1458" t="s">
        <v>173</v>
      </c>
      <c r="G1458">
        <v>469.84</v>
      </c>
      <c r="H1458" t="s">
        <v>26</v>
      </c>
      <c r="I1458" s="2">
        <v>45644</v>
      </c>
      <c r="J1458" s="2">
        <v>45689</v>
      </c>
      <c r="K1458" t="s">
        <v>172</v>
      </c>
    </row>
    <row r="1459" spans="1:11" x14ac:dyDescent="0.25">
      <c r="A1459" t="s">
        <v>143</v>
      </c>
      <c r="B1459" t="s">
        <v>12</v>
      </c>
      <c r="C1459">
        <v>73</v>
      </c>
      <c r="D1459">
        <v>27</v>
      </c>
      <c r="E1459" t="s">
        <v>13</v>
      </c>
      <c r="F1459" t="s">
        <v>171</v>
      </c>
      <c r="G1459">
        <v>320.01</v>
      </c>
      <c r="H1459" t="s">
        <v>20</v>
      </c>
      <c r="I1459" s="2">
        <v>45386</v>
      </c>
      <c r="J1459" s="2">
        <v>45414</v>
      </c>
      <c r="K1459" t="s">
        <v>21</v>
      </c>
    </row>
    <row r="1460" spans="1:11" x14ac:dyDescent="0.25">
      <c r="A1460" t="s">
        <v>54</v>
      </c>
      <c r="B1460" t="s">
        <v>16</v>
      </c>
      <c r="C1460">
        <v>106</v>
      </c>
      <c r="D1460">
        <v>96</v>
      </c>
      <c r="E1460" t="s">
        <v>13</v>
      </c>
      <c r="F1460" t="s">
        <v>173</v>
      </c>
      <c r="G1460">
        <v>165.63</v>
      </c>
      <c r="H1460" t="s">
        <v>26</v>
      </c>
      <c r="I1460" s="2">
        <v>45568</v>
      </c>
      <c r="J1460" s="2">
        <v>45655</v>
      </c>
    </row>
    <row r="1461" spans="1:11" x14ac:dyDescent="0.25">
      <c r="A1461" t="s">
        <v>87</v>
      </c>
      <c r="B1461" t="s">
        <v>12</v>
      </c>
      <c r="C1461">
        <v>56</v>
      </c>
      <c r="D1461">
        <v>91</v>
      </c>
      <c r="E1461" t="s">
        <v>19</v>
      </c>
      <c r="F1461" t="s">
        <v>173</v>
      </c>
      <c r="G1461">
        <v>138.41</v>
      </c>
      <c r="H1461" t="s">
        <v>20</v>
      </c>
      <c r="I1461" s="2">
        <v>45442</v>
      </c>
      <c r="J1461" s="2">
        <v>45485</v>
      </c>
    </row>
    <row r="1462" spans="1:11" x14ac:dyDescent="0.25">
      <c r="A1462" t="s">
        <v>160</v>
      </c>
      <c r="B1462" t="s">
        <v>30</v>
      </c>
      <c r="C1462">
        <v>168</v>
      </c>
      <c r="D1462">
        <v>62</v>
      </c>
      <c r="E1462" t="s">
        <v>13</v>
      </c>
      <c r="F1462" t="s">
        <v>170</v>
      </c>
      <c r="G1462">
        <v>99.51</v>
      </c>
      <c r="H1462" t="s">
        <v>14</v>
      </c>
      <c r="I1462" s="2">
        <v>45379</v>
      </c>
      <c r="J1462" s="2">
        <v>45444</v>
      </c>
    </row>
    <row r="1463" spans="1:11" x14ac:dyDescent="0.25">
      <c r="A1463" t="s">
        <v>115</v>
      </c>
      <c r="B1463" t="s">
        <v>16</v>
      </c>
      <c r="C1463">
        <v>2</v>
      </c>
      <c r="D1463">
        <v>20</v>
      </c>
      <c r="E1463" t="s">
        <v>19</v>
      </c>
      <c r="F1463" t="s">
        <v>171</v>
      </c>
      <c r="G1463">
        <v>348.85</v>
      </c>
      <c r="H1463" t="s">
        <v>14</v>
      </c>
      <c r="I1463" s="2">
        <v>45454</v>
      </c>
      <c r="J1463" s="2">
        <v>45517</v>
      </c>
    </row>
    <row r="1464" spans="1:11" x14ac:dyDescent="0.25">
      <c r="A1464" t="s">
        <v>67</v>
      </c>
      <c r="B1464" t="s">
        <v>28</v>
      </c>
      <c r="C1464">
        <v>119</v>
      </c>
      <c r="D1464">
        <v>70</v>
      </c>
      <c r="E1464" t="s">
        <v>13</v>
      </c>
      <c r="F1464" t="s">
        <v>171</v>
      </c>
      <c r="G1464">
        <v>113.26</v>
      </c>
      <c r="H1464" t="s">
        <v>26</v>
      </c>
      <c r="I1464" s="2">
        <v>45583</v>
      </c>
      <c r="J1464" s="2">
        <v>45640</v>
      </c>
      <c r="K1464" t="s">
        <v>17</v>
      </c>
    </row>
    <row r="1465" spans="1:11" x14ac:dyDescent="0.25">
      <c r="A1465" t="s">
        <v>159</v>
      </c>
      <c r="B1465" t="s">
        <v>16</v>
      </c>
      <c r="C1465">
        <v>5</v>
      </c>
      <c r="D1465">
        <v>43</v>
      </c>
      <c r="E1465" t="s">
        <v>19</v>
      </c>
      <c r="F1465" t="s">
        <v>171</v>
      </c>
      <c r="G1465">
        <v>299.68</v>
      </c>
      <c r="H1465" t="s">
        <v>14</v>
      </c>
      <c r="I1465" s="2">
        <v>45632</v>
      </c>
      <c r="J1465" s="2">
        <v>45718</v>
      </c>
      <c r="K1465" t="s">
        <v>21</v>
      </c>
    </row>
    <row r="1466" spans="1:11" x14ac:dyDescent="0.25">
      <c r="A1466" t="s">
        <v>146</v>
      </c>
      <c r="B1466" t="s">
        <v>16</v>
      </c>
      <c r="C1466">
        <v>4</v>
      </c>
      <c r="D1466">
        <v>43</v>
      </c>
      <c r="E1466" t="s">
        <v>19</v>
      </c>
      <c r="F1466" t="s">
        <v>171</v>
      </c>
      <c r="G1466">
        <v>135.99</v>
      </c>
      <c r="H1466" t="s">
        <v>14</v>
      </c>
      <c r="I1466" s="2">
        <v>45556</v>
      </c>
      <c r="J1466" s="2">
        <v>45575</v>
      </c>
      <c r="K1466" t="s">
        <v>21</v>
      </c>
    </row>
    <row r="1467" spans="1:11" x14ac:dyDescent="0.25">
      <c r="A1467" t="s">
        <v>27</v>
      </c>
      <c r="B1467" t="s">
        <v>16</v>
      </c>
      <c r="C1467">
        <v>4</v>
      </c>
      <c r="D1467">
        <v>36</v>
      </c>
      <c r="E1467" t="s">
        <v>19</v>
      </c>
      <c r="F1467" t="s">
        <v>173</v>
      </c>
      <c r="G1467">
        <v>332.67</v>
      </c>
      <c r="H1467" t="s">
        <v>14</v>
      </c>
      <c r="I1467" s="2">
        <v>45481</v>
      </c>
      <c r="J1467" s="2">
        <v>45537</v>
      </c>
      <c r="K1467" t="s">
        <v>172</v>
      </c>
    </row>
    <row r="1468" spans="1:11" x14ac:dyDescent="0.25">
      <c r="A1468" t="s">
        <v>123</v>
      </c>
      <c r="B1468" t="s">
        <v>16</v>
      </c>
      <c r="C1468">
        <v>53</v>
      </c>
      <c r="D1468">
        <v>24</v>
      </c>
      <c r="E1468" t="s">
        <v>13</v>
      </c>
      <c r="F1468" t="s">
        <v>171</v>
      </c>
      <c r="G1468">
        <v>408.4</v>
      </c>
      <c r="H1468" t="s">
        <v>14</v>
      </c>
      <c r="I1468" s="2">
        <v>45540</v>
      </c>
      <c r="J1468" s="2">
        <v>45561</v>
      </c>
      <c r="K1468" t="s">
        <v>17</v>
      </c>
    </row>
    <row r="1469" spans="1:11" x14ac:dyDescent="0.25">
      <c r="A1469" t="s">
        <v>130</v>
      </c>
      <c r="B1469" t="s">
        <v>12</v>
      </c>
      <c r="C1469">
        <v>46</v>
      </c>
      <c r="D1469">
        <v>39</v>
      </c>
      <c r="E1469" t="s">
        <v>13</v>
      </c>
      <c r="F1469" t="s">
        <v>173</v>
      </c>
      <c r="G1469">
        <v>390.12</v>
      </c>
      <c r="H1469" t="s">
        <v>20</v>
      </c>
      <c r="I1469" s="2">
        <v>45491</v>
      </c>
      <c r="J1469" s="2">
        <v>45547</v>
      </c>
    </row>
    <row r="1470" spans="1:11" x14ac:dyDescent="0.25">
      <c r="A1470" t="s">
        <v>86</v>
      </c>
      <c r="B1470" t="s">
        <v>30</v>
      </c>
      <c r="C1470">
        <v>176</v>
      </c>
      <c r="D1470">
        <v>40</v>
      </c>
      <c r="E1470" t="s">
        <v>13</v>
      </c>
      <c r="F1470" t="s">
        <v>173</v>
      </c>
      <c r="G1470">
        <v>381.62</v>
      </c>
      <c r="H1470" t="s">
        <v>20</v>
      </c>
      <c r="I1470" s="2">
        <v>45616</v>
      </c>
      <c r="J1470" s="2">
        <v>45666</v>
      </c>
      <c r="K1470" t="s">
        <v>21</v>
      </c>
    </row>
    <row r="1471" spans="1:11" x14ac:dyDescent="0.25">
      <c r="A1471" t="s">
        <v>136</v>
      </c>
      <c r="B1471" t="s">
        <v>23</v>
      </c>
      <c r="C1471">
        <v>8</v>
      </c>
      <c r="D1471">
        <v>77</v>
      </c>
      <c r="E1471" t="s">
        <v>19</v>
      </c>
      <c r="F1471" t="s">
        <v>173</v>
      </c>
      <c r="G1471">
        <v>97.92</v>
      </c>
      <c r="H1471" t="s">
        <v>26</v>
      </c>
      <c r="I1471" s="2">
        <v>45313</v>
      </c>
      <c r="J1471" s="2">
        <v>45354</v>
      </c>
      <c r="K1471" t="s">
        <v>21</v>
      </c>
    </row>
    <row r="1472" spans="1:11" x14ac:dyDescent="0.25">
      <c r="A1472" t="s">
        <v>131</v>
      </c>
      <c r="B1472" t="s">
        <v>16</v>
      </c>
      <c r="C1472">
        <v>98</v>
      </c>
      <c r="D1472">
        <v>50</v>
      </c>
      <c r="E1472" t="s">
        <v>13</v>
      </c>
      <c r="F1472" t="s">
        <v>171</v>
      </c>
      <c r="G1472">
        <v>48.75</v>
      </c>
      <c r="H1472" t="s">
        <v>26</v>
      </c>
      <c r="I1472" s="2">
        <v>45537</v>
      </c>
      <c r="J1472" s="2">
        <v>45609</v>
      </c>
      <c r="K1472" t="s">
        <v>17</v>
      </c>
    </row>
    <row r="1473" spans="1:11" x14ac:dyDescent="0.25">
      <c r="A1473" t="s">
        <v>110</v>
      </c>
      <c r="B1473" t="s">
        <v>28</v>
      </c>
      <c r="C1473">
        <v>19</v>
      </c>
      <c r="D1473">
        <v>30</v>
      </c>
      <c r="E1473" t="s">
        <v>19</v>
      </c>
      <c r="F1473" t="s">
        <v>170</v>
      </c>
      <c r="G1473">
        <v>350.98</v>
      </c>
      <c r="H1473" t="s">
        <v>26</v>
      </c>
      <c r="I1473" s="2">
        <v>45560</v>
      </c>
      <c r="J1473" s="2">
        <v>45620</v>
      </c>
      <c r="K1473" t="s">
        <v>172</v>
      </c>
    </row>
    <row r="1474" spans="1:11" x14ac:dyDescent="0.25">
      <c r="A1474" t="s">
        <v>122</v>
      </c>
      <c r="B1474" t="s">
        <v>16</v>
      </c>
      <c r="C1474">
        <v>121</v>
      </c>
      <c r="D1474">
        <v>71</v>
      </c>
      <c r="E1474" t="s">
        <v>13</v>
      </c>
      <c r="F1474" t="s">
        <v>170</v>
      </c>
      <c r="G1474">
        <v>187.33</v>
      </c>
      <c r="H1474" t="s">
        <v>14</v>
      </c>
      <c r="I1474" s="2">
        <v>45512</v>
      </c>
      <c r="J1474" s="2">
        <v>45592</v>
      </c>
      <c r="K1474" t="s">
        <v>172</v>
      </c>
    </row>
    <row r="1475" spans="1:11" x14ac:dyDescent="0.25">
      <c r="A1475" t="s">
        <v>76</v>
      </c>
      <c r="B1475" t="s">
        <v>28</v>
      </c>
      <c r="C1475">
        <v>60</v>
      </c>
      <c r="D1475">
        <v>34</v>
      </c>
      <c r="E1475" t="s">
        <v>13</v>
      </c>
      <c r="F1475" t="s">
        <v>171</v>
      </c>
      <c r="G1475">
        <v>219.01</v>
      </c>
      <c r="H1475" t="s">
        <v>14</v>
      </c>
      <c r="I1475" s="2">
        <v>45441</v>
      </c>
      <c r="J1475" s="2">
        <v>45480</v>
      </c>
    </row>
    <row r="1476" spans="1:11" x14ac:dyDescent="0.25">
      <c r="A1476" t="s">
        <v>86</v>
      </c>
      <c r="B1476" t="s">
        <v>12</v>
      </c>
      <c r="C1476">
        <v>122</v>
      </c>
      <c r="D1476">
        <v>26</v>
      </c>
      <c r="E1476" t="s">
        <v>13</v>
      </c>
      <c r="F1476" t="s">
        <v>170</v>
      </c>
      <c r="G1476">
        <v>20.420000000000002</v>
      </c>
      <c r="H1476" t="s">
        <v>20</v>
      </c>
      <c r="I1476" s="2">
        <v>45428</v>
      </c>
      <c r="J1476" s="2">
        <v>45515</v>
      </c>
      <c r="K1476" t="s">
        <v>172</v>
      </c>
    </row>
    <row r="1477" spans="1:11" x14ac:dyDescent="0.25">
      <c r="A1477" t="s">
        <v>141</v>
      </c>
      <c r="B1477" t="s">
        <v>28</v>
      </c>
      <c r="C1477">
        <v>162</v>
      </c>
      <c r="D1477">
        <v>47</v>
      </c>
      <c r="E1477" t="s">
        <v>13</v>
      </c>
      <c r="F1477" t="s">
        <v>170</v>
      </c>
      <c r="G1477">
        <v>133.49</v>
      </c>
      <c r="H1477" t="s">
        <v>20</v>
      </c>
      <c r="I1477" s="2">
        <v>45344</v>
      </c>
      <c r="J1477" s="2">
        <v>45385</v>
      </c>
      <c r="K1477" t="s">
        <v>21</v>
      </c>
    </row>
    <row r="1478" spans="1:11" x14ac:dyDescent="0.25">
      <c r="A1478" t="s">
        <v>137</v>
      </c>
      <c r="B1478" t="s">
        <v>23</v>
      </c>
      <c r="C1478">
        <v>177</v>
      </c>
      <c r="D1478">
        <v>70</v>
      </c>
      <c r="E1478" t="s">
        <v>13</v>
      </c>
      <c r="F1478" t="s">
        <v>173</v>
      </c>
      <c r="G1478">
        <v>21.67</v>
      </c>
      <c r="H1478" t="s">
        <v>26</v>
      </c>
      <c r="I1478" s="2">
        <v>45527</v>
      </c>
      <c r="J1478" s="2">
        <v>45542</v>
      </c>
      <c r="K1478" t="s">
        <v>172</v>
      </c>
    </row>
    <row r="1479" spans="1:11" x14ac:dyDescent="0.25">
      <c r="A1479" t="s">
        <v>154</v>
      </c>
      <c r="B1479" t="s">
        <v>30</v>
      </c>
      <c r="C1479">
        <v>81</v>
      </c>
      <c r="D1479">
        <v>77</v>
      </c>
      <c r="E1479" t="s">
        <v>13</v>
      </c>
      <c r="F1479" t="s">
        <v>173</v>
      </c>
      <c r="G1479">
        <v>440.2</v>
      </c>
      <c r="H1479" t="s">
        <v>20</v>
      </c>
      <c r="I1479" s="2">
        <v>45305</v>
      </c>
      <c r="J1479" s="2">
        <v>45393</v>
      </c>
    </row>
    <row r="1480" spans="1:11" x14ac:dyDescent="0.25">
      <c r="A1480" t="s">
        <v>150</v>
      </c>
      <c r="B1480" t="s">
        <v>28</v>
      </c>
      <c r="C1480">
        <v>61</v>
      </c>
      <c r="D1480">
        <v>24</v>
      </c>
      <c r="E1480" t="s">
        <v>13</v>
      </c>
      <c r="F1480" t="s">
        <v>171</v>
      </c>
      <c r="G1480">
        <v>125.48</v>
      </c>
      <c r="H1480" t="s">
        <v>20</v>
      </c>
      <c r="I1480" s="2">
        <v>45339</v>
      </c>
      <c r="J1480" s="2">
        <v>45395</v>
      </c>
      <c r="K1480" t="s">
        <v>21</v>
      </c>
    </row>
    <row r="1481" spans="1:11" x14ac:dyDescent="0.25">
      <c r="A1481" t="s">
        <v>96</v>
      </c>
      <c r="B1481" t="s">
        <v>28</v>
      </c>
      <c r="C1481">
        <v>144</v>
      </c>
      <c r="D1481">
        <v>24</v>
      </c>
      <c r="E1481" t="s">
        <v>13</v>
      </c>
      <c r="F1481" t="s">
        <v>171</v>
      </c>
      <c r="G1481">
        <v>280.88</v>
      </c>
      <c r="H1481" t="s">
        <v>20</v>
      </c>
      <c r="I1481" s="2">
        <v>45520</v>
      </c>
      <c r="J1481" s="2">
        <v>45586</v>
      </c>
      <c r="K1481" t="s">
        <v>172</v>
      </c>
    </row>
    <row r="1482" spans="1:11" x14ac:dyDescent="0.25">
      <c r="A1482" t="s">
        <v>39</v>
      </c>
      <c r="B1482" t="s">
        <v>30</v>
      </c>
      <c r="C1482">
        <v>2</v>
      </c>
      <c r="D1482">
        <v>27</v>
      </c>
      <c r="E1482" t="s">
        <v>19</v>
      </c>
      <c r="F1482" t="s">
        <v>170</v>
      </c>
      <c r="G1482">
        <v>24.29</v>
      </c>
      <c r="H1482" t="s">
        <v>20</v>
      </c>
      <c r="I1482" s="2">
        <v>45333</v>
      </c>
      <c r="J1482" s="2">
        <v>45372</v>
      </c>
      <c r="K1482" t="s">
        <v>172</v>
      </c>
    </row>
    <row r="1483" spans="1:11" x14ac:dyDescent="0.25">
      <c r="A1483" t="s">
        <v>135</v>
      </c>
      <c r="B1483" t="s">
        <v>23</v>
      </c>
      <c r="C1483">
        <v>159</v>
      </c>
      <c r="D1483">
        <v>83</v>
      </c>
      <c r="E1483" t="s">
        <v>13</v>
      </c>
      <c r="F1483" t="s">
        <v>173</v>
      </c>
      <c r="G1483">
        <v>335.09</v>
      </c>
      <c r="H1483" t="s">
        <v>20</v>
      </c>
      <c r="I1483" s="2">
        <v>45320</v>
      </c>
      <c r="J1483" s="2">
        <v>45388</v>
      </c>
      <c r="K1483" t="s">
        <v>17</v>
      </c>
    </row>
    <row r="1484" spans="1:11" x14ac:dyDescent="0.25">
      <c r="A1484" t="s">
        <v>92</v>
      </c>
      <c r="B1484" t="s">
        <v>16</v>
      </c>
      <c r="C1484">
        <v>12</v>
      </c>
      <c r="D1484">
        <v>29</v>
      </c>
      <c r="E1484" t="s">
        <v>19</v>
      </c>
      <c r="F1484" t="s">
        <v>171</v>
      </c>
      <c r="G1484">
        <v>164.9</v>
      </c>
      <c r="H1484" t="s">
        <v>26</v>
      </c>
      <c r="I1484" s="2">
        <v>45384</v>
      </c>
      <c r="J1484" s="2">
        <v>45465</v>
      </c>
    </row>
    <row r="1485" spans="1:11" x14ac:dyDescent="0.25">
      <c r="A1485" t="s">
        <v>100</v>
      </c>
      <c r="B1485" t="s">
        <v>28</v>
      </c>
      <c r="C1485">
        <v>119</v>
      </c>
      <c r="D1485">
        <v>57</v>
      </c>
      <c r="E1485" t="s">
        <v>13</v>
      </c>
      <c r="F1485" t="s">
        <v>171</v>
      </c>
      <c r="G1485">
        <v>449.47</v>
      </c>
      <c r="H1485" t="s">
        <v>26</v>
      </c>
      <c r="I1485" s="2">
        <v>45540</v>
      </c>
      <c r="J1485" s="2">
        <v>45560</v>
      </c>
      <c r="K1485" t="s">
        <v>172</v>
      </c>
    </row>
    <row r="1486" spans="1:11" x14ac:dyDescent="0.25">
      <c r="A1486" t="s">
        <v>109</v>
      </c>
      <c r="B1486" t="s">
        <v>30</v>
      </c>
      <c r="C1486">
        <v>124</v>
      </c>
      <c r="D1486">
        <v>27</v>
      </c>
      <c r="E1486" t="s">
        <v>13</v>
      </c>
      <c r="F1486" t="s">
        <v>171</v>
      </c>
      <c r="G1486">
        <v>444.62</v>
      </c>
      <c r="H1486" t="s">
        <v>20</v>
      </c>
      <c r="I1486" s="2">
        <v>45351</v>
      </c>
      <c r="J1486" s="2">
        <v>45423</v>
      </c>
      <c r="K1486" t="s">
        <v>17</v>
      </c>
    </row>
    <row r="1487" spans="1:11" x14ac:dyDescent="0.25">
      <c r="A1487" t="s">
        <v>137</v>
      </c>
      <c r="B1487" t="s">
        <v>12</v>
      </c>
      <c r="C1487">
        <v>88</v>
      </c>
      <c r="D1487">
        <v>44</v>
      </c>
      <c r="E1487" t="s">
        <v>13</v>
      </c>
      <c r="F1487" t="s">
        <v>171</v>
      </c>
      <c r="G1487">
        <v>166.02</v>
      </c>
      <c r="H1487" t="s">
        <v>26</v>
      </c>
      <c r="I1487" s="2">
        <v>45563</v>
      </c>
      <c r="J1487" s="2">
        <v>45647</v>
      </c>
      <c r="K1487" t="s">
        <v>21</v>
      </c>
    </row>
    <row r="1488" spans="1:11" x14ac:dyDescent="0.25">
      <c r="A1488" t="s">
        <v>160</v>
      </c>
      <c r="B1488" t="s">
        <v>30</v>
      </c>
      <c r="C1488">
        <v>72</v>
      </c>
      <c r="D1488">
        <v>92</v>
      </c>
      <c r="E1488" t="s">
        <v>19</v>
      </c>
      <c r="F1488" t="s">
        <v>171</v>
      </c>
      <c r="G1488">
        <v>450.98</v>
      </c>
      <c r="H1488" t="s">
        <v>14</v>
      </c>
      <c r="I1488" s="2">
        <v>45489</v>
      </c>
      <c r="J1488" s="2">
        <v>45556</v>
      </c>
      <c r="K1488" t="s">
        <v>17</v>
      </c>
    </row>
    <row r="1489" spans="1:11" x14ac:dyDescent="0.25">
      <c r="A1489" t="s">
        <v>123</v>
      </c>
      <c r="B1489" t="s">
        <v>12</v>
      </c>
      <c r="C1489">
        <v>67</v>
      </c>
      <c r="D1489">
        <v>85</v>
      </c>
      <c r="E1489" t="s">
        <v>19</v>
      </c>
      <c r="F1489" t="s">
        <v>171</v>
      </c>
      <c r="G1489">
        <v>498.1</v>
      </c>
      <c r="H1489" t="s">
        <v>20</v>
      </c>
      <c r="I1489" s="2">
        <v>45454</v>
      </c>
      <c r="J1489" s="2">
        <v>45534</v>
      </c>
      <c r="K1489" t="s">
        <v>17</v>
      </c>
    </row>
    <row r="1490" spans="1:11" x14ac:dyDescent="0.25">
      <c r="A1490" t="s">
        <v>82</v>
      </c>
      <c r="B1490" t="s">
        <v>23</v>
      </c>
      <c r="C1490">
        <v>141</v>
      </c>
      <c r="D1490">
        <v>98</v>
      </c>
      <c r="E1490" t="s">
        <v>13</v>
      </c>
      <c r="F1490" t="s">
        <v>170</v>
      </c>
      <c r="G1490">
        <v>413.58</v>
      </c>
      <c r="H1490" t="s">
        <v>14</v>
      </c>
      <c r="I1490" s="2">
        <v>45316</v>
      </c>
      <c r="J1490" s="2">
        <v>45388</v>
      </c>
      <c r="K1490" t="s">
        <v>172</v>
      </c>
    </row>
    <row r="1491" spans="1:11" x14ac:dyDescent="0.25">
      <c r="A1491" t="s">
        <v>76</v>
      </c>
      <c r="B1491" t="s">
        <v>16</v>
      </c>
      <c r="C1491">
        <v>100</v>
      </c>
      <c r="D1491">
        <v>69</v>
      </c>
      <c r="E1491" t="s">
        <v>13</v>
      </c>
      <c r="F1491" t="s">
        <v>173</v>
      </c>
      <c r="G1491">
        <v>423.21</v>
      </c>
      <c r="H1491" t="s">
        <v>26</v>
      </c>
      <c r="I1491" s="2">
        <v>45508</v>
      </c>
      <c r="J1491" s="2">
        <v>45524</v>
      </c>
      <c r="K1491" t="s">
        <v>172</v>
      </c>
    </row>
    <row r="1492" spans="1:11" x14ac:dyDescent="0.25">
      <c r="A1492" t="s">
        <v>137</v>
      </c>
      <c r="B1492" t="s">
        <v>30</v>
      </c>
      <c r="C1492">
        <v>97</v>
      </c>
      <c r="D1492">
        <v>86</v>
      </c>
      <c r="E1492" t="s">
        <v>13</v>
      </c>
      <c r="F1492" t="s">
        <v>173</v>
      </c>
      <c r="G1492">
        <v>128.26</v>
      </c>
      <c r="H1492" t="s">
        <v>26</v>
      </c>
      <c r="I1492" s="2">
        <v>45474</v>
      </c>
      <c r="J1492" s="2">
        <v>45510</v>
      </c>
      <c r="K1492" t="s">
        <v>172</v>
      </c>
    </row>
    <row r="1493" spans="1:11" x14ac:dyDescent="0.25">
      <c r="A1493" t="s">
        <v>87</v>
      </c>
      <c r="B1493" t="s">
        <v>28</v>
      </c>
      <c r="C1493">
        <v>10</v>
      </c>
      <c r="D1493">
        <v>68</v>
      </c>
      <c r="E1493" t="s">
        <v>19</v>
      </c>
      <c r="F1493" t="s">
        <v>171</v>
      </c>
      <c r="G1493">
        <v>290.47000000000003</v>
      </c>
      <c r="H1493" t="s">
        <v>14</v>
      </c>
      <c r="I1493" s="2">
        <v>45505</v>
      </c>
      <c r="J1493" s="2">
        <v>45556</v>
      </c>
      <c r="K1493" t="s">
        <v>17</v>
      </c>
    </row>
    <row r="1494" spans="1:11" x14ac:dyDescent="0.25">
      <c r="A1494" t="s">
        <v>107</v>
      </c>
      <c r="B1494" t="s">
        <v>23</v>
      </c>
      <c r="C1494">
        <v>104</v>
      </c>
      <c r="D1494">
        <v>55</v>
      </c>
      <c r="E1494" t="s">
        <v>13</v>
      </c>
      <c r="F1494" t="s">
        <v>173</v>
      </c>
      <c r="G1494">
        <v>38.29</v>
      </c>
      <c r="H1494" t="s">
        <v>26</v>
      </c>
      <c r="I1494" s="2">
        <v>45583</v>
      </c>
      <c r="J1494" s="2">
        <v>45617</v>
      </c>
      <c r="K1494" t="s">
        <v>21</v>
      </c>
    </row>
    <row r="1495" spans="1:11" x14ac:dyDescent="0.25">
      <c r="A1495" t="s">
        <v>150</v>
      </c>
      <c r="B1495" t="s">
        <v>30</v>
      </c>
      <c r="C1495">
        <v>183</v>
      </c>
      <c r="D1495">
        <v>87</v>
      </c>
      <c r="E1495" t="s">
        <v>13</v>
      </c>
      <c r="F1495" t="s">
        <v>173</v>
      </c>
      <c r="G1495">
        <v>51.98</v>
      </c>
      <c r="H1495" t="s">
        <v>20</v>
      </c>
      <c r="I1495" s="2">
        <v>45383</v>
      </c>
      <c r="J1495" s="2">
        <v>45421</v>
      </c>
    </row>
    <row r="1496" spans="1:11" x14ac:dyDescent="0.25">
      <c r="A1496" t="s">
        <v>86</v>
      </c>
      <c r="B1496" t="s">
        <v>28</v>
      </c>
      <c r="C1496">
        <v>66</v>
      </c>
      <c r="D1496">
        <v>97</v>
      </c>
      <c r="E1496" t="s">
        <v>19</v>
      </c>
      <c r="F1496" t="s">
        <v>173</v>
      </c>
      <c r="G1496">
        <v>499.45</v>
      </c>
      <c r="H1496" t="s">
        <v>14</v>
      </c>
      <c r="I1496" s="2">
        <v>45615</v>
      </c>
      <c r="J1496" s="2">
        <v>45694</v>
      </c>
      <c r="K1496" t="s">
        <v>17</v>
      </c>
    </row>
    <row r="1497" spans="1:11" x14ac:dyDescent="0.25">
      <c r="A1497" t="s">
        <v>96</v>
      </c>
      <c r="B1497" t="s">
        <v>30</v>
      </c>
      <c r="C1497">
        <v>122</v>
      </c>
      <c r="D1497">
        <v>60</v>
      </c>
      <c r="E1497" t="s">
        <v>13</v>
      </c>
      <c r="F1497" t="s">
        <v>171</v>
      </c>
      <c r="G1497">
        <v>166.69</v>
      </c>
      <c r="H1497" t="s">
        <v>20</v>
      </c>
      <c r="I1497" s="2">
        <v>45445</v>
      </c>
      <c r="J1497" s="2">
        <v>45524</v>
      </c>
      <c r="K1497" t="s">
        <v>172</v>
      </c>
    </row>
    <row r="1498" spans="1:11" x14ac:dyDescent="0.25">
      <c r="A1498" t="s">
        <v>137</v>
      </c>
      <c r="B1498" t="s">
        <v>12</v>
      </c>
      <c r="C1498">
        <v>28</v>
      </c>
      <c r="D1498">
        <v>81</v>
      </c>
      <c r="E1498" t="s">
        <v>19</v>
      </c>
      <c r="F1498" t="s">
        <v>171</v>
      </c>
      <c r="G1498">
        <v>375.35</v>
      </c>
      <c r="H1498" t="s">
        <v>14</v>
      </c>
      <c r="I1498" s="2">
        <v>45556</v>
      </c>
      <c r="J1498" s="2">
        <v>45571</v>
      </c>
    </row>
    <row r="1499" spans="1:11" x14ac:dyDescent="0.25">
      <c r="A1499" t="s">
        <v>134</v>
      </c>
      <c r="B1499" t="s">
        <v>30</v>
      </c>
      <c r="C1499">
        <v>136</v>
      </c>
      <c r="D1499">
        <v>29</v>
      </c>
      <c r="E1499" t="s">
        <v>13</v>
      </c>
      <c r="F1499" t="s">
        <v>173</v>
      </c>
      <c r="G1499">
        <v>404.3</v>
      </c>
      <c r="H1499" t="s">
        <v>26</v>
      </c>
      <c r="I1499" s="2">
        <v>45612</v>
      </c>
      <c r="J1499" s="2">
        <v>45629</v>
      </c>
      <c r="K1499" t="s">
        <v>21</v>
      </c>
    </row>
    <row r="1500" spans="1:11" x14ac:dyDescent="0.25">
      <c r="A1500" t="s">
        <v>143</v>
      </c>
      <c r="B1500" t="s">
        <v>30</v>
      </c>
      <c r="C1500">
        <v>194</v>
      </c>
      <c r="D1500">
        <v>40</v>
      </c>
      <c r="E1500" t="s">
        <v>13</v>
      </c>
      <c r="F1500" t="s">
        <v>173</v>
      </c>
      <c r="G1500">
        <v>429.72</v>
      </c>
      <c r="H1500" t="s">
        <v>14</v>
      </c>
      <c r="I1500" s="2">
        <v>45575</v>
      </c>
      <c r="J1500" s="2">
        <v>45635</v>
      </c>
    </row>
    <row r="1501" spans="1:11" x14ac:dyDescent="0.25">
      <c r="A1501" t="s">
        <v>160</v>
      </c>
      <c r="B1501" t="s">
        <v>30</v>
      </c>
      <c r="C1501">
        <v>152</v>
      </c>
      <c r="D1501">
        <v>55</v>
      </c>
      <c r="E1501" t="s">
        <v>13</v>
      </c>
      <c r="F1501" t="s">
        <v>171</v>
      </c>
      <c r="G1501">
        <v>498.83</v>
      </c>
      <c r="H1501" t="s">
        <v>14</v>
      </c>
      <c r="I1501" s="2">
        <v>45640</v>
      </c>
      <c r="J1501" s="2">
        <v>45709</v>
      </c>
      <c r="K1501" t="s">
        <v>172</v>
      </c>
    </row>
    <row r="1502" spans="1:11" x14ac:dyDescent="0.25">
      <c r="A1502" t="s">
        <v>107</v>
      </c>
      <c r="B1502" t="s">
        <v>23</v>
      </c>
      <c r="C1502">
        <v>75</v>
      </c>
      <c r="D1502">
        <v>31</v>
      </c>
      <c r="E1502" t="s">
        <v>13</v>
      </c>
      <c r="F1502" t="s">
        <v>170</v>
      </c>
      <c r="G1502">
        <v>124.54</v>
      </c>
      <c r="H1502" t="s">
        <v>20</v>
      </c>
      <c r="I1502" s="2">
        <v>45584</v>
      </c>
      <c r="J1502" s="2">
        <v>45673</v>
      </c>
      <c r="K1502" t="s">
        <v>17</v>
      </c>
    </row>
    <row r="1503" spans="1:11" x14ac:dyDescent="0.25">
      <c r="A1503" t="s">
        <v>148</v>
      </c>
      <c r="B1503" t="s">
        <v>30</v>
      </c>
      <c r="C1503">
        <v>169</v>
      </c>
      <c r="D1503">
        <v>21</v>
      </c>
      <c r="E1503" t="s">
        <v>13</v>
      </c>
      <c r="F1503" t="s">
        <v>173</v>
      </c>
      <c r="G1503">
        <v>24.97</v>
      </c>
      <c r="H1503" t="s">
        <v>26</v>
      </c>
      <c r="I1503" s="2">
        <v>45643</v>
      </c>
      <c r="J1503" s="2">
        <v>45721</v>
      </c>
      <c r="K1503" t="s">
        <v>17</v>
      </c>
    </row>
    <row r="1504" spans="1:11" x14ac:dyDescent="0.25">
      <c r="A1504" t="s">
        <v>18</v>
      </c>
      <c r="B1504" t="s">
        <v>28</v>
      </c>
      <c r="C1504">
        <v>8</v>
      </c>
      <c r="D1504">
        <v>32</v>
      </c>
      <c r="E1504" t="s">
        <v>19</v>
      </c>
      <c r="F1504" t="s">
        <v>170</v>
      </c>
      <c r="G1504">
        <v>208.54</v>
      </c>
      <c r="H1504" t="s">
        <v>20</v>
      </c>
      <c r="I1504" s="2">
        <v>45500</v>
      </c>
      <c r="J1504" s="2">
        <v>45559</v>
      </c>
      <c r="K1504" t="s">
        <v>172</v>
      </c>
    </row>
    <row r="1505" spans="1:11" x14ac:dyDescent="0.25">
      <c r="A1505" t="s">
        <v>86</v>
      </c>
      <c r="B1505" t="s">
        <v>12</v>
      </c>
      <c r="C1505">
        <v>39</v>
      </c>
      <c r="D1505">
        <v>72</v>
      </c>
      <c r="E1505" t="s">
        <v>19</v>
      </c>
      <c r="F1505" t="s">
        <v>173</v>
      </c>
      <c r="G1505">
        <v>69.39</v>
      </c>
      <c r="H1505" t="s">
        <v>26</v>
      </c>
      <c r="I1505" s="2">
        <v>45434</v>
      </c>
      <c r="J1505" s="2">
        <v>45474</v>
      </c>
      <c r="K1505" t="s">
        <v>17</v>
      </c>
    </row>
    <row r="1506" spans="1:11" x14ac:dyDescent="0.25">
      <c r="A1506" t="s">
        <v>107</v>
      </c>
      <c r="B1506" t="s">
        <v>12</v>
      </c>
      <c r="C1506">
        <v>24</v>
      </c>
      <c r="D1506">
        <v>51</v>
      </c>
      <c r="E1506" t="s">
        <v>19</v>
      </c>
      <c r="F1506" t="s">
        <v>170</v>
      </c>
      <c r="G1506">
        <v>16.100000000000001</v>
      </c>
      <c r="H1506" t="s">
        <v>20</v>
      </c>
      <c r="I1506" s="2">
        <v>45525</v>
      </c>
      <c r="J1506" s="2">
        <v>45604</v>
      </c>
      <c r="K1506" t="s">
        <v>172</v>
      </c>
    </row>
    <row r="1507" spans="1:11" x14ac:dyDescent="0.25">
      <c r="A1507" t="s">
        <v>104</v>
      </c>
      <c r="B1507" t="s">
        <v>30</v>
      </c>
      <c r="C1507">
        <v>4</v>
      </c>
      <c r="D1507">
        <v>35</v>
      </c>
      <c r="E1507" t="s">
        <v>19</v>
      </c>
      <c r="F1507" t="s">
        <v>170</v>
      </c>
      <c r="G1507">
        <v>183.41</v>
      </c>
      <c r="H1507" t="s">
        <v>14</v>
      </c>
      <c r="I1507" s="2">
        <v>45319</v>
      </c>
      <c r="J1507" s="2">
        <v>45357</v>
      </c>
      <c r="K1507" t="s">
        <v>17</v>
      </c>
    </row>
    <row r="1508" spans="1:11" x14ac:dyDescent="0.25">
      <c r="A1508" t="s">
        <v>150</v>
      </c>
      <c r="B1508" t="s">
        <v>23</v>
      </c>
      <c r="C1508">
        <v>138</v>
      </c>
      <c r="D1508">
        <v>51</v>
      </c>
      <c r="E1508" t="s">
        <v>13</v>
      </c>
      <c r="F1508" t="s">
        <v>170</v>
      </c>
      <c r="G1508">
        <v>392.95</v>
      </c>
      <c r="H1508" t="s">
        <v>20</v>
      </c>
      <c r="I1508" s="2">
        <v>45610</v>
      </c>
      <c r="J1508" s="2">
        <v>45698</v>
      </c>
      <c r="K1508" t="s">
        <v>17</v>
      </c>
    </row>
    <row r="1509" spans="1:11" x14ac:dyDescent="0.25">
      <c r="A1509" t="s">
        <v>107</v>
      </c>
      <c r="B1509" t="s">
        <v>23</v>
      </c>
      <c r="C1509">
        <v>186</v>
      </c>
      <c r="D1509">
        <v>51</v>
      </c>
      <c r="E1509" t="s">
        <v>13</v>
      </c>
      <c r="F1509" t="s">
        <v>171</v>
      </c>
      <c r="G1509">
        <v>285.26</v>
      </c>
      <c r="H1509" t="s">
        <v>26</v>
      </c>
      <c r="I1509" s="2">
        <v>45550</v>
      </c>
      <c r="J1509" s="2">
        <v>45599</v>
      </c>
      <c r="K1509" t="s">
        <v>17</v>
      </c>
    </row>
    <row r="1510" spans="1:11" x14ac:dyDescent="0.25">
      <c r="A1510" t="s">
        <v>151</v>
      </c>
      <c r="B1510" t="s">
        <v>28</v>
      </c>
      <c r="C1510">
        <v>123</v>
      </c>
      <c r="D1510">
        <v>30</v>
      </c>
      <c r="E1510" t="s">
        <v>13</v>
      </c>
      <c r="F1510" t="s">
        <v>170</v>
      </c>
      <c r="G1510">
        <v>159.83000000000001</v>
      </c>
      <c r="H1510" t="s">
        <v>26</v>
      </c>
      <c r="I1510" s="2">
        <v>45549</v>
      </c>
      <c r="J1510" s="2">
        <v>45587</v>
      </c>
      <c r="K1510" t="s">
        <v>21</v>
      </c>
    </row>
    <row r="1511" spans="1:11" x14ac:dyDescent="0.25">
      <c r="A1511" t="s">
        <v>77</v>
      </c>
      <c r="B1511" t="s">
        <v>30</v>
      </c>
      <c r="C1511">
        <v>37</v>
      </c>
      <c r="D1511">
        <v>29</v>
      </c>
      <c r="E1511" t="s">
        <v>13</v>
      </c>
      <c r="F1511" t="s">
        <v>170</v>
      </c>
      <c r="G1511">
        <v>328.9</v>
      </c>
      <c r="H1511" t="s">
        <v>14</v>
      </c>
      <c r="I1511" s="2">
        <v>45392</v>
      </c>
      <c r="J1511" s="2">
        <v>45434</v>
      </c>
      <c r="K1511" t="s">
        <v>21</v>
      </c>
    </row>
    <row r="1512" spans="1:11" x14ac:dyDescent="0.25">
      <c r="A1512" t="s">
        <v>79</v>
      </c>
      <c r="B1512" t="s">
        <v>12</v>
      </c>
      <c r="C1512">
        <v>71</v>
      </c>
      <c r="D1512">
        <v>34</v>
      </c>
      <c r="E1512" t="s">
        <v>13</v>
      </c>
      <c r="F1512" t="s">
        <v>170</v>
      </c>
      <c r="G1512">
        <v>119.85</v>
      </c>
      <c r="H1512" t="s">
        <v>26</v>
      </c>
      <c r="I1512" s="2">
        <v>45452</v>
      </c>
      <c r="J1512" s="2">
        <v>45482</v>
      </c>
      <c r="K1512" t="s">
        <v>172</v>
      </c>
    </row>
    <row r="1513" spans="1:11" x14ac:dyDescent="0.25">
      <c r="A1513" t="s">
        <v>109</v>
      </c>
      <c r="B1513" t="s">
        <v>23</v>
      </c>
      <c r="C1513">
        <v>132</v>
      </c>
      <c r="D1513">
        <v>36</v>
      </c>
      <c r="E1513" t="s">
        <v>13</v>
      </c>
      <c r="F1513" t="s">
        <v>173</v>
      </c>
      <c r="G1513">
        <v>12.12</v>
      </c>
      <c r="H1513" t="s">
        <v>20</v>
      </c>
      <c r="I1513" s="2">
        <v>45578</v>
      </c>
      <c r="J1513" s="2">
        <v>45651</v>
      </c>
      <c r="K1513" t="s">
        <v>21</v>
      </c>
    </row>
    <row r="1514" spans="1:11" x14ac:dyDescent="0.25">
      <c r="A1514" t="s">
        <v>42</v>
      </c>
      <c r="B1514" t="s">
        <v>30</v>
      </c>
      <c r="C1514">
        <v>175</v>
      </c>
      <c r="D1514">
        <v>59</v>
      </c>
      <c r="E1514" t="s">
        <v>13</v>
      </c>
      <c r="F1514" t="s">
        <v>170</v>
      </c>
      <c r="G1514">
        <v>383.35</v>
      </c>
      <c r="H1514" t="s">
        <v>14</v>
      </c>
      <c r="I1514" s="2">
        <v>45502</v>
      </c>
      <c r="J1514" s="2">
        <v>45570</v>
      </c>
      <c r="K1514" t="s">
        <v>172</v>
      </c>
    </row>
    <row r="1515" spans="1:11" x14ac:dyDescent="0.25">
      <c r="A1515" t="s">
        <v>89</v>
      </c>
      <c r="B1515" t="s">
        <v>23</v>
      </c>
      <c r="C1515">
        <v>89</v>
      </c>
      <c r="D1515">
        <v>37</v>
      </c>
      <c r="E1515" t="s">
        <v>13</v>
      </c>
      <c r="F1515" t="s">
        <v>173</v>
      </c>
      <c r="G1515">
        <v>313.75</v>
      </c>
      <c r="H1515" t="s">
        <v>26</v>
      </c>
      <c r="I1515" s="2">
        <v>45386</v>
      </c>
      <c r="J1515" s="2">
        <v>45416</v>
      </c>
    </row>
    <row r="1516" spans="1:11" x14ac:dyDescent="0.25">
      <c r="A1516" t="s">
        <v>56</v>
      </c>
      <c r="B1516" t="s">
        <v>23</v>
      </c>
      <c r="C1516">
        <v>145</v>
      </c>
      <c r="D1516">
        <v>74</v>
      </c>
      <c r="E1516" t="s">
        <v>13</v>
      </c>
      <c r="F1516" t="s">
        <v>170</v>
      </c>
      <c r="G1516">
        <v>382.34</v>
      </c>
      <c r="H1516" t="s">
        <v>26</v>
      </c>
      <c r="I1516" s="2">
        <v>45410</v>
      </c>
      <c r="J1516" s="2">
        <v>45439</v>
      </c>
    </row>
    <row r="1517" spans="1:11" x14ac:dyDescent="0.25">
      <c r="A1517" t="s">
        <v>160</v>
      </c>
      <c r="B1517" t="s">
        <v>12</v>
      </c>
      <c r="C1517">
        <v>197</v>
      </c>
      <c r="D1517">
        <v>92</v>
      </c>
      <c r="E1517" t="s">
        <v>13</v>
      </c>
      <c r="F1517" t="s">
        <v>170</v>
      </c>
      <c r="G1517">
        <v>24.27</v>
      </c>
      <c r="H1517" t="s">
        <v>20</v>
      </c>
      <c r="I1517" s="2">
        <v>45638</v>
      </c>
      <c r="J1517" s="2">
        <v>45663</v>
      </c>
      <c r="K1517" t="s">
        <v>21</v>
      </c>
    </row>
    <row r="1518" spans="1:11" x14ac:dyDescent="0.25">
      <c r="A1518" t="s">
        <v>147</v>
      </c>
      <c r="B1518" t="s">
        <v>16</v>
      </c>
      <c r="C1518">
        <v>36</v>
      </c>
      <c r="D1518">
        <v>44</v>
      </c>
      <c r="E1518" t="s">
        <v>19</v>
      </c>
      <c r="F1518" t="s">
        <v>171</v>
      </c>
      <c r="G1518">
        <v>419.37</v>
      </c>
      <c r="H1518" t="s">
        <v>20</v>
      </c>
      <c r="I1518" s="2">
        <v>45311</v>
      </c>
      <c r="J1518" s="2">
        <v>45390</v>
      </c>
    </row>
    <row r="1519" spans="1:11" x14ac:dyDescent="0.25">
      <c r="A1519" t="s">
        <v>90</v>
      </c>
      <c r="B1519" t="s">
        <v>28</v>
      </c>
      <c r="C1519">
        <v>59</v>
      </c>
      <c r="D1519">
        <v>78</v>
      </c>
      <c r="E1519" t="s">
        <v>19</v>
      </c>
      <c r="F1519" t="s">
        <v>173</v>
      </c>
      <c r="G1519">
        <v>311.67</v>
      </c>
      <c r="H1519" t="s">
        <v>14</v>
      </c>
      <c r="I1519" s="2">
        <v>45631</v>
      </c>
      <c r="J1519" s="2">
        <v>45713</v>
      </c>
    </row>
    <row r="1520" spans="1:11" x14ac:dyDescent="0.25">
      <c r="A1520" t="s">
        <v>134</v>
      </c>
      <c r="B1520" t="s">
        <v>28</v>
      </c>
      <c r="C1520">
        <v>175</v>
      </c>
      <c r="D1520">
        <v>97</v>
      </c>
      <c r="E1520" t="s">
        <v>13</v>
      </c>
      <c r="F1520" t="s">
        <v>170</v>
      </c>
      <c r="G1520">
        <v>283.88</v>
      </c>
      <c r="H1520" t="s">
        <v>26</v>
      </c>
      <c r="I1520" s="2">
        <v>45440</v>
      </c>
      <c r="J1520" s="2">
        <v>45497</v>
      </c>
      <c r="K1520" t="s">
        <v>17</v>
      </c>
    </row>
    <row r="1521" spans="1:11" x14ac:dyDescent="0.25">
      <c r="A1521" t="s">
        <v>105</v>
      </c>
      <c r="B1521" t="s">
        <v>12</v>
      </c>
      <c r="C1521">
        <v>27</v>
      </c>
      <c r="D1521">
        <v>41</v>
      </c>
      <c r="E1521" t="s">
        <v>19</v>
      </c>
      <c r="F1521" t="s">
        <v>173</v>
      </c>
      <c r="G1521">
        <v>314.18</v>
      </c>
      <c r="H1521" t="s">
        <v>20</v>
      </c>
      <c r="I1521" s="2">
        <v>45503</v>
      </c>
      <c r="J1521" s="2">
        <v>45586</v>
      </c>
      <c r="K1521" t="s">
        <v>17</v>
      </c>
    </row>
    <row r="1522" spans="1:11" x14ac:dyDescent="0.25">
      <c r="A1522" t="s">
        <v>144</v>
      </c>
      <c r="B1522" t="s">
        <v>23</v>
      </c>
      <c r="C1522">
        <v>196</v>
      </c>
      <c r="D1522">
        <v>49</v>
      </c>
      <c r="E1522" t="s">
        <v>13</v>
      </c>
      <c r="F1522" t="s">
        <v>173</v>
      </c>
      <c r="G1522">
        <v>432.89</v>
      </c>
      <c r="H1522" t="s">
        <v>14</v>
      </c>
      <c r="I1522" s="2">
        <v>45503</v>
      </c>
      <c r="J1522" s="2">
        <v>45530</v>
      </c>
      <c r="K1522" t="s">
        <v>172</v>
      </c>
    </row>
    <row r="1523" spans="1:11" x14ac:dyDescent="0.25">
      <c r="A1523" t="s">
        <v>66</v>
      </c>
      <c r="B1523" t="s">
        <v>30</v>
      </c>
      <c r="C1523">
        <v>80</v>
      </c>
      <c r="D1523">
        <v>63</v>
      </c>
      <c r="E1523" t="s">
        <v>13</v>
      </c>
      <c r="F1523" t="s">
        <v>171</v>
      </c>
      <c r="G1523">
        <v>295.52999999999997</v>
      </c>
      <c r="H1523" t="s">
        <v>26</v>
      </c>
      <c r="I1523" s="2">
        <v>45483</v>
      </c>
      <c r="J1523" s="2">
        <v>45507</v>
      </c>
    </row>
    <row r="1524" spans="1:11" x14ac:dyDescent="0.25">
      <c r="A1524" t="s">
        <v>155</v>
      </c>
      <c r="B1524" t="s">
        <v>23</v>
      </c>
      <c r="C1524">
        <v>113</v>
      </c>
      <c r="D1524">
        <v>51</v>
      </c>
      <c r="E1524" t="s">
        <v>13</v>
      </c>
      <c r="F1524" t="s">
        <v>171</v>
      </c>
      <c r="G1524">
        <v>292.57</v>
      </c>
      <c r="H1524" t="s">
        <v>26</v>
      </c>
      <c r="I1524" s="2">
        <v>45565</v>
      </c>
      <c r="J1524" s="2">
        <v>45654</v>
      </c>
      <c r="K1524" t="s">
        <v>172</v>
      </c>
    </row>
    <row r="1525" spans="1:11" x14ac:dyDescent="0.25">
      <c r="A1525" t="s">
        <v>93</v>
      </c>
      <c r="B1525" t="s">
        <v>12</v>
      </c>
      <c r="C1525">
        <v>39</v>
      </c>
      <c r="D1525">
        <v>70</v>
      </c>
      <c r="E1525" t="s">
        <v>19</v>
      </c>
      <c r="F1525" t="s">
        <v>171</v>
      </c>
      <c r="G1525">
        <v>495.39</v>
      </c>
      <c r="H1525" t="s">
        <v>14</v>
      </c>
      <c r="I1525" s="2">
        <v>45319</v>
      </c>
      <c r="J1525" s="2">
        <v>45374</v>
      </c>
      <c r="K1525" t="s">
        <v>172</v>
      </c>
    </row>
    <row r="1526" spans="1:11" x14ac:dyDescent="0.25">
      <c r="A1526" t="s">
        <v>149</v>
      </c>
      <c r="B1526" t="s">
        <v>28</v>
      </c>
      <c r="C1526">
        <v>44</v>
      </c>
      <c r="D1526">
        <v>65</v>
      </c>
      <c r="E1526" t="s">
        <v>19</v>
      </c>
      <c r="F1526" t="s">
        <v>171</v>
      </c>
      <c r="G1526">
        <v>379.58</v>
      </c>
      <c r="H1526" t="s">
        <v>14</v>
      </c>
      <c r="I1526" s="2">
        <v>45476</v>
      </c>
      <c r="J1526" s="2">
        <v>45540</v>
      </c>
    </row>
    <row r="1527" spans="1:11" x14ac:dyDescent="0.25">
      <c r="A1527" t="s">
        <v>159</v>
      </c>
      <c r="B1527" t="s">
        <v>23</v>
      </c>
      <c r="C1527">
        <v>61</v>
      </c>
      <c r="D1527">
        <v>40</v>
      </c>
      <c r="E1527" t="s">
        <v>13</v>
      </c>
      <c r="F1527" t="s">
        <v>171</v>
      </c>
      <c r="G1527">
        <v>223.94</v>
      </c>
      <c r="H1527" t="s">
        <v>20</v>
      </c>
      <c r="I1527" s="2">
        <v>45526</v>
      </c>
      <c r="J1527" s="2">
        <v>45611</v>
      </c>
      <c r="K1527" t="s">
        <v>21</v>
      </c>
    </row>
    <row r="1528" spans="1:11" x14ac:dyDescent="0.25">
      <c r="A1528" t="s">
        <v>126</v>
      </c>
      <c r="B1528" t="s">
        <v>28</v>
      </c>
      <c r="C1528">
        <v>92</v>
      </c>
      <c r="D1528">
        <v>51</v>
      </c>
      <c r="E1528" t="s">
        <v>13</v>
      </c>
      <c r="F1528" t="s">
        <v>171</v>
      </c>
      <c r="G1528">
        <v>355.16</v>
      </c>
      <c r="H1528" t="s">
        <v>26</v>
      </c>
      <c r="I1528" s="2">
        <v>45359</v>
      </c>
      <c r="J1528" s="2">
        <v>45432</v>
      </c>
    </row>
    <row r="1529" spans="1:11" x14ac:dyDescent="0.25">
      <c r="A1529" t="s">
        <v>39</v>
      </c>
      <c r="B1529" t="s">
        <v>30</v>
      </c>
      <c r="C1529">
        <v>114</v>
      </c>
      <c r="D1529">
        <v>58</v>
      </c>
      <c r="E1529" t="s">
        <v>13</v>
      </c>
      <c r="F1529" t="s">
        <v>171</v>
      </c>
      <c r="G1529">
        <v>197.67</v>
      </c>
      <c r="H1529" t="s">
        <v>26</v>
      </c>
      <c r="I1529" s="2">
        <v>45382</v>
      </c>
      <c r="J1529" s="2">
        <v>45435</v>
      </c>
      <c r="K1529" t="s">
        <v>17</v>
      </c>
    </row>
    <row r="1530" spans="1:11" x14ac:dyDescent="0.25">
      <c r="A1530" t="s">
        <v>85</v>
      </c>
      <c r="B1530" t="s">
        <v>28</v>
      </c>
      <c r="C1530">
        <v>185</v>
      </c>
      <c r="D1530">
        <v>31</v>
      </c>
      <c r="E1530" t="s">
        <v>13</v>
      </c>
      <c r="F1530" t="s">
        <v>171</v>
      </c>
      <c r="G1530">
        <v>118.29</v>
      </c>
      <c r="H1530" t="s">
        <v>26</v>
      </c>
      <c r="I1530" s="2">
        <v>45384</v>
      </c>
      <c r="J1530" s="2">
        <v>45401</v>
      </c>
    </row>
    <row r="1531" spans="1:11" x14ac:dyDescent="0.25">
      <c r="A1531" t="s">
        <v>121</v>
      </c>
      <c r="B1531" t="s">
        <v>28</v>
      </c>
      <c r="C1531">
        <v>66</v>
      </c>
      <c r="D1531">
        <v>66</v>
      </c>
      <c r="E1531" t="s">
        <v>13</v>
      </c>
      <c r="F1531" t="s">
        <v>170</v>
      </c>
      <c r="G1531">
        <v>300.44</v>
      </c>
      <c r="H1531" t="s">
        <v>14</v>
      </c>
      <c r="I1531" s="2">
        <v>45581</v>
      </c>
      <c r="J1531" s="2">
        <v>45602</v>
      </c>
      <c r="K1531" t="s">
        <v>21</v>
      </c>
    </row>
    <row r="1532" spans="1:11" x14ac:dyDescent="0.25">
      <c r="A1532" t="s">
        <v>136</v>
      </c>
      <c r="B1532" t="s">
        <v>16</v>
      </c>
      <c r="C1532">
        <v>55</v>
      </c>
      <c r="D1532">
        <v>37</v>
      </c>
      <c r="E1532" t="s">
        <v>13</v>
      </c>
      <c r="F1532" t="s">
        <v>173</v>
      </c>
      <c r="G1532">
        <v>464.45</v>
      </c>
      <c r="H1532" t="s">
        <v>20</v>
      </c>
      <c r="I1532" s="2">
        <v>45480</v>
      </c>
      <c r="J1532" s="2">
        <v>45543</v>
      </c>
      <c r="K1532" t="s">
        <v>172</v>
      </c>
    </row>
    <row r="1533" spans="1:11" x14ac:dyDescent="0.25">
      <c r="A1533" t="s">
        <v>88</v>
      </c>
      <c r="B1533" t="s">
        <v>16</v>
      </c>
      <c r="C1533">
        <v>39</v>
      </c>
      <c r="D1533">
        <v>40</v>
      </c>
      <c r="E1533" t="s">
        <v>19</v>
      </c>
      <c r="F1533" t="s">
        <v>171</v>
      </c>
      <c r="G1533">
        <v>464.92</v>
      </c>
      <c r="H1533" t="s">
        <v>26</v>
      </c>
      <c r="I1533" s="2">
        <v>45473</v>
      </c>
      <c r="J1533" s="2">
        <v>45513</v>
      </c>
      <c r="K1533" t="s">
        <v>172</v>
      </c>
    </row>
    <row r="1534" spans="1:11" x14ac:dyDescent="0.25">
      <c r="A1534" t="s">
        <v>144</v>
      </c>
      <c r="B1534" t="s">
        <v>16</v>
      </c>
      <c r="C1534">
        <v>97</v>
      </c>
      <c r="D1534">
        <v>32</v>
      </c>
      <c r="E1534" t="s">
        <v>13</v>
      </c>
      <c r="F1534" t="s">
        <v>171</v>
      </c>
      <c r="G1534">
        <v>174.24</v>
      </c>
      <c r="H1534" t="s">
        <v>14</v>
      </c>
      <c r="I1534" s="2">
        <v>45338</v>
      </c>
      <c r="J1534" s="2">
        <v>45385</v>
      </c>
      <c r="K1534" t="s">
        <v>17</v>
      </c>
    </row>
    <row r="1535" spans="1:11" x14ac:dyDescent="0.25">
      <c r="A1535" t="s">
        <v>118</v>
      </c>
      <c r="B1535" t="s">
        <v>28</v>
      </c>
      <c r="C1535">
        <v>39</v>
      </c>
      <c r="D1535">
        <v>40</v>
      </c>
      <c r="E1535" t="s">
        <v>19</v>
      </c>
      <c r="F1535" t="s">
        <v>173</v>
      </c>
      <c r="G1535">
        <v>266.2</v>
      </c>
      <c r="H1535" t="s">
        <v>26</v>
      </c>
      <c r="I1535" s="2">
        <v>45526</v>
      </c>
      <c r="J1535" s="2">
        <v>45588</v>
      </c>
      <c r="K1535" t="s">
        <v>17</v>
      </c>
    </row>
    <row r="1536" spans="1:11" x14ac:dyDescent="0.25">
      <c r="A1536" t="s">
        <v>144</v>
      </c>
      <c r="B1536" t="s">
        <v>12</v>
      </c>
      <c r="C1536">
        <v>90</v>
      </c>
      <c r="D1536">
        <v>27</v>
      </c>
      <c r="E1536" t="s">
        <v>13</v>
      </c>
      <c r="F1536" t="s">
        <v>170</v>
      </c>
      <c r="G1536">
        <v>109.76</v>
      </c>
      <c r="H1536" t="s">
        <v>20</v>
      </c>
      <c r="I1536" s="2">
        <v>45294</v>
      </c>
      <c r="J1536" s="2">
        <v>45310</v>
      </c>
      <c r="K1536" t="s">
        <v>17</v>
      </c>
    </row>
    <row r="1537" spans="1:11" x14ac:dyDescent="0.25">
      <c r="A1537" t="s">
        <v>137</v>
      </c>
      <c r="B1537" t="s">
        <v>28</v>
      </c>
      <c r="C1537">
        <v>32</v>
      </c>
      <c r="D1537">
        <v>65</v>
      </c>
      <c r="E1537" t="s">
        <v>19</v>
      </c>
      <c r="F1537" t="s">
        <v>173</v>
      </c>
      <c r="G1537">
        <v>497.84</v>
      </c>
      <c r="H1537" t="s">
        <v>26</v>
      </c>
      <c r="I1537" s="2">
        <v>45608</v>
      </c>
      <c r="J1537" s="2">
        <v>45693</v>
      </c>
      <c r="K1537" t="s">
        <v>172</v>
      </c>
    </row>
    <row r="1538" spans="1:11" x14ac:dyDescent="0.25">
      <c r="A1538" t="s">
        <v>39</v>
      </c>
      <c r="B1538" t="s">
        <v>12</v>
      </c>
      <c r="C1538">
        <v>5</v>
      </c>
      <c r="D1538">
        <v>26</v>
      </c>
      <c r="E1538" t="s">
        <v>19</v>
      </c>
      <c r="F1538" t="s">
        <v>173</v>
      </c>
      <c r="G1538">
        <v>490.65</v>
      </c>
      <c r="H1538" t="s">
        <v>20</v>
      </c>
      <c r="I1538" s="2">
        <v>45602</v>
      </c>
      <c r="J1538" s="2">
        <v>45648</v>
      </c>
      <c r="K1538" t="s">
        <v>17</v>
      </c>
    </row>
    <row r="1539" spans="1:11" x14ac:dyDescent="0.25">
      <c r="A1539" t="s">
        <v>143</v>
      </c>
      <c r="B1539" t="s">
        <v>12</v>
      </c>
      <c r="C1539">
        <v>146</v>
      </c>
      <c r="D1539">
        <v>42</v>
      </c>
      <c r="E1539" t="s">
        <v>13</v>
      </c>
      <c r="F1539" t="s">
        <v>171</v>
      </c>
      <c r="G1539">
        <v>326.51</v>
      </c>
      <c r="H1539" t="s">
        <v>20</v>
      </c>
      <c r="I1539" s="2">
        <v>45503</v>
      </c>
      <c r="J1539" s="2">
        <v>45521</v>
      </c>
    </row>
    <row r="1540" spans="1:11" x14ac:dyDescent="0.25">
      <c r="A1540" t="s">
        <v>73</v>
      </c>
      <c r="B1540" t="s">
        <v>16</v>
      </c>
      <c r="C1540">
        <v>79</v>
      </c>
      <c r="D1540">
        <v>94</v>
      </c>
      <c r="E1540" t="s">
        <v>19</v>
      </c>
      <c r="F1540" t="s">
        <v>173</v>
      </c>
      <c r="G1540">
        <v>403.18</v>
      </c>
      <c r="H1540" t="s">
        <v>26</v>
      </c>
      <c r="I1540" s="2">
        <v>45302</v>
      </c>
      <c r="J1540" s="2">
        <v>45336</v>
      </c>
      <c r="K1540" t="s">
        <v>172</v>
      </c>
    </row>
    <row r="1541" spans="1:11" x14ac:dyDescent="0.25">
      <c r="A1541" t="s">
        <v>84</v>
      </c>
      <c r="B1541" t="s">
        <v>23</v>
      </c>
      <c r="C1541">
        <v>167</v>
      </c>
      <c r="D1541">
        <v>41</v>
      </c>
      <c r="E1541" t="s">
        <v>13</v>
      </c>
      <c r="F1541" t="s">
        <v>173</v>
      </c>
      <c r="G1541">
        <v>358.97</v>
      </c>
      <c r="H1541" t="s">
        <v>26</v>
      </c>
      <c r="I1541" s="2">
        <v>45457</v>
      </c>
      <c r="J1541" s="2">
        <v>45507</v>
      </c>
      <c r="K1541" t="s">
        <v>21</v>
      </c>
    </row>
    <row r="1542" spans="1:11" x14ac:dyDescent="0.25">
      <c r="A1542" t="s">
        <v>136</v>
      </c>
      <c r="B1542" t="s">
        <v>30</v>
      </c>
      <c r="C1542">
        <v>91</v>
      </c>
      <c r="D1542">
        <v>41</v>
      </c>
      <c r="E1542" t="s">
        <v>13</v>
      </c>
      <c r="F1542" t="s">
        <v>171</v>
      </c>
      <c r="G1542">
        <v>298.61</v>
      </c>
      <c r="H1542" t="s">
        <v>20</v>
      </c>
      <c r="I1542" s="2">
        <v>45349</v>
      </c>
      <c r="J1542" s="2">
        <v>45395</v>
      </c>
      <c r="K1542" t="s">
        <v>172</v>
      </c>
    </row>
    <row r="1543" spans="1:11" x14ac:dyDescent="0.25">
      <c r="A1543" t="s">
        <v>86</v>
      </c>
      <c r="B1543" t="s">
        <v>16</v>
      </c>
      <c r="C1543">
        <v>96</v>
      </c>
      <c r="D1543">
        <v>48</v>
      </c>
      <c r="E1543" t="s">
        <v>13</v>
      </c>
      <c r="F1543" t="s">
        <v>171</v>
      </c>
      <c r="G1543">
        <v>31.41</v>
      </c>
      <c r="H1543" t="s">
        <v>14</v>
      </c>
      <c r="I1543" s="2">
        <v>45301</v>
      </c>
      <c r="J1543" s="2">
        <v>45343</v>
      </c>
    </row>
    <row r="1544" spans="1:11" x14ac:dyDescent="0.25">
      <c r="A1544" t="s">
        <v>141</v>
      </c>
      <c r="B1544" t="s">
        <v>16</v>
      </c>
      <c r="C1544">
        <v>58</v>
      </c>
      <c r="D1544">
        <v>32</v>
      </c>
      <c r="E1544" t="s">
        <v>13</v>
      </c>
      <c r="F1544" t="s">
        <v>171</v>
      </c>
      <c r="G1544">
        <v>230.11</v>
      </c>
      <c r="H1544" t="s">
        <v>20</v>
      </c>
      <c r="I1544" s="2">
        <v>45539</v>
      </c>
      <c r="J1544" s="2">
        <v>45554</v>
      </c>
    </row>
    <row r="1545" spans="1:11" x14ac:dyDescent="0.25">
      <c r="A1545" t="s">
        <v>72</v>
      </c>
      <c r="B1545" t="s">
        <v>23</v>
      </c>
      <c r="C1545">
        <v>58</v>
      </c>
      <c r="D1545">
        <v>21</v>
      </c>
      <c r="E1545" t="s">
        <v>13</v>
      </c>
      <c r="F1545" t="s">
        <v>171</v>
      </c>
      <c r="G1545">
        <v>339.02</v>
      </c>
      <c r="H1545" t="s">
        <v>26</v>
      </c>
      <c r="I1545" s="2">
        <v>45394</v>
      </c>
      <c r="J1545" s="2">
        <v>45468</v>
      </c>
      <c r="K1545" t="s">
        <v>17</v>
      </c>
    </row>
    <row r="1546" spans="1:11" x14ac:dyDescent="0.25">
      <c r="A1546" t="s">
        <v>125</v>
      </c>
      <c r="B1546" t="s">
        <v>30</v>
      </c>
      <c r="C1546">
        <v>47</v>
      </c>
      <c r="D1546">
        <v>48</v>
      </c>
      <c r="E1546" t="s">
        <v>19</v>
      </c>
      <c r="F1546" t="s">
        <v>173</v>
      </c>
      <c r="G1546">
        <v>340.38</v>
      </c>
      <c r="H1546" t="s">
        <v>26</v>
      </c>
      <c r="I1546" s="2">
        <v>45611</v>
      </c>
      <c r="J1546" s="2">
        <v>45681</v>
      </c>
      <c r="K1546" t="s">
        <v>172</v>
      </c>
    </row>
    <row r="1547" spans="1:11" x14ac:dyDescent="0.25">
      <c r="A1547" t="s">
        <v>151</v>
      </c>
      <c r="B1547" t="s">
        <v>28</v>
      </c>
      <c r="C1547">
        <v>168</v>
      </c>
      <c r="D1547">
        <v>98</v>
      </c>
      <c r="E1547" t="s">
        <v>13</v>
      </c>
      <c r="F1547" t="s">
        <v>173</v>
      </c>
      <c r="G1547">
        <v>189.7</v>
      </c>
      <c r="H1547" t="s">
        <v>14</v>
      </c>
      <c r="I1547" s="2">
        <v>45355</v>
      </c>
      <c r="J1547" s="2">
        <v>45404</v>
      </c>
      <c r="K1547" t="s">
        <v>172</v>
      </c>
    </row>
    <row r="1548" spans="1:11" x14ac:dyDescent="0.25">
      <c r="A1548" t="s">
        <v>143</v>
      </c>
      <c r="B1548" t="s">
        <v>28</v>
      </c>
      <c r="C1548">
        <v>12</v>
      </c>
      <c r="D1548">
        <v>71</v>
      </c>
      <c r="E1548" t="s">
        <v>19</v>
      </c>
      <c r="F1548" t="s">
        <v>170</v>
      </c>
      <c r="G1548">
        <v>471.14</v>
      </c>
      <c r="H1548" t="s">
        <v>20</v>
      </c>
      <c r="I1548" s="2">
        <v>45301</v>
      </c>
      <c r="J1548" s="2">
        <v>45345</v>
      </c>
      <c r="K1548" t="s">
        <v>172</v>
      </c>
    </row>
    <row r="1549" spans="1:11" x14ac:dyDescent="0.25">
      <c r="A1549" t="s">
        <v>109</v>
      </c>
      <c r="B1549" t="s">
        <v>16</v>
      </c>
      <c r="C1549">
        <v>106</v>
      </c>
      <c r="D1549">
        <v>46</v>
      </c>
      <c r="E1549" t="s">
        <v>13</v>
      </c>
      <c r="F1549" t="s">
        <v>170</v>
      </c>
      <c r="G1549">
        <v>87.84</v>
      </c>
      <c r="H1549" t="s">
        <v>20</v>
      </c>
      <c r="I1549" s="2">
        <v>45468</v>
      </c>
      <c r="J1549" s="2">
        <v>45536</v>
      </c>
      <c r="K1549" t="s">
        <v>21</v>
      </c>
    </row>
    <row r="1550" spans="1:11" x14ac:dyDescent="0.25">
      <c r="A1550" t="s">
        <v>138</v>
      </c>
      <c r="B1550" t="s">
        <v>30</v>
      </c>
      <c r="C1550">
        <v>44</v>
      </c>
      <c r="D1550">
        <v>69</v>
      </c>
      <c r="E1550" t="s">
        <v>19</v>
      </c>
      <c r="F1550" t="s">
        <v>173</v>
      </c>
      <c r="G1550">
        <v>252.68</v>
      </c>
      <c r="H1550" t="s">
        <v>20</v>
      </c>
      <c r="I1550" s="2">
        <v>45347</v>
      </c>
      <c r="J1550" s="2">
        <v>45397</v>
      </c>
      <c r="K1550" t="s">
        <v>17</v>
      </c>
    </row>
    <row r="1551" spans="1:11" x14ac:dyDescent="0.25">
      <c r="A1551" t="s">
        <v>154</v>
      </c>
      <c r="B1551" t="s">
        <v>16</v>
      </c>
      <c r="C1551">
        <v>88</v>
      </c>
      <c r="D1551">
        <v>98</v>
      </c>
      <c r="E1551" t="s">
        <v>19</v>
      </c>
      <c r="F1551" t="s">
        <v>170</v>
      </c>
      <c r="G1551">
        <v>346.99</v>
      </c>
      <c r="H1551" t="s">
        <v>26</v>
      </c>
      <c r="I1551" s="2">
        <v>45339</v>
      </c>
      <c r="J1551" s="2">
        <v>45408</v>
      </c>
    </row>
    <row r="1552" spans="1:11" x14ac:dyDescent="0.25">
      <c r="A1552" t="s">
        <v>156</v>
      </c>
      <c r="B1552" t="s">
        <v>12</v>
      </c>
      <c r="C1552">
        <v>180</v>
      </c>
      <c r="D1552">
        <v>42</v>
      </c>
      <c r="E1552" t="s">
        <v>13</v>
      </c>
      <c r="F1552" t="s">
        <v>173</v>
      </c>
      <c r="G1552">
        <v>350.08</v>
      </c>
      <c r="H1552" t="s">
        <v>20</v>
      </c>
      <c r="I1552" s="2">
        <v>45528</v>
      </c>
      <c r="J1552" s="2">
        <v>45600</v>
      </c>
    </row>
    <row r="1553" spans="1:11" x14ac:dyDescent="0.25">
      <c r="A1553" t="s">
        <v>130</v>
      </c>
      <c r="B1553" t="s">
        <v>16</v>
      </c>
      <c r="C1553">
        <v>169</v>
      </c>
      <c r="D1553">
        <v>63</v>
      </c>
      <c r="E1553" t="s">
        <v>13</v>
      </c>
      <c r="F1553" t="s">
        <v>170</v>
      </c>
      <c r="G1553">
        <v>326.08</v>
      </c>
      <c r="H1553" t="s">
        <v>14</v>
      </c>
      <c r="I1553" s="2">
        <v>45608</v>
      </c>
      <c r="J1553" s="2">
        <v>45687</v>
      </c>
      <c r="K1553" t="s">
        <v>17</v>
      </c>
    </row>
    <row r="1554" spans="1:11" x14ac:dyDescent="0.25">
      <c r="A1554" t="s">
        <v>127</v>
      </c>
      <c r="B1554" t="s">
        <v>16</v>
      </c>
      <c r="C1554">
        <v>99</v>
      </c>
      <c r="D1554">
        <v>96</v>
      </c>
      <c r="E1554" t="s">
        <v>13</v>
      </c>
      <c r="F1554" t="s">
        <v>171</v>
      </c>
      <c r="G1554">
        <v>141.27000000000001</v>
      </c>
      <c r="H1554" t="s">
        <v>26</v>
      </c>
      <c r="I1554" s="2">
        <v>45632</v>
      </c>
      <c r="J1554" s="2">
        <v>45715</v>
      </c>
    </row>
    <row r="1555" spans="1:11" x14ac:dyDescent="0.25">
      <c r="A1555" t="s">
        <v>152</v>
      </c>
      <c r="B1555" t="s">
        <v>28</v>
      </c>
      <c r="C1555">
        <v>190</v>
      </c>
      <c r="D1555">
        <v>41</v>
      </c>
      <c r="E1555" t="s">
        <v>13</v>
      </c>
      <c r="F1555" t="s">
        <v>170</v>
      </c>
      <c r="G1555">
        <v>82.32</v>
      </c>
      <c r="H1555" t="s">
        <v>26</v>
      </c>
      <c r="I1555" s="2">
        <v>45391</v>
      </c>
      <c r="J1555" s="2">
        <v>45456</v>
      </c>
    </row>
    <row r="1556" spans="1:11" x14ac:dyDescent="0.25">
      <c r="A1556" t="s">
        <v>73</v>
      </c>
      <c r="B1556" t="s">
        <v>28</v>
      </c>
      <c r="C1556">
        <v>154</v>
      </c>
      <c r="D1556">
        <v>62</v>
      </c>
      <c r="E1556" t="s">
        <v>13</v>
      </c>
      <c r="F1556" t="s">
        <v>171</v>
      </c>
      <c r="G1556">
        <v>319.79000000000002</v>
      </c>
      <c r="H1556" t="s">
        <v>20</v>
      </c>
      <c r="I1556" s="2">
        <v>45539</v>
      </c>
      <c r="J1556" s="2">
        <v>45575</v>
      </c>
      <c r="K1556" t="s">
        <v>17</v>
      </c>
    </row>
    <row r="1557" spans="1:11" x14ac:dyDescent="0.25">
      <c r="A1557" t="s">
        <v>110</v>
      </c>
      <c r="B1557" t="s">
        <v>28</v>
      </c>
      <c r="C1557">
        <v>165</v>
      </c>
      <c r="D1557">
        <v>56</v>
      </c>
      <c r="E1557" t="s">
        <v>13</v>
      </c>
      <c r="F1557" t="s">
        <v>171</v>
      </c>
      <c r="G1557">
        <v>301.64999999999998</v>
      </c>
      <c r="H1557" t="s">
        <v>14</v>
      </c>
      <c r="I1557" s="2">
        <v>45513</v>
      </c>
      <c r="J1557" s="2">
        <v>45580</v>
      </c>
    </row>
    <row r="1558" spans="1:11" x14ac:dyDescent="0.25">
      <c r="A1558" t="s">
        <v>132</v>
      </c>
      <c r="B1558" t="s">
        <v>12</v>
      </c>
      <c r="C1558">
        <v>187</v>
      </c>
      <c r="D1558">
        <v>80</v>
      </c>
      <c r="E1558" t="s">
        <v>13</v>
      </c>
      <c r="F1558" t="s">
        <v>171</v>
      </c>
      <c r="G1558">
        <v>93.78</v>
      </c>
      <c r="H1558" t="s">
        <v>26</v>
      </c>
      <c r="I1558" s="2">
        <v>45457</v>
      </c>
      <c r="J1558" s="2">
        <v>45507</v>
      </c>
      <c r="K1558" t="s">
        <v>172</v>
      </c>
    </row>
    <row r="1559" spans="1:11" x14ac:dyDescent="0.25">
      <c r="A1559" t="s">
        <v>139</v>
      </c>
      <c r="B1559" t="s">
        <v>28</v>
      </c>
      <c r="C1559">
        <v>6</v>
      </c>
      <c r="D1559">
        <v>75</v>
      </c>
      <c r="E1559" t="s">
        <v>19</v>
      </c>
      <c r="F1559" t="s">
        <v>171</v>
      </c>
      <c r="G1559">
        <v>354.04</v>
      </c>
      <c r="H1559" t="s">
        <v>26</v>
      </c>
      <c r="I1559" s="2">
        <v>45500</v>
      </c>
      <c r="J1559" s="2">
        <v>45582</v>
      </c>
      <c r="K1559" t="s">
        <v>21</v>
      </c>
    </row>
    <row r="1560" spans="1:11" x14ac:dyDescent="0.25">
      <c r="A1560" t="s">
        <v>118</v>
      </c>
      <c r="B1560" t="s">
        <v>30</v>
      </c>
      <c r="C1560">
        <v>132</v>
      </c>
      <c r="D1560">
        <v>22</v>
      </c>
      <c r="E1560" t="s">
        <v>13</v>
      </c>
      <c r="F1560" t="s">
        <v>170</v>
      </c>
      <c r="G1560">
        <v>230.31</v>
      </c>
      <c r="H1560" t="s">
        <v>20</v>
      </c>
      <c r="I1560" s="2">
        <v>45309</v>
      </c>
      <c r="J1560" s="2">
        <v>45359</v>
      </c>
      <c r="K1560" t="s">
        <v>17</v>
      </c>
    </row>
    <row r="1561" spans="1:11" x14ac:dyDescent="0.25">
      <c r="A1561" t="s">
        <v>157</v>
      </c>
      <c r="B1561" t="s">
        <v>23</v>
      </c>
      <c r="C1561">
        <v>44</v>
      </c>
      <c r="D1561">
        <v>82</v>
      </c>
      <c r="E1561" t="s">
        <v>19</v>
      </c>
      <c r="F1561" t="s">
        <v>173</v>
      </c>
      <c r="G1561">
        <v>335.54</v>
      </c>
      <c r="H1561" t="s">
        <v>20</v>
      </c>
      <c r="I1561" s="2">
        <v>45523</v>
      </c>
      <c r="J1561" s="2">
        <v>45589</v>
      </c>
      <c r="K1561" t="s">
        <v>21</v>
      </c>
    </row>
    <row r="1562" spans="1:11" x14ac:dyDescent="0.25">
      <c r="A1562" t="s">
        <v>102</v>
      </c>
      <c r="B1562" t="s">
        <v>30</v>
      </c>
      <c r="C1562">
        <v>57</v>
      </c>
      <c r="D1562">
        <v>38</v>
      </c>
      <c r="E1562" t="s">
        <v>13</v>
      </c>
      <c r="F1562" t="s">
        <v>171</v>
      </c>
      <c r="G1562">
        <v>419.5</v>
      </c>
      <c r="H1562" t="s">
        <v>14</v>
      </c>
      <c r="I1562" s="2">
        <v>45509</v>
      </c>
      <c r="J1562" s="2">
        <v>45576</v>
      </c>
    </row>
    <row r="1563" spans="1:11" x14ac:dyDescent="0.25">
      <c r="A1563" t="s">
        <v>89</v>
      </c>
      <c r="B1563" t="s">
        <v>30</v>
      </c>
      <c r="C1563">
        <v>30</v>
      </c>
      <c r="D1563">
        <v>42</v>
      </c>
      <c r="E1563" t="s">
        <v>19</v>
      </c>
      <c r="F1563" t="s">
        <v>170</v>
      </c>
      <c r="G1563">
        <v>89.02</v>
      </c>
      <c r="H1563" t="s">
        <v>20</v>
      </c>
      <c r="I1563" s="2">
        <v>45321</v>
      </c>
      <c r="J1563" s="2">
        <v>45385</v>
      </c>
    </row>
    <row r="1564" spans="1:11" x14ac:dyDescent="0.25">
      <c r="A1564" t="s">
        <v>158</v>
      </c>
      <c r="B1564" t="s">
        <v>28</v>
      </c>
      <c r="C1564">
        <v>22</v>
      </c>
      <c r="D1564">
        <v>48</v>
      </c>
      <c r="E1564" t="s">
        <v>19</v>
      </c>
      <c r="F1564" t="s">
        <v>171</v>
      </c>
      <c r="G1564">
        <v>14.48</v>
      </c>
      <c r="H1564" t="s">
        <v>14</v>
      </c>
      <c r="I1564" s="2">
        <v>45586</v>
      </c>
      <c r="J1564" s="2">
        <v>45641</v>
      </c>
      <c r="K1564" t="s">
        <v>172</v>
      </c>
    </row>
    <row r="1565" spans="1:11" x14ac:dyDescent="0.25">
      <c r="A1565" t="s">
        <v>91</v>
      </c>
      <c r="B1565" t="s">
        <v>23</v>
      </c>
      <c r="C1565">
        <v>169</v>
      </c>
      <c r="D1565">
        <v>49</v>
      </c>
      <c r="E1565" t="s">
        <v>13</v>
      </c>
      <c r="F1565" t="s">
        <v>170</v>
      </c>
      <c r="G1565">
        <v>390.66</v>
      </c>
      <c r="H1565" t="s">
        <v>26</v>
      </c>
      <c r="I1565" s="2">
        <v>45424</v>
      </c>
      <c r="J1565" s="2">
        <v>45456</v>
      </c>
      <c r="K1565" t="s">
        <v>17</v>
      </c>
    </row>
    <row r="1566" spans="1:11" x14ac:dyDescent="0.25">
      <c r="A1566" t="s">
        <v>114</v>
      </c>
      <c r="B1566" t="s">
        <v>23</v>
      </c>
      <c r="C1566">
        <v>137</v>
      </c>
      <c r="D1566">
        <v>58</v>
      </c>
      <c r="E1566" t="s">
        <v>13</v>
      </c>
      <c r="F1566" t="s">
        <v>170</v>
      </c>
      <c r="G1566">
        <v>306.8</v>
      </c>
      <c r="H1566" t="s">
        <v>14</v>
      </c>
      <c r="I1566" s="2">
        <v>45323</v>
      </c>
      <c r="J1566" s="2">
        <v>45359</v>
      </c>
    </row>
    <row r="1567" spans="1:11" x14ac:dyDescent="0.25">
      <c r="A1567" t="s">
        <v>98</v>
      </c>
      <c r="B1567" t="s">
        <v>23</v>
      </c>
      <c r="C1567">
        <v>159</v>
      </c>
      <c r="D1567">
        <v>44</v>
      </c>
      <c r="E1567" t="s">
        <v>13</v>
      </c>
      <c r="F1567" t="s">
        <v>170</v>
      </c>
      <c r="G1567">
        <v>351.32</v>
      </c>
      <c r="H1567" t="s">
        <v>14</v>
      </c>
      <c r="I1567" s="2">
        <v>45358</v>
      </c>
      <c r="J1567" s="2">
        <v>45438</v>
      </c>
      <c r="K1567" t="s">
        <v>17</v>
      </c>
    </row>
    <row r="1568" spans="1:11" x14ac:dyDescent="0.25">
      <c r="A1568" t="s">
        <v>152</v>
      </c>
      <c r="B1568" t="s">
        <v>12</v>
      </c>
      <c r="C1568">
        <v>106</v>
      </c>
      <c r="D1568">
        <v>27</v>
      </c>
      <c r="E1568" t="s">
        <v>13</v>
      </c>
      <c r="F1568" t="s">
        <v>173</v>
      </c>
      <c r="G1568">
        <v>419.89</v>
      </c>
      <c r="H1568" t="s">
        <v>14</v>
      </c>
      <c r="I1568" s="2">
        <v>45503</v>
      </c>
      <c r="J1568" s="2">
        <v>45538</v>
      </c>
      <c r="K1568" t="s">
        <v>17</v>
      </c>
    </row>
    <row r="1569" spans="1:11" x14ac:dyDescent="0.25">
      <c r="A1569" t="s">
        <v>142</v>
      </c>
      <c r="B1569" t="s">
        <v>28</v>
      </c>
      <c r="C1569">
        <v>180</v>
      </c>
      <c r="D1569">
        <v>77</v>
      </c>
      <c r="E1569" t="s">
        <v>13</v>
      </c>
      <c r="F1569" t="s">
        <v>170</v>
      </c>
      <c r="G1569">
        <v>402.39</v>
      </c>
      <c r="H1569" t="s">
        <v>26</v>
      </c>
      <c r="I1569" s="2">
        <v>45567</v>
      </c>
      <c r="J1569" s="2">
        <v>45625</v>
      </c>
      <c r="K1569" t="s">
        <v>17</v>
      </c>
    </row>
    <row r="1570" spans="1:11" x14ac:dyDescent="0.25">
      <c r="A1570" t="s">
        <v>161</v>
      </c>
      <c r="B1570" t="s">
        <v>23</v>
      </c>
      <c r="C1570">
        <v>157</v>
      </c>
      <c r="D1570">
        <v>35</v>
      </c>
      <c r="E1570" t="s">
        <v>13</v>
      </c>
      <c r="F1570" t="s">
        <v>170</v>
      </c>
      <c r="G1570">
        <v>480.66</v>
      </c>
      <c r="H1570" t="s">
        <v>20</v>
      </c>
      <c r="I1570" s="2">
        <v>45323</v>
      </c>
      <c r="J1570" s="2">
        <v>45384</v>
      </c>
      <c r="K1570" t="s">
        <v>17</v>
      </c>
    </row>
    <row r="1571" spans="1:11" x14ac:dyDescent="0.25">
      <c r="A1571" t="s">
        <v>90</v>
      </c>
      <c r="B1571" t="s">
        <v>12</v>
      </c>
      <c r="C1571">
        <v>38</v>
      </c>
      <c r="D1571">
        <v>91</v>
      </c>
      <c r="E1571" t="s">
        <v>19</v>
      </c>
      <c r="F1571" t="s">
        <v>173</v>
      </c>
      <c r="G1571">
        <v>270.29000000000002</v>
      </c>
      <c r="H1571" t="s">
        <v>26</v>
      </c>
      <c r="I1571" s="2">
        <v>45458</v>
      </c>
      <c r="J1571" s="2">
        <v>45511</v>
      </c>
      <c r="K1571" t="s">
        <v>17</v>
      </c>
    </row>
    <row r="1572" spans="1:11" x14ac:dyDescent="0.25">
      <c r="A1572" t="s">
        <v>123</v>
      </c>
      <c r="B1572" t="s">
        <v>16</v>
      </c>
      <c r="C1572">
        <v>158</v>
      </c>
      <c r="D1572">
        <v>20</v>
      </c>
      <c r="E1572" t="s">
        <v>13</v>
      </c>
      <c r="F1572" t="s">
        <v>173</v>
      </c>
      <c r="G1572">
        <v>246.81</v>
      </c>
      <c r="H1572" t="s">
        <v>20</v>
      </c>
      <c r="I1572" s="2">
        <v>45496</v>
      </c>
      <c r="J1572" s="2">
        <v>45539</v>
      </c>
      <c r="K1572" t="s">
        <v>21</v>
      </c>
    </row>
    <row r="1573" spans="1:11" x14ac:dyDescent="0.25">
      <c r="A1573" t="s">
        <v>128</v>
      </c>
      <c r="B1573" t="s">
        <v>16</v>
      </c>
      <c r="C1573">
        <v>81</v>
      </c>
      <c r="D1573">
        <v>24</v>
      </c>
      <c r="E1573" t="s">
        <v>13</v>
      </c>
      <c r="F1573" t="s">
        <v>170</v>
      </c>
      <c r="G1573">
        <v>203.93</v>
      </c>
      <c r="H1573" t="s">
        <v>14</v>
      </c>
      <c r="I1573" s="2">
        <v>45631</v>
      </c>
      <c r="J1573" s="2">
        <v>45699</v>
      </c>
      <c r="K1573" t="s">
        <v>172</v>
      </c>
    </row>
    <row r="1574" spans="1:11" x14ac:dyDescent="0.25">
      <c r="A1574" t="s">
        <v>27</v>
      </c>
      <c r="B1574" t="s">
        <v>12</v>
      </c>
      <c r="C1574">
        <v>99</v>
      </c>
      <c r="D1574">
        <v>22</v>
      </c>
      <c r="E1574" t="s">
        <v>13</v>
      </c>
      <c r="F1574" t="s">
        <v>173</v>
      </c>
      <c r="G1574">
        <v>81.08</v>
      </c>
      <c r="H1574" t="s">
        <v>14</v>
      </c>
      <c r="I1574" s="2">
        <v>45536</v>
      </c>
      <c r="J1574" s="2">
        <v>45567</v>
      </c>
      <c r="K1574" t="s">
        <v>17</v>
      </c>
    </row>
    <row r="1575" spans="1:11" x14ac:dyDescent="0.25">
      <c r="A1575" t="s">
        <v>126</v>
      </c>
      <c r="B1575" t="s">
        <v>12</v>
      </c>
      <c r="C1575">
        <v>1</v>
      </c>
      <c r="D1575">
        <v>84</v>
      </c>
      <c r="E1575" t="s">
        <v>19</v>
      </c>
      <c r="F1575" t="s">
        <v>171</v>
      </c>
      <c r="G1575">
        <v>288.44</v>
      </c>
      <c r="H1575" t="s">
        <v>14</v>
      </c>
      <c r="I1575" s="2">
        <v>45356</v>
      </c>
      <c r="J1575" s="2">
        <v>45430</v>
      </c>
      <c r="K1575" t="s">
        <v>21</v>
      </c>
    </row>
    <row r="1576" spans="1:11" x14ac:dyDescent="0.25">
      <c r="A1576" t="s">
        <v>43</v>
      </c>
      <c r="B1576" t="s">
        <v>28</v>
      </c>
      <c r="C1576">
        <v>76</v>
      </c>
      <c r="D1576">
        <v>23</v>
      </c>
      <c r="E1576" t="s">
        <v>13</v>
      </c>
      <c r="F1576" t="s">
        <v>171</v>
      </c>
      <c r="G1576">
        <v>142.12</v>
      </c>
      <c r="H1576" t="s">
        <v>14</v>
      </c>
      <c r="I1576" s="2">
        <v>45445</v>
      </c>
      <c r="J1576" s="2">
        <v>45490</v>
      </c>
    </row>
    <row r="1577" spans="1:11" x14ac:dyDescent="0.25">
      <c r="A1577" t="s">
        <v>153</v>
      </c>
      <c r="B1577" t="s">
        <v>28</v>
      </c>
      <c r="C1577">
        <v>11</v>
      </c>
      <c r="D1577">
        <v>83</v>
      </c>
      <c r="E1577" t="s">
        <v>19</v>
      </c>
      <c r="F1577" t="s">
        <v>173</v>
      </c>
      <c r="G1577">
        <v>461.05</v>
      </c>
      <c r="H1577" t="s">
        <v>14</v>
      </c>
      <c r="I1577" s="2">
        <v>45594</v>
      </c>
      <c r="J1577" s="2">
        <v>45681</v>
      </c>
      <c r="K1577" t="s">
        <v>17</v>
      </c>
    </row>
    <row r="1578" spans="1:11" x14ac:dyDescent="0.25">
      <c r="A1578" t="s">
        <v>109</v>
      </c>
      <c r="B1578" t="s">
        <v>16</v>
      </c>
      <c r="C1578">
        <v>38</v>
      </c>
      <c r="D1578">
        <v>29</v>
      </c>
      <c r="E1578" t="s">
        <v>13</v>
      </c>
      <c r="F1578" t="s">
        <v>173</v>
      </c>
      <c r="G1578">
        <v>293.68</v>
      </c>
      <c r="H1578" t="s">
        <v>20</v>
      </c>
      <c r="I1578" s="2">
        <v>45589</v>
      </c>
      <c r="J1578" s="2">
        <v>45652</v>
      </c>
    </row>
    <row r="1579" spans="1:11" x14ac:dyDescent="0.25">
      <c r="A1579" t="s">
        <v>127</v>
      </c>
      <c r="B1579" t="s">
        <v>23</v>
      </c>
      <c r="C1579">
        <v>193</v>
      </c>
      <c r="D1579">
        <v>40</v>
      </c>
      <c r="E1579" t="s">
        <v>13</v>
      </c>
      <c r="F1579" t="s">
        <v>170</v>
      </c>
      <c r="G1579">
        <v>298.45999999999998</v>
      </c>
      <c r="H1579" t="s">
        <v>20</v>
      </c>
      <c r="I1579" s="2">
        <v>45404</v>
      </c>
      <c r="J1579" s="2">
        <v>45420</v>
      </c>
      <c r="K1579" t="s">
        <v>17</v>
      </c>
    </row>
    <row r="1580" spans="1:11" x14ac:dyDescent="0.25">
      <c r="A1580" t="s">
        <v>76</v>
      </c>
      <c r="B1580" t="s">
        <v>16</v>
      </c>
      <c r="C1580">
        <v>12</v>
      </c>
      <c r="D1580">
        <v>65</v>
      </c>
      <c r="E1580" t="s">
        <v>19</v>
      </c>
      <c r="F1580" t="s">
        <v>173</v>
      </c>
      <c r="G1580">
        <v>180.69</v>
      </c>
      <c r="H1580" t="s">
        <v>14</v>
      </c>
      <c r="I1580" s="2">
        <v>45655</v>
      </c>
      <c r="J1580" s="2">
        <v>45717</v>
      </c>
      <c r="K1580" t="s">
        <v>21</v>
      </c>
    </row>
    <row r="1581" spans="1:11" x14ac:dyDescent="0.25">
      <c r="A1581" t="s">
        <v>108</v>
      </c>
      <c r="B1581" t="s">
        <v>23</v>
      </c>
      <c r="C1581">
        <v>45</v>
      </c>
      <c r="D1581">
        <v>46</v>
      </c>
      <c r="E1581" t="s">
        <v>19</v>
      </c>
      <c r="F1581" t="s">
        <v>170</v>
      </c>
      <c r="G1581">
        <v>30.73</v>
      </c>
      <c r="H1581" t="s">
        <v>26</v>
      </c>
      <c r="I1581" s="2">
        <v>45549</v>
      </c>
      <c r="J1581" s="2">
        <v>45577</v>
      </c>
      <c r="K1581" t="s">
        <v>21</v>
      </c>
    </row>
    <row r="1582" spans="1:11" x14ac:dyDescent="0.25">
      <c r="A1582" t="s">
        <v>54</v>
      </c>
      <c r="B1582" t="s">
        <v>23</v>
      </c>
      <c r="C1582">
        <v>154</v>
      </c>
      <c r="D1582">
        <v>85</v>
      </c>
      <c r="E1582" t="s">
        <v>13</v>
      </c>
      <c r="F1582" t="s">
        <v>171</v>
      </c>
      <c r="G1582">
        <v>20.71</v>
      </c>
      <c r="H1582" t="s">
        <v>26</v>
      </c>
      <c r="I1582" s="2">
        <v>45371</v>
      </c>
      <c r="J1582" s="2">
        <v>45444</v>
      </c>
      <c r="K1582" t="s">
        <v>21</v>
      </c>
    </row>
    <row r="1583" spans="1:11" x14ac:dyDescent="0.25">
      <c r="A1583" t="s">
        <v>82</v>
      </c>
      <c r="B1583" t="s">
        <v>28</v>
      </c>
      <c r="C1583">
        <v>112</v>
      </c>
      <c r="D1583">
        <v>60</v>
      </c>
      <c r="E1583" t="s">
        <v>13</v>
      </c>
      <c r="F1583" t="s">
        <v>173</v>
      </c>
      <c r="G1583">
        <v>214.55</v>
      </c>
      <c r="H1583" t="s">
        <v>14</v>
      </c>
      <c r="I1583" s="2">
        <v>45608</v>
      </c>
      <c r="J1583" s="2">
        <v>45680</v>
      </c>
      <c r="K1583" t="s">
        <v>172</v>
      </c>
    </row>
    <row r="1584" spans="1:11" x14ac:dyDescent="0.25">
      <c r="A1584" t="s">
        <v>152</v>
      </c>
      <c r="B1584" t="s">
        <v>30</v>
      </c>
      <c r="C1584">
        <v>16</v>
      </c>
      <c r="D1584">
        <v>32</v>
      </c>
      <c r="E1584" t="s">
        <v>19</v>
      </c>
      <c r="F1584" t="s">
        <v>170</v>
      </c>
      <c r="G1584">
        <v>46.86</v>
      </c>
      <c r="H1584" t="s">
        <v>20</v>
      </c>
      <c r="I1584" s="2">
        <v>45517</v>
      </c>
      <c r="J1584" s="2">
        <v>45589</v>
      </c>
    </row>
    <row r="1585" spans="1:11" x14ac:dyDescent="0.25">
      <c r="A1585" t="s">
        <v>162</v>
      </c>
      <c r="B1585" t="s">
        <v>30</v>
      </c>
      <c r="C1585">
        <v>103</v>
      </c>
      <c r="D1585">
        <v>28</v>
      </c>
      <c r="E1585" t="s">
        <v>13</v>
      </c>
      <c r="F1585" t="s">
        <v>170</v>
      </c>
      <c r="G1585">
        <v>305.39</v>
      </c>
      <c r="H1585" t="s">
        <v>26</v>
      </c>
      <c r="I1585" s="2">
        <v>45439</v>
      </c>
      <c r="J1585" s="2">
        <v>45504</v>
      </c>
      <c r="K1585" t="s">
        <v>172</v>
      </c>
    </row>
    <row r="1586" spans="1:11" x14ac:dyDescent="0.25">
      <c r="A1586" t="s">
        <v>104</v>
      </c>
      <c r="B1586" t="s">
        <v>12</v>
      </c>
      <c r="C1586">
        <v>97</v>
      </c>
      <c r="D1586">
        <v>55</v>
      </c>
      <c r="E1586" t="s">
        <v>13</v>
      </c>
      <c r="F1586" t="s">
        <v>171</v>
      </c>
      <c r="G1586">
        <v>441.08</v>
      </c>
      <c r="H1586" t="s">
        <v>26</v>
      </c>
      <c r="I1586" s="2">
        <v>45613</v>
      </c>
      <c r="J1586" s="2">
        <v>45629</v>
      </c>
      <c r="K1586" t="s">
        <v>17</v>
      </c>
    </row>
    <row r="1587" spans="1:11" x14ac:dyDescent="0.25">
      <c r="A1587" t="s">
        <v>119</v>
      </c>
      <c r="B1587" t="s">
        <v>28</v>
      </c>
      <c r="C1587">
        <v>187</v>
      </c>
      <c r="D1587">
        <v>77</v>
      </c>
      <c r="E1587" t="s">
        <v>13</v>
      </c>
      <c r="F1587" t="s">
        <v>173</v>
      </c>
      <c r="G1587">
        <v>442.04</v>
      </c>
      <c r="H1587" t="s">
        <v>26</v>
      </c>
      <c r="I1587" s="2">
        <v>45388</v>
      </c>
      <c r="J1587" s="2">
        <v>45443</v>
      </c>
    </row>
    <row r="1588" spans="1:11" x14ac:dyDescent="0.25">
      <c r="A1588" t="s">
        <v>147</v>
      </c>
      <c r="B1588" t="s">
        <v>23</v>
      </c>
      <c r="C1588">
        <v>191</v>
      </c>
      <c r="D1588">
        <v>73</v>
      </c>
      <c r="E1588" t="s">
        <v>13</v>
      </c>
      <c r="F1588" t="s">
        <v>171</v>
      </c>
      <c r="G1588">
        <v>331.23</v>
      </c>
      <c r="H1588" t="s">
        <v>14</v>
      </c>
      <c r="I1588" s="2">
        <v>45579</v>
      </c>
      <c r="J1588" s="2">
        <v>45609</v>
      </c>
      <c r="K1588" t="s">
        <v>21</v>
      </c>
    </row>
    <row r="1589" spans="1:11" x14ac:dyDescent="0.25">
      <c r="A1589" t="s">
        <v>153</v>
      </c>
      <c r="B1589" t="s">
        <v>30</v>
      </c>
      <c r="C1589">
        <v>87</v>
      </c>
      <c r="D1589">
        <v>31</v>
      </c>
      <c r="E1589" t="s">
        <v>13</v>
      </c>
      <c r="F1589" t="s">
        <v>170</v>
      </c>
      <c r="G1589">
        <v>109.56</v>
      </c>
      <c r="H1589" t="s">
        <v>26</v>
      </c>
      <c r="I1589" s="2">
        <v>45441</v>
      </c>
      <c r="J1589" s="2">
        <v>45459</v>
      </c>
    </row>
    <row r="1590" spans="1:11" x14ac:dyDescent="0.25">
      <c r="A1590" t="s">
        <v>90</v>
      </c>
      <c r="B1590" t="s">
        <v>23</v>
      </c>
      <c r="C1590">
        <v>108</v>
      </c>
      <c r="D1590">
        <v>97</v>
      </c>
      <c r="E1590" t="s">
        <v>13</v>
      </c>
      <c r="F1590" t="s">
        <v>170</v>
      </c>
      <c r="G1590">
        <v>432.18</v>
      </c>
      <c r="H1590" t="s">
        <v>26</v>
      </c>
      <c r="I1590" s="2">
        <v>45559</v>
      </c>
      <c r="J1590" s="2">
        <v>45585</v>
      </c>
      <c r="K1590" t="s">
        <v>21</v>
      </c>
    </row>
    <row r="1591" spans="1:11" x14ac:dyDescent="0.25">
      <c r="A1591" t="s">
        <v>126</v>
      </c>
      <c r="B1591" t="s">
        <v>30</v>
      </c>
      <c r="C1591">
        <v>162</v>
      </c>
      <c r="D1591">
        <v>33</v>
      </c>
      <c r="E1591" t="s">
        <v>13</v>
      </c>
      <c r="F1591" t="s">
        <v>173</v>
      </c>
      <c r="G1591">
        <v>443.62</v>
      </c>
      <c r="H1591" t="s">
        <v>26</v>
      </c>
      <c r="I1591" s="2">
        <v>45421</v>
      </c>
      <c r="J1591" s="2">
        <v>45464</v>
      </c>
      <c r="K1591" t="s">
        <v>172</v>
      </c>
    </row>
    <row r="1592" spans="1:11" x14ac:dyDescent="0.25">
      <c r="A1592" t="s">
        <v>82</v>
      </c>
      <c r="B1592" t="s">
        <v>30</v>
      </c>
      <c r="C1592">
        <v>69</v>
      </c>
      <c r="D1592">
        <v>53</v>
      </c>
      <c r="E1592" t="s">
        <v>13</v>
      </c>
      <c r="F1592" t="s">
        <v>170</v>
      </c>
      <c r="G1592">
        <v>102.34</v>
      </c>
      <c r="H1592" t="s">
        <v>26</v>
      </c>
      <c r="I1592" s="2">
        <v>45375</v>
      </c>
      <c r="J1592" s="2">
        <v>45396</v>
      </c>
      <c r="K1592" t="s">
        <v>172</v>
      </c>
    </row>
    <row r="1593" spans="1:11" x14ac:dyDescent="0.25">
      <c r="A1593" t="s">
        <v>117</v>
      </c>
      <c r="B1593" t="s">
        <v>30</v>
      </c>
      <c r="C1593">
        <v>157</v>
      </c>
      <c r="D1593">
        <v>72</v>
      </c>
      <c r="E1593" t="s">
        <v>13</v>
      </c>
      <c r="F1593" t="s">
        <v>173</v>
      </c>
      <c r="G1593">
        <v>370.03</v>
      </c>
      <c r="H1593" t="s">
        <v>20</v>
      </c>
      <c r="I1593" s="2">
        <v>45508</v>
      </c>
      <c r="J1593" s="2">
        <v>45536</v>
      </c>
      <c r="K1593" t="s">
        <v>21</v>
      </c>
    </row>
    <row r="1594" spans="1:11" x14ac:dyDescent="0.25">
      <c r="A1594" t="s">
        <v>132</v>
      </c>
      <c r="B1594" t="s">
        <v>28</v>
      </c>
      <c r="C1594">
        <v>198</v>
      </c>
      <c r="D1594">
        <v>39</v>
      </c>
      <c r="E1594" t="s">
        <v>13</v>
      </c>
      <c r="F1594" t="s">
        <v>171</v>
      </c>
      <c r="G1594">
        <v>146.83000000000001</v>
      </c>
      <c r="H1594" t="s">
        <v>14</v>
      </c>
      <c r="I1594" s="2">
        <v>45353</v>
      </c>
      <c r="J1594" s="2">
        <v>45379</v>
      </c>
      <c r="K1594" t="s">
        <v>21</v>
      </c>
    </row>
    <row r="1595" spans="1:11" x14ac:dyDescent="0.25">
      <c r="A1595" t="s">
        <v>66</v>
      </c>
      <c r="B1595" t="s">
        <v>16</v>
      </c>
      <c r="C1595">
        <v>73</v>
      </c>
      <c r="D1595">
        <v>94</v>
      </c>
      <c r="E1595" t="s">
        <v>19</v>
      </c>
      <c r="F1595" t="s">
        <v>173</v>
      </c>
      <c r="G1595">
        <v>402.31</v>
      </c>
      <c r="H1595" t="s">
        <v>14</v>
      </c>
      <c r="I1595" s="2">
        <v>45591</v>
      </c>
      <c r="J1595" s="2">
        <v>45610</v>
      </c>
      <c r="K1595" t="s">
        <v>17</v>
      </c>
    </row>
    <row r="1596" spans="1:11" x14ac:dyDescent="0.25">
      <c r="A1596" t="s">
        <v>72</v>
      </c>
      <c r="B1596" t="s">
        <v>23</v>
      </c>
      <c r="C1596">
        <v>62</v>
      </c>
      <c r="D1596">
        <v>35</v>
      </c>
      <c r="E1596" t="s">
        <v>13</v>
      </c>
      <c r="F1596" t="s">
        <v>173</v>
      </c>
      <c r="G1596">
        <v>498.63</v>
      </c>
      <c r="H1596" t="s">
        <v>20</v>
      </c>
      <c r="I1596" s="2">
        <v>45423</v>
      </c>
      <c r="J1596" s="2">
        <v>45469</v>
      </c>
      <c r="K1596" t="s">
        <v>172</v>
      </c>
    </row>
    <row r="1597" spans="1:11" x14ac:dyDescent="0.25">
      <c r="A1597" t="s">
        <v>86</v>
      </c>
      <c r="B1597" t="s">
        <v>28</v>
      </c>
      <c r="C1597">
        <v>155</v>
      </c>
      <c r="D1597">
        <v>89</v>
      </c>
      <c r="E1597" t="s">
        <v>13</v>
      </c>
      <c r="F1597" t="s">
        <v>170</v>
      </c>
      <c r="G1597">
        <v>19.86</v>
      </c>
      <c r="H1597" t="s">
        <v>20</v>
      </c>
      <c r="I1597" s="2">
        <v>45570</v>
      </c>
      <c r="J1597" s="2">
        <v>45658</v>
      </c>
      <c r="K1597" t="s">
        <v>172</v>
      </c>
    </row>
    <row r="1598" spans="1:11" x14ac:dyDescent="0.25">
      <c r="A1598" t="s">
        <v>162</v>
      </c>
      <c r="B1598" t="s">
        <v>28</v>
      </c>
      <c r="C1598">
        <v>59</v>
      </c>
      <c r="D1598">
        <v>75</v>
      </c>
      <c r="E1598" t="s">
        <v>19</v>
      </c>
      <c r="F1598" t="s">
        <v>170</v>
      </c>
      <c r="G1598">
        <v>449.2</v>
      </c>
      <c r="H1598" t="s">
        <v>14</v>
      </c>
      <c r="I1598" s="2">
        <v>45578</v>
      </c>
      <c r="J1598" s="2">
        <v>45635</v>
      </c>
      <c r="K1598" t="s">
        <v>17</v>
      </c>
    </row>
    <row r="1599" spans="1:11" x14ac:dyDescent="0.25">
      <c r="A1599" t="s">
        <v>73</v>
      </c>
      <c r="B1599" t="s">
        <v>28</v>
      </c>
      <c r="C1599">
        <v>78</v>
      </c>
      <c r="D1599">
        <v>77</v>
      </c>
      <c r="E1599" t="s">
        <v>13</v>
      </c>
      <c r="F1599" t="s">
        <v>173</v>
      </c>
      <c r="G1599">
        <v>313.2</v>
      </c>
      <c r="H1599" t="s">
        <v>26</v>
      </c>
      <c r="I1599" s="2">
        <v>45452</v>
      </c>
      <c r="J1599" s="2">
        <v>45535</v>
      </c>
      <c r="K1599" t="s">
        <v>172</v>
      </c>
    </row>
    <row r="1600" spans="1:11" x14ac:dyDescent="0.25">
      <c r="A1600" t="s">
        <v>147</v>
      </c>
      <c r="B1600" t="s">
        <v>28</v>
      </c>
      <c r="C1600">
        <v>36</v>
      </c>
      <c r="D1600">
        <v>23</v>
      </c>
      <c r="E1600" t="s">
        <v>13</v>
      </c>
      <c r="F1600" t="s">
        <v>170</v>
      </c>
      <c r="G1600">
        <v>486.82</v>
      </c>
      <c r="H1600" t="s">
        <v>26</v>
      </c>
      <c r="I1600" s="2">
        <v>45378</v>
      </c>
      <c r="J1600" s="2">
        <v>45437</v>
      </c>
      <c r="K1600" t="s">
        <v>21</v>
      </c>
    </row>
    <row r="1601" spans="1:11" x14ac:dyDescent="0.25">
      <c r="A1601" t="s">
        <v>140</v>
      </c>
      <c r="B1601" t="s">
        <v>28</v>
      </c>
      <c r="C1601">
        <v>21</v>
      </c>
      <c r="D1601">
        <v>23</v>
      </c>
      <c r="E1601" t="s">
        <v>19</v>
      </c>
      <c r="F1601" t="s">
        <v>170</v>
      </c>
      <c r="G1601">
        <v>235.18</v>
      </c>
      <c r="H1601" t="s">
        <v>14</v>
      </c>
      <c r="I1601" s="2">
        <v>45320</v>
      </c>
      <c r="J1601" s="2">
        <v>45343</v>
      </c>
    </row>
    <row r="1602" spans="1:11" x14ac:dyDescent="0.25">
      <c r="A1602" t="s">
        <v>86</v>
      </c>
      <c r="B1602" t="s">
        <v>12</v>
      </c>
      <c r="C1602">
        <v>195</v>
      </c>
      <c r="D1602">
        <v>39</v>
      </c>
      <c r="E1602" t="s">
        <v>13</v>
      </c>
      <c r="F1602" t="s">
        <v>170</v>
      </c>
      <c r="G1602">
        <v>424.46</v>
      </c>
      <c r="H1602" t="s">
        <v>26</v>
      </c>
      <c r="I1602" s="2">
        <v>45403</v>
      </c>
      <c r="J1602" s="2">
        <v>45466</v>
      </c>
    </row>
    <row r="1603" spans="1:11" x14ac:dyDescent="0.25">
      <c r="A1603" t="s">
        <v>42</v>
      </c>
      <c r="B1603" t="s">
        <v>23</v>
      </c>
      <c r="C1603">
        <v>147</v>
      </c>
      <c r="D1603">
        <v>29</v>
      </c>
      <c r="E1603" t="s">
        <v>13</v>
      </c>
      <c r="F1603" t="s">
        <v>173</v>
      </c>
      <c r="G1603">
        <v>35.89</v>
      </c>
      <c r="H1603" t="s">
        <v>20</v>
      </c>
      <c r="I1603" s="2">
        <v>45353</v>
      </c>
      <c r="J1603" s="2">
        <v>45400</v>
      </c>
      <c r="K1603" t="s">
        <v>172</v>
      </c>
    </row>
    <row r="1604" spans="1:11" x14ac:dyDescent="0.25">
      <c r="A1604" t="s">
        <v>143</v>
      </c>
      <c r="B1604" t="s">
        <v>28</v>
      </c>
      <c r="C1604">
        <v>95</v>
      </c>
      <c r="D1604">
        <v>43</v>
      </c>
      <c r="E1604" t="s">
        <v>13</v>
      </c>
      <c r="F1604" t="s">
        <v>170</v>
      </c>
      <c r="G1604">
        <v>170.96</v>
      </c>
      <c r="H1604" t="s">
        <v>26</v>
      </c>
      <c r="I1604" s="2">
        <v>45527</v>
      </c>
      <c r="J1604" s="2">
        <v>45559</v>
      </c>
      <c r="K1604" t="s">
        <v>17</v>
      </c>
    </row>
    <row r="1605" spans="1:11" x14ac:dyDescent="0.25">
      <c r="A1605" t="s">
        <v>156</v>
      </c>
      <c r="B1605" t="s">
        <v>23</v>
      </c>
      <c r="C1605">
        <v>67</v>
      </c>
      <c r="D1605">
        <v>45</v>
      </c>
      <c r="E1605" t="s">
        <v>13</v>
      </c>
      <c r="F1605" t="s">
        <v>173</v>
      </c>
      <c r="G1605">
        <v>38.17</v>
      </c>
      <c r="H1605" t="s">
        <v>26</v>
      </c>
      <c r="I1605" s="2">
        <v>45573</v>
      </c>
      <c r="J1605" s="2">
        <v>45596</v>
      </c>
      <c r="K1605" t="s">
        <v>21</v>
      </c>
    </row>
    <row r="1606" spans="1:11" x14ac:dyDescent="0.25">
      <c r="A1606" t="s">
        <v>85</v>
      </c>
      <c r="B1606" t="s">
        <v>12</v>
      </c>
      <c r="C1606">
        <v>191</v>
      </c>
      <c r="D1606">
        <v>56</v>
      </c>
      <c r="E1606" t="s">
        <v>13</v>
      </c>
      <c r="F1606" t="s">
        <v>170</v>
      </c>
      <c r="G1606">
        <v>487.79</v>
      </c>
      <c r="H1606" t="s">
        <v>26</v>
      </c>
      <c r="I1606" s="2">
        <v>45381</v>
      </c>
      <c r="J1606" s="2">
        <v>45457</v>
      </c>
    </row>
    <row r="1607" spans="1:11" x14ac:dyDescent="0.25">
      <c r="A1607" t="s">
        <v>87</v>
      </c>
      <c r="B1607" t="s">
        <v>12</v>
      </c>
      <c r="C1607">
        <v>16</v>
      </c>
      <c r="D1607">
        <v>73</v>
      </c>
      <c r="E1607" t="s">
        <v>19</v>
      </c>
      <c r="F1607" t="s">
        <v>171</v>
      </c>
      <c r="G1607">
        <v>409.4</v>
      </c>
      <c r="H1607" t="s">
        <v>14</v>
      </c>
      <c r="I1607" s="2">
        <v>45470</v>
      </c>
      <c r="J1607" s="2">
        <v>45541</v>
      </c>
      <c r="K1607" t="s">
        <v>21</v>
      </c>
    </row>
    <row r="1608" spans="1:11" x14ac:dyDescent="0.25">
      <c r="A1608" t="s">
        <v>153</v>
      </c>
      <c r="B1608" t="s">
        <v>23</v>
      </c>
      <c r="C1608">
        <v>11</v>
      </c>
      <c r="D1608">
        <v>40</v>
      </c>
      <c r="E1608" t="s">
        <v>19</v>
      </c>
      <c r="F1608" t="s">
        <v>170</v>
      </c>
      <c r="G1608">
        <v>427.01</v>
      </c>
      <c r="H1608" t="s">
        <v>20</v>
      </c>
      <c r="I1608" s="2">
        <v>45611</v>
      </c>
      <c r="J1608" s="2">
        <v>45654</v>
      </c>
      <c r="K1608" t="s">
        <v>172</v>
      </c>
    </row>
    <row r="1609" spans="1:11" x14ac:dyDescent="0.25">
      <c r="A1609" t="s">
        <v>132</v>
      </c>
      <c r="B1609" t="s">
        <v>30</v>
      </c>
      <c r="C1609">
        <v>149</v>
      </c>
      <c r="D1609">
        <v>93</v>
      </c>
      <c r="E1609" t="s">
        <v>13</v>
      </c>
      <c r="F1609" t="s">
        <v>170</v>
      </c>
      <c r="G1609">
        <v>469.29</v>
      </c>
      <c r="H1609" t="s">
        <v>26</v>
      </c>
      <c r="I1609" s="2">
        <v>45474</v>
      </c>
      <c r="J1609" s="2">
        <v>45513</v>
      </c>
      <c r="K1609" t="s">
        <v>172</v>
      </c>
    </row>
    <row r="1610" spans="1:11" x14ac:dyDescent="0.25">
      <c r="A1610" t="s">
        <v>106</v>
      </c>
      <c r="B1610" t="s">
        <v>16</v>
      </c>
      <c r="C1610">
        <v>144</v>
      </c>
      <c r="D1610">
        <v>57</v>
      </c>
      <c r="E1610" t="s">
        <v>13</v>
      </c>
      <c r="F1610" t="s">
        <v>173</v>
      </c>
      <c r="G1610">
        <v>47.13</v>
      </c>
      <c r="H1610" t="s">
        <v>14</v>
      </c>
      <c r="I1610" s="2">
        <v>45389</v>
      </c>
      <c r="J1610" s="2">
        <v>45418</v>
      </c>
    </row>
    <row r="1611" spans="1:11" x14ac:dyDescent="0.25">
      <c r="A1611" t="s">
        <v>134</v>
      </c>
      <c r="B1611" t="s">
        <v>30</v>
      </c>
      <c r="C1611">
        <v>137</v>
      </c>
      <c r="D1611">
        <v>65</v>
      </c>
      <c r="E1611" t="s">
        <v>13</v>
      </c>
      <c r="F1611" t="s">
        <v>173</v>
      </c>
      <c r="G1611">
        <v>195.87</v>
      </c>
      <c r="H1611" t="s">
        <v>26</v>
      </c>
      <c r="I1611" s="2">
        <v>45361</v>
      </c>
      <c r="J1611" s="2">
        <v>45381</v>
      </c>
      <c r="K1611" t="s">
        <v>172</v>
      </c>
    </row>
    <row r="1612" spans="1:11" x14ac:dyDescent="0.25">
      <c r="A1612" t="s">
        <v>94</v>
      </c>
      <c r="B1612" t="s">
        <v>30</v>
      </c>
      <c r="C1612">
        <v>117</v>
      </c>
      <c r="D1612">
        <v>23</v>
      </c>
      <c r="E1612" t="s">
        <v>13</v>
      </c>
      <c r="F1612" t="s">
        <v>170</v>
      </c>
      <c r="G1612">
        <v>40.159999999999997</v>
      </c>
      <c r="H1612" t="s">
        <v>20</v>
      </c>
      <c r="I1612" s="2">
        <v>45335</v>
      </c>
      <c r="J1612" s="2">
        <v>45391</v>
      </c>
      <c r="K1612" t="s">
        <v>17</v>
      </c>
    </row>
    <row r="1613" spans="1:11" x14ac:dyDescent="0.25">
      <c r="A1613" t="s">
        <v>42</v>
      </c>
      <c r="B1613" t="s">
        <v>30</v>
      </c>
      <c r="C1613">
        <v>192</v>
      </c>
      <c r="D1613">
        <v>79</v>
      </c>
      <c r="E1613" t="s">
        <v>13</v>
      </c>
      <c r="F1613" t="s">
        <v>171</v>
      </c>
      <c r="G1613">
        <v>109.34</v>
      </c>
      <c r="H1613" t="s">
        <v>26</v>
      </c>
      <c r="I1613" s="2">
        <v>45557</v>
      </c>
      <c r="J1613" s="2">
        <v>45600</v>
      </c>
      <c r="K1613" t="s">
        <v>172</v>
      </c>
    </row>
    <row r="1614" spans="1:11" x14ac:dyDescent="0.25">
      <c r="A1614" t="s">
        <v>84</v>
      </c>
      <c r="B1614" t="s">
        <v>28</v>
      </c>
      <c r="C1614">
        <v>21</v>
      </c>
      <c r="D1614">
        <v>76</v>
      </c>
      <c r="E1614" t="s">
        <v>19</v>
      </c>
      <c r="F1614" t="s">
        <v>170</v>
      </c>
      <c r="G1614">
        <v>118.54</v>
      </c>
      <c r="H1614" t="s">
        <v>20</v>
      </c>
      <c r="I1614" s="2">
        <v>45579</v>
      </c>
      <c r="J1614" s="2">
        <v>45597</v>
      </c>
      <c r="K1614" t="s">
        <v>172</v>
      </c>
    </row>
    <row r="1615" spans="1:11" x14ac:dyDescent="0.25">
      <c r="A1615" t="s">
        <v>119</v>
      </c>
      <c r="B1615" t="s">
        <v>12</v>
      </c>
      <c r="C1615">
        <v>119</v>
      </c>
      <c r="D1615">
        <v>64</v>
      </c>
      <c r="E1615" t="s">
        <v>13</v>
      </c>
      <c r="F1615" t="s">
        <v>170</v>
      </c>
      <c r="G1615">
        <v>237.21</v>
      </c>
      <c r="H1615" t="s">
        <v>26</v>
      </c>
      <c r="I1615" s="2">
        <v>45385</v>
      </c>
      <c r="J1615" s="2">
        <v>45456</v>
      </c>
      <c r="K1615" t="s">
        <v>172</v>
      </c>
    </row>
    <row r="1616" spans="1:11" x14ac:dyDescent="0.25">
      <c r="A1616" t="s">
        <v>118</v>
      </c>
      <c r="B1616" t="s">
        <v>30</v>
      </c>
      <c r="C1616">
        <v>49</v>
      </c>
      <c r="D1616">
        <v>39</v>
      </c>
      <c r="E1616" t="s">
        <v>13</v>
      </c>
      <c r="F1616" t="s">
        <v>171</v>
      </c>
      <c r="G1616">
        <v>137.94</v>
      </c>
      <c r="H1616" t="s">
        <v>20</v>
      </c>
      <c r="I1616" s="2">
        <v>45318</v>
      </c>
      <c r="J1616" s="2">
        <v>45381</v>
      </c>
      <c r="K1616" t="s">
        <v>21</v>
      </c>
    </row>
    <row r="1617" spans="1:11" x14ac:dyDescent="0.25">
      <c r="A1617" t="s">
        <v>101</v>
      </c>
      <c r="B1617" t="s">
        <v>12</v>
      </c>
      <c r="C1617">
        <v>13</v>
      </c>
      <c r="D1617">
        <v>36</v>
      </c>
      <c r="E1617" t="s">
        <v>19</v>
      </c>
      <c r="F1617" t="s">
        <v>173</v>
      </c>
      <c r="G1617">
        <v>54.98</v>
      </c>
      <c r="H1617" t="s">
        <v>26</v>
      </c>
      <c r="I1617" s="2">
        <v>45495</v>
      </c>
      <c r="J1617" s="2">
        <v>45553</v>
      </c>
      <c r="K1617" t="s">
        <v>21</v>
      </c>
    </row>
    <row r="1618" spans="1:11" x14ac:dyDescent="0.25">
      <c r="A1618" t="s">
        <v>114</v>
      </c>
      <c r="B1618" t="s">
        <v>23</v>
      </c>
      <c r="C1618">
        <v>191</v>
      </c>
      <c r="D1618">
        <v>90</v>
      </c>
      <c r="E1618" t="s">
        <v>13</v>
      </c>
      <c r="F1618" t="s">
        <v>170</v>
      </c>
      <c r="G1618">
        <v>87.91</v>
      </c>
      <c r="H1618" t="s">
        <v>20</v>
      </c>
      <c r="I1618" s="2">
        <v>45613</v>
      </c>
      <c r="J1618" s="2">
        <v>45702</v>
      </c>
    </row>
    <row r="1619" spans="1:11" x14ac:dyDescent="0.25">
      <c r="A1619" t="s">
        <v>84</v>
      </c>
      <c r="B1619" t="s">
        <v>16</v>
      </c>
      <c r="C1619">
        <v>174</v>
      </c>
      <c r="D1619">
        <v>23</v>
      </c>
      <c r="E1619" t="s">
        <v>13</v>
      </c>
      <c r="F1619" t="s">
        <v>173</v>
      </c>
      <c r="G1619">
        <v>77.900000000000006</v>
      </c>
      <c r="H1619" t="s">
        <v>26</v>
      </c>
      <c r="I1619" s="2">
        <v>45419</v>
      </c>
      <c r="J1619" s="2">
        <v>45447</v>
      </c>
    </row>
    <row r="1620" spans="1:11" x14ac:dyDescent="0.25">
      <c r="A1620" t="s">
        <v>108</v>
      </c>
      <c r="B1620" t="s">
        <v>23</v>
      </c>
      <c r="C1620">
        <v>28</v>
      </c>
      <c r="D1620">
        <v>33</v>
      </c>
      <c r="E1620" t="s">
        <v>19</v>
      </c>
      <c r="F1620" t="s">
        <v>173</v>
      </c>
      <c r="G1620">
        <v>486.67</v>
      </c>
      <c r="H1620" t="s">
        <v>26</v>
      </c>
      <c r="I1620" s="2">
        <v>45523</v>
      </c>
      <c r="J1620" s="2">
        <v>45540</v>
      </c>
    </row>
    <row r="1621" spans="1:11" x14ac:dyDescent="0.25">
      <c r="A1621" t="s">
        <v>109</v>
      </c>
      <c r="B1621" t="s">
        <v>23</v>
      </c>
      <c r="C1621">
        <v>163</v>
      </c>
      <c r="D1621">
        <v>22</v>
      </c>
      <c r="E1621" t="s">
        <v>13</v>
      </c>
      <c r="F1621" t="s">
        <v>171</v>
      </c>
      <c r="G1621">
        <v>380.85</v>
      </c>
      <c r="H1621" t="s">
        <v>14</v>
      </c>
      <c r="I1621" s="2">
        <v>45465</v>
      </c>
      <c r="J1621" s="2">
        <v>45541</v>
      </c>
      <c r="K1621" t="s">
        <v>172</v>
      </c>
    </row>
    <row r="1622" spans="1:11" x14ac:dyDescent="0.25">
      <c r="A1622" t="s">
        <v>109</v>
      </c>
      <c r="B1622" t="s">
        <v>28</v>
      </c>
      <c r="C1622">
        <v>179</v>
      </c>
      <c r="D1622">
        <v>99</v>
      </c>
      <c r="E1622" t="s">
        <v>13</v>
      </c>
      <c r="F1622" t="s">
        <v>171</v>
      </c>
      <c r="G1622">
        <v>484.04</v>
      </c>
      <c r="H1622" t="s">
        <v>14</v>
      </c>
      <c r="I1622" s="2">
        <v>45301</v>
      </c>
      <c r="J1622" s="2">
        <v>45379</v>
      </c>
      <c r="K1622" t="s">
        <v>21</v>
      </c>
    </row>
    <row r="1623" spans="1:11" x14ac:dyDescent="0.25">
      <c r="A1623" t="s">
        <v>39</v>
      </c>
      <c r="B1623" t="s">
        <v>16</v>
      </c>
      <c r="C1623">
        <v>124</v>
      </c>
      <c r="D1623">
        <v>77</v>
      </c>
      <c r="E1623" t="s">
        <v>13</v>
      </c>
      <c r="F1623" t="s">
        <v>173</v>
      </c>
      <c r="G1623">
        <v>222.67</v>
      </c>
      <c r="H1623" t="s">
        <v>20</v>
      </c>
      <c r="I1623" s="2">
        <v>45379</v>
      </c>
      <c r="J1623" s="2">
        <v>45438</v>
      </c>
      <c r="K1623" t="s">
        <v>17</v>
      </c>
    </row>
    <row r="1624" spans="1:11" x14ac:dyDescent="0.25">
      <c r="A1624" t="s">
        <v>154</v>
      </c>
      <c r="B1624" t="s">
        <v>23</v>
      </c>
      <c r="C1624">
        <v>6</v>
      </c>
      <c r="D1624">
        <v>74</v>
      </c>
      <c r="E1624" t="s">
        <v>19</v>
      </c>
      <c r="F1624" t="s">
        <v>170</v>
      </c>
      <c r="G1624">
        <v>142.79</v>
      </c>
      <c r="H1624" t="s">
        <v>26</v>
      </c>
      <c r="I1624" s="2">
        <v>45639</v>
      </c>
      <c r="J1624" s="2">
        <v>45711</v>
      </c>
      <c r="K1624" t="s">
        <v>172</v>
      </c>
    </row>
    <row r="1625" spans="1:11" x14ac:dyDescent="0.25">
      <c r="A1625" t="s">
        <v>141</v>
      </c>
      <c r="B1625" t="s">
        <v>23</v>
      </c>
      <c r="C1625">
        <v>28</v>
      </c>
      <c r="D1625">
        <v>23</v>
      </c>
      <c r="E1625" t="s">
        <v>13</v>
      </c>
      <c r="F1625" t="s">
        <v>173</v>
      </c>
      <c r="G1625">
        <v>400.16</v>
      </c>
      <c r="H1625" t="s">
        <v>20</v>
      </c>
      <c r="I1625" s="2">
        <v>45645</v>
      </c>
      <c r="J1625" s="2">
        <v>45679</v>
      </c>
      <c r="K1625" t="s">
        <v>172</v>
      </c>
    </row>
    <row r="1626" spans="1:11" x14ac:dyDescent="0.25">
      <c r="A1626" t="s">
        <v>104</v>
      </c>
      <c r="B1626" t="s">
        <v>16</v>
      </c>
      <c r="C1626">
        <v>138</v>
      </c>
      <c r="D1626">
        <v>43</v>
      </c>
      <c r="E1626" t="s">
        <v>13</v>
      </c>
      <c r="F1626" t="s">
        <v>170</v>
      </c>
      <c r="G1626">
        <v>166.5</v>
      </c>
      <c r="H1626" t="s">
        <v>14</v>
      </c>
      <c r="I1626" s="2">
        <v>45477</v>
      </c>
      <c r="J1626" s="2">
        <v>45549</v>
      </c>
      <c r="K1626" t="s">
        <v>172</v>
      </c>
    </row>
    <row r="1627" spans="1:11" x14ac:dyDescent="0.25">
      <c r="A1627" t="s">
        <v>156</v>
      </c>
      <c r="B1627" t="s">
        <v>16</v>
      </c>
      <c r="C1627">
        <v>32</v>
      </c>
      <c r="D1627">
        <v>53</v>
      </c>
      <c r="E1627" t="s">
        <v>19</v>
      </c>
      <c r="F1627" t="s">
        <v>170</v>
      </c>
      <c r="G1627">
        <v>153.19</v>
      </c>
      <c r="H1627" t="s">
        <v>20</v>
      </c>
      <c r="I1627" s="2">
        <v>45534</v>
      </c>
      <c r="J1627" s="2">
        <v>45605</v>
      </c>
      <c r="K1627" t="s">
        <v>17</v>
      </c>
    </row>
    <row r="1628" spans="1:11" x14ac:dyDescent="0.25">
      <c r="A1628" t="s">
        <v>72</v>
      </c>
      <c r="B1628" t="s">
        <v>23</v>
      </c>
      <c r="C1628">
        <v>133</v>
      </c>
      <c r="D1628">
        <v>49</v>
      </c>
      <c r="E1628" t="s">
        <v>13</v>
      </c>
      <c r="F1628" t="s">
        <v>171</v>
      </c>
      <c r="G1628">
        <v>120.09</v>
      </c>
      <c r="H1628" t="s">
        <v>20</v>
      </c>
      <c r="I1628" s="2">
        <v>45411</v>
      </c>
      <c r="J1628" s="2">
        <v>45493</v>
      </c>
    </row>
    <row r="1629" spans="1:11" x14ac:dyDescent="0.25">
      <c r="A1629" t="s">
        <v>139</v>
      </c>
      <c r="B1629" t="s">
        <v>16</v>
      </c>
      <c r="C1629">
        <v>110</v>
      </c>
      <c r="D1629">
        <v>38</v>
      </c>
      <c r="E1629" t="s">
        <v>13</v>
      </c>
      <c r="F1629" t="s">
        <v>170</v>
      </c>
      <c r="G1629">
        <v>69.19</v>
      </c>
      <c r="H1629" t="s">
        <v>14</v>
      </c>
      <c r="I1629" s="2">
        <v>45435</v>
      </c>
      <c r="J1629" s="2">
        <v>45501</v>
      </c>
      <c r="K1629" t="s">
        <v>17</v>
      </c>
    </row>
    <row r="1630" spans="1:11" x14ac:dyDescent="0.25">
      <c r="A1630" t="s">
        <v>105</v>
      </c>
      <c r="B1630" t="s">
        <v>23</v>
      </c>
      <c r="C1630">
        <v>78</v>
      </c>
      <c r="D1630">
        <v>50</v>
      </c>
      <c r="E1630" t="s">
        <v>13</v>
      </c>
      <c r="F1630" t="s">
        <v>170</v>
      </c>
      <c r="G1630">
        <v>131.94999999999999</v>
      </c>
      <c r="H1630" t="s">
        <v>26</v>
      </c>
      <c r="I1630" s="2">
        <v>45606</v>
      </c>
      <c r="J1630" s="2">
        <v>45657</v>
      </c>
    </row>
    <row r="1631" spans="1:11" x14ac:dyDescent="0.25">
      <c r="A1631" t="s">
        <v>74</v>
      </c>
      <c r="B1631" t="s">
        <v>23</v>
      </c>
      <c r="C1631">
        <v>159</v>
      </c>
      <c r="D1631">
        <v>79</v>
      </c>
      <c r="E1631" t="s">
        <v>13</v>
      </c>
      <c r="F1631" t="s">
        <v>173</v>
      </c>
      <c r="G1631">
        <v>180.88</v>
      </c>
      <c r="H1631" t="s">
        <v>20</v>
      </c>
      <c r="I1631" s="2">
        <v>45586</v>
      </c>
      <c r="J1631" s="2">
        <v>45608</v>
      </c>
      <c r="K1631" t="s">
        <v>17</v>
      </c>
    </row>
    <row r="1632" spans="1:11" x14ac:dyDescent="0.25">
      <c r="A1632" t="s">
        <v>84</v>
      </c>
      <c r="B1632" t="s">
        <v>28</v>
      </c>
      <c r="C1632">
        <v>178</v>
      </c>
      <c r="D1632">
        <v>79</v>
      </c>
      <c r="E1632" t="s">
        <v>13</v>
      </c>
      <c r="F1632" t="s">
        <v>171</v>
      </c>
      <c r="G1632">
        <v>338.63</v>
      </c>
      <c r="H1632" t="s">
        <v>14</v>
      </c>
      <c r="I1632" s="2">
        <v>45609</v>
      </c>
      <c r="J1632" s="2">
        <v>45667</v>
      </c>
      <c r="K1632" t="s">
        <v>21</v>
      </c>
    </row>
    <row r="1633" spans="1:11" x14ac:dyDescent="0.25">
      <c r="A1633" t="s">
        <v>108</v>
      </c>
      <c r="B1633" t="s">
        <v>30</v>
      </c>
      <c r="C1633">
        <v>57</v>
      </c>
      <c r="D1633">
        <v>38</v>
      </c>
      <c r="E1633" t="s">
        <v>13</v>
      </c>
      <c r="F1633" t="s">
        <v>170</v>
      </c>
      <c r="G1633">
        <v>35.97</v>
      </c>
      <c r="H1633" t="s">
        <v>26</v>
      </c>
      <c r="I1633" s="2">
        <v>45638</v>
      </c>
      <c r="J1633" s="2">
        <v>45657</v>
      </c>
      <c r="K1633" t="s">
        <v>172</v>
      </c>
    </row>
    <row r="1634" spans="1:11" x14ac:dyDescent="0.25">
      <c r="A1634" t="s">
        <v>117</v>
      </c>
      <c r="B1634" t="s">
        <v>23</v>
      </c>
      <c r="C1634">
        <v>25</v>
      </c>
      <c r="D1634">
        <v>68</v>
      </c>
      <c r="E1634" t="s">
        <v>19</v>
      </c>
      <c r="F1634" t="s">
        <v>170</v>
      </c>
      <c r="G1634">
        <v>109.2</v>
      </c>
      <c r="H1634" t="s">
        <v>14</v>
      </c>
      <c r="I1634" s="2">
        <v>45395</v>
      </c>
      <c r="J1634" s="2">
        <v>45478</v>
      </c>
      <c r="K1634" t="s">
        <v>172</v>
      </c>
    </row>
    <row r="1635" spans="1:11" x14ac:dyDescent="0.25">
      <c r="A1635" t="s">
        <v>78</v>
      </c>
      <c r="B1635" t="s">
        <v>12</v>
      </c>
      <c r="C1635">
        <v>173</v>
      </c>
      <c r="D1635">
        <v>82</v>
      </c>
      <c r="E1635" t="s">
        <v>13</v>
      </c>
      <c r="F1635" t="s">
        <v>171</v>
      </c>
      <c r="G1635">
        <v>405.47</v>
      </c>
      <c r="H1635" t="s">
        <v>20</v>
      </c>
      <c r="I1635" s="2">
        <v>45573</v>
      </c>
      <c r="J1635" s="2">
        <v>45618</v>
      </c>
      <c r="K1635" t="s">
        <v>172</v>
      </c>
    </row>
    <row r="1636" spans="1:11" x14ac:dyDescent="0.25">
      <c r="A1636" t="s">
        <v>73</v>
      </c>
      <c r="B1636" t="s">
        <v>30</v>
      </c>
      <c r="C1636">
        <v>28</v>
      </c>
      <c r="D1636">
        <v>41</v>
      </c>
      <c r="E1636" t="s">
        <v>19</v>
      </c>
      <c r="F1636" t="s">
        <v>173</v>
      </c>
      <c r="G1636">
        <v>77.73</v>
      </c>
      <c r="H1636" t="s">
        <v>26</v>
      </c>
      <c r="I1636" s="2">
        <v>45502</v>
      </c>
      <c r="J1636" s="2">
        <v>45561</v>
      </c>
    </row>
    <row r="1637" spans="1:11" x14ac:dyDescent="0.25">
      <c r="A1637" t="s">
        <v>145</v>
      </c>
      <c r="B1637" t="s">
        <v>30</v>
      </c>
      <c r="C1637">
        <v>3</v>
      </c>
      <c r="D1637">
        <v>43</v>
      </c>
      <c r="E1637" t="s">
        <v>19</v>
      </c>
      <c r="F1637" t="s">
        <v>171</v>
      </c>
      <c r="G1637">
        <v>174.61</v>
      </c>
      <c r="H1637" t="s">
        <v>26</v>
      </c>
      <c r="I1637" s="2">
        <v>45604</v>
      </c>
      <c r="J1637" s="2">
        <v>45627</v>
      </c>
      <c r="K1637" t="s">
        <v>17</v>
      </c>
    </row>
    <row r="1638" spans="1:11" x14ac:dyDescent="0.25">
      <c r="A1638" t="s">
        <v>138</v>
      </c>
      <c r="B1638" t="s">
        <v>30</v>
      </c>
      <c r="C1638">
        <v>98</v>
      </c>
      <c r="D1638">
        <v>95</v>
      </c>
      <c r="E1638" t="s">
        <v>13</v>
      </c>
      <c r="F1638" t="s">
        <v>171</v>
      </c>
      <c r="G1638">
        <v>433.01</v>
      </c>
      <c r="H1638" t="s">
        <v>14</v>
      </c>
      <c r="I1638" s="2">
        <v>45550</v>
      </c>
      <c r="J1638" s="2">
        <v>45596</v>
      </c>
      <c r="K1638" t="s">
        <v>21</v>
      </c>
    </row>
    <row r="1639" spans="1:11" x14ac:dyDescent="0.25">
      <c r="A1639" t="s">
        <v>128</v>
      </c>
      <c r="B1639" t="s">
        <v>28</v>
      </c>
      <c r="C1639">
        <v>140</v>
      </c>
      <c r="D1639">
        <v>49</v>
      </c>
      <c r="E1639" t="s">
        <v>13</v>
      </c>
      <c r="F1639" t="s">
        <v>170</v>
      </c>
      <c r="G1639">
        <v>81.69</v>
      </c>
      <c r="H1639" t="s">
        <v>14</v>
      </c>
      <c r="I1639" s="2">
        <v>45300</v>
      </c>
      <c r="J1639" s="2">
        <v>45347</v>
      </c>
      <c r="K1639" t="s">
        <v>17</v>
      </c>
    </row>
    <row r="1640" spans="1:11" x14ac:dyDescent="0.25">
      <c r="A1640" t="s">
        <v>18</v>
      </c>
      <c r="B1640" t="s">
        <v>23</v>
      </c>
      <c r="C1640">
        <v>38</v>
      </c>
      <c r="D1640">
        <v>77</v>
      </c>
      <c r="E1640" t="s">
        <v>19</v>
      </c>
      <c r="F1640" t="s">
        <v>170</v>
      </c>
      <c r="G1640">
        <v>45.95</v>
      </c>
      <c r="H1640" t="s">
        <v>14</v>
      </c>
      <c r="I1640" s="2">
        <v>45353</v>
      </c>
      <c r="J1640" s="2">
        <v>45434</v>
      </c>
      <c r="K1640" t="s">
        <v>172</v>
      </c>
    </row>
    <row r="1641" spans="1:11" x14ac:dyDescent="0.25">
      <c r="A1641" t="s">
        <v>117</v>
      </c>
      <c r="B1641" t="s">
        <v>28</v>
      </c>
      <c r="C1641">
        <v>14</v>
      </c>
      <c r="D1641">
        <v>50</v>
      </c>
      <c r="E1641" t="s">
        <v>19</v>
      </c>
      <c r="F1641" t="s">
        <v>173</v>
      </c>
      <c r="G1641">
        <v>244.85</v>
      </c>
      <c r="H1641" t="s">
        <v>26</v>
      </c>
      <c r="I1641" s="2">
        <v>45522</v>
      </c>
      <c r="J1641" s="2">
        <v>45566</v>
      </c>
      <c r="K1641" t="s">
        <v>21</v>
      </c>
    </row>
    <row r="1642" spans="1:11" x14ac:dyDescent="0.25">
      <c r="A1642" t="s">
        <v>127</v>
      </c>
      <c r="B1642" t="s">
        <v>23</v>
      </c>
      <c r="C1642">
        <v>118</v>
      </c>
      <c r="D1642">
        <v>83</v>
      </c>
      <c r="E1642" t="s">
        <v>13</v>
      </c>
      <c r="F1642" t="s">
        <v>170</v>
      </c>
      <c r="G1642">
        <v>154.69999999999999</v>
      </c>
      <c r="H1642" t="s">
        <v>26</v>
      </c>
      <c r="I1642" s="2">
        <v>45588</v>
      </c>
      <c r="J1642" s="2">
        <v>45631</v>
      </c>
      <c r="K1642" t="s">
        <v>21</v>
      </c>
    </row>
    <row r="1643" spans="1:11" x14ac:dyDescent="0.25">
      <c r="A1643" t="s">
        <v>119</v>
      </c>
      <c r="B1643" t="s">
        <v>28</v>
      </c>
      <c r="C1643">
        <v>28</v>
      </c>
      <c r="D1643">
        <v>38</v>
      </c>
      <c r="E1643" t="s">
        <v>19</v>
      </c>
      <c r="F1643" t="s">
        <v>170</v>
      </c>
      <c r="G1643">
        <v>283.89</v>
      </c>
      <c r="H1643" t="s">
        <v>20</v>
      </c>
      <c r="I1643" s="2">
        <v>45646</v>
      </c>
      <c r="J1643" s="2">
        <v>45663</v>
      </c>
      <c r="K1643" t="s">
        <v>172</v>
      </c>
    </row>
    <row r="1644" spans="1:11" x14ac:dyDescent="0.25">
      <c r="A1644" t="s">
        <v>100</v>
      </c>
      <c r="B1644" t="s">
        <v>28</v>
      </c>
      <c r="C1644">
        <v>156</v>
      </c>
      <c r="D1644">
        <v>67</v>
      </c>
      <c r="E1644" t="s">
        <v>13</v>
      </c>
      <c r="F1644" t="s">
        <v>171</v>
      </c>
      <c r="G1644">
        <v>402.88</v>
      </c>
      <c r="H1644" t="s">
        <v>26</v>
      </c>
      <c r="I1644" s="2">
        <v>45514</v>
      </c>
      <c r="J1644" s="2">
        <v>45585</v>
      </c>
      <c r="K1644" t="s">
        <v>17</v>
      </c>
    </row>
    <row r="1645" spans="1:11" x14ac:dyDescent="0.25">
      <c r="A1645" t="s">
        <v>93</v>
      </c>
      <c r="B1645" t="s">
        <v>12</v>
      </c>
      <c r="C1645">
        <v>74</v>
      </c>
      <c r="D1645">
        <v>64</v>
      </c>
      <c r="E1645" t="s">
        <v>13</v>
      </c>
      <c r="F1645" t="s">
        <v>170</v>
      </c>
      <c r="G1645">
        <v>72.89</v>
      </c>
      <c r="H1645" t="s">
        <v>20</v>
      </c>
      <c r="I1645" s="2">
        <v>45465</v>
      </c>
      <c r="J1645" s="2">
        <v>45509</v>
      </c>
      <c r="K1645" t="s">
        <v>172</v>
      </c>
    </row>
    <row r="1646" spans="1:11" x14ac:dyDescent="0.25">
      <c r="A1646" t="s">
        <v>110</v>
      </c>
      <c r="B1646" t="s">
        <v>28</v>
      </c>
      <c r="C1646">
        <v>115</v>
      </c>
      <c r="D1646">
        <v>74</v>
      </c>
      <c r="E1646" t="s">
        <v>13</v>
      </c>
      <c r="F1646" t="s">
        <v>173</v>
      </c>
      <c r="G1646">
        <v>292.45</v>
      </c>
      <c r="H1646" t="s">
        <v>14</v>
      </c>
      <c r="I1646" s="2">
        <v>45588</v>
      </c>
      <c r="J1646" s="2">
        <v>45611</v>
      </c>
      <c r="K1646" t="s">
        <v>17</v>
      </c>
    </row>
    <row r="1647" spans="1:11" x14ac:dyDescent="0.25">
      <c r="A1647" t="s">
        <v>153</v>
      </c>
      <c r="B1647" t="s">
        <v>16</v>
      </c>
      <c r="C1647">
        <v>31</v>
      </c>
      <c r="D1647">
        <v>74</v>
      </c>
      <c r="E1647" t="s">
        <v>19</v>
      </c>
      <c r="F1647" t="s">
        <v>171</v>
      </c>
      <c r="G1647">
        <v>255.23</v>
      </c>
      <c r="H1647" t="s">
        <v>14</v>
      </c>
      <c r="I1647" s="2">
        <v>45634</v>
      </c>
      <c r="J1647" s="2">
        <v>45674</v>
      </c>
      <c r="K1647" t="s">
        <v>21</v>
      </c>
    </row>
    <row r="1648" spans="1:11" x14ac:dyDescent="0.25">
      <c r="A1648" t="s">
        <v>160</v>
      </c>
      <c r="B1648" t="s">
        <v>12</v>
      </c>
      <c r="C1648">
        <v>129</v>
      </c>
      <c r="D1648">
        <v>37</v>
      </c>
      <c r="E1648" t="s">
        <v>13</v>
      </c>
      <c r="F1648" t="s">
        <v>173</v>
      </c>
      <c r="G1648">
        <v>76.319999999999993</v>
      </c>
      <c r="H1648" t="s">
        <v>26</v>
      </c>
      <c r="I1648" s="2">
        <v>45476</v>
      </c>
      <c r="J1648" s="2">
        <v>45492</v>
      </c>
      <c r="K1648" t="s">
        <v>21</v>
      </c>
    </row>
    <row r="1649" spans="1:11" x14ac:dyDescent="0.25">
      <c r="A1649" t="s">
        <v>129</v>
      </c>
      <c r="B1649" t="s">
        <v>28</v>
      </c>
      <c r="C1649">
        <v>174</v>
      </c>
      <c r="D1649">
        <v>82</v>
      </c>
      <c r="E1649" t="s">
        <v>13</v>
      </c>
      <c r="F1649" t="s">
        <v>171</v>
      </c>
      <c r="G1649">
        <v>313.88</v>
      </c>
      <c r="H1649" t="s">
        <v>14</v>
      </c>
      <c r="I1649" s="2">
        <v>45364</v>
      </c>
      <c r="J1649" s="2">
        <v>45440</v>
      </c>
      <c r="K1649" t="s">
        <v>172</v>
      </c>
    </row>
    <row r="1650" spans="1:11" x14ac:dyDescent="0.25">
      <c r="A1650" t="s">
        <v>92</v>
      </c>
      <c r="B1650" t="s">
        <v>30</v>
      </c>
      <c r="C1650">
        <v>83</v>
      </c>
      <c r="D1650">
        <v>66</v>
      </c>
      <c r="E1650" t="s">
        <v>13</v>
      </c>
      <c r="F1650" t="s">
        <v>170</v>
      </c>
      <c r="G1650">
        <v>140.44999999999999</v>
      </c>
      <c r="H1650" t="s">
        <v>14</v>
      </c>
      <c r="I1650" s="2">
        <v>45648</v>
      </c>
      <c r="J1650" s="2">
        <v>45665</v>
      </c>
      <c r="K1650" t="s">
        <v>21</v>
      </c>
    </row>
    <row r="1651" spans="1:11" x14ac:dyDescent="0.25">
      <c r="A1651" t="s">
        <v>91</v>
      </c>
      <c r="B1651" t="s">
        <v>16</v>
      </c>
      <c r="C1651">
        <v>21</v>
      </c>
      <c r="D1651">
        <v>94</v>
      </c>
      <c r="E1651" t="s">
        <v>19</v>
      </c>
      <c r="F1651" t="s">
        <v>171</v>
      </c>
      <c r="G1651">
        <v>246.48</v>
      </c>
      <c r="H1651" t="s">
        <v>26</v>
      </c>
      <c r="I1651" s="2">
        <v>45386</v>
      </c>
      <c r="J1651" s="2">
        <v>45446</v>
      </c>
    </row>
    <row r="1652" spans="1:11" x14ac:dyDescent="0.25">
      <c r="A1652" t="s">
        <v>119</v>
      </c>
      <c r="B1652" t="s">
        <v>16</v>
      </c>
      <c r="C1652">
        <v>26</v>
      </c>
      <c r="D1652">
        <v>76</v>
      </c>
      <c r="E1652" t="s">
        <v>19</v>
      </c>
      <c r="F1652" t="s">
        <v>171</v>
      </c>
      <c r="G1652">
        <v>45.72</v>
      </c>
      <c r="H1652" t="s">
        <v>20</v>
      </c>
      <c r="I1652" s="2">
        <v>45564</v>
      </c>
      <c r="J1652" s="2">
        <v>45646</v>
      </c>
      <c r="K1652" t="s">
        <v>21</v>
      </c>
    </row>
    <row r="1653" spans="1:11" x14ac:dyDescent="0.25">
      <c r="A1653" t="s">
        <v>92</v>
      </c>
      <c r="B1653" t="s">
        <v>16</v>
      </c>
      <c r="C1653">
        <v>194</v>
      </c>
      <c r="D1653">
        <v>64</v>
      </c>
      <c r="E1653" t="s">
        <v>13</v>
      </c>
      <c r="F1653" t="s">
        <v>170</v>
      </c>
      <c r="G1653">
        <v>232.49</v>
      </c>
      <c r="H1653" t="s">
        <v>26</v>
      </c>
      <c r="I1653" s="2">
        <v>45640</v>
      </c>
      <c r="J1653" s="2">
        <v>45679</v>
      </c>
    </row>
    <row r="1654" spans="1:11" x14ac:dyDescent="0.25">
      <c r="A1654" t="s">
        <v>157</v>
      </c>
      <c r="B1654" t="s">
        <v>12</v>
      </c>
      <c r="C1654">
        <v>80</v>
      </c>
      <c r="D1654">
        <v>52</v>
      </c>
      <c r="E1654" t="s">
        <v>13</v>
      </c>
      <c r="F1654" t="s">
        <v>170</v>
      </c>
      <c r="G1654">
        <v>156.69999999999999</v>
      </c>
      <c r="H1654" t="s">
        <v>20</v>
      </c>
      <c r="I1654" s="2">
        <v>45503</v>
      </c>
      <c r="J1654" s="2">
        <v>45568</v>
      </c>
      <c r="K1654" t="s">
        <v>21</v>
      </c>
    </row>
    <row r="1655" spans="1:11" x14ac:dyDescent="0.25">
      <c r="A1655" t="s">
        <v>137</v>
      </c>
      <c r="B1655" t="s">
        <v>28</v>
      </c>
      <c r="C1655">
        <v>125</v>
      </c>
      <c r="D1655">
        <v>36</v>
      </c>
      <c r="E1655" t="s">
        <v>13</v>
      </c>
      <c r="F1655" t="s">
        <v>173</v>
      </c>
      <c r="G1655">
        <v>412.08</v>
      </c>
      <c r="H1655" t="s">
        <v>26</v>
      </c>
      <c r="I1655" s="2">
        <v>45329</v>
      </c>
      <c r="J1655" s="2">
        <v>45356</v>
      </c>
      <c r="K1655" t="s">
        <v>172</v>
      </c>
    </row>
    <row r="1656" spans="1:11" x14ac:dyDescent="0.25">
      <c r="A1656" t="s">
        <v>78</v>
      </c>
      <c r="B1656" t="s">
        <v>28</v>
      </c>
      <c r="C1656">
        <v>183</v>
      </c>
      <c r="D1656">
        <v>89</v>
      </c>
      <c r="E1656" t="s">
        <v>13</v>
      </c>
      <c r="F1656" t="s">
        <v>173</v>
      </c>
      <c r="G1656">
        <v>33.200000000000003</v>
      </c>
      <c r="H1656" t="s">
        <v>26</v>
      </c>
      <c r="I1656" s="2">
        <v>45508</v>
      </c>
      <c r="J1656" s="2">
        <v>45566</v>
      </c>
      <c r="K1656" t="s">
        <v>172</v>
      </c>
    </row>
    <row r="1657" spans="1:11" x14ac:dyDescent="0.25">
      <c r="A1657" t="s">
        <v>118</v>
      </c>
      <c r="B1657" t="s">
        <v>30</v>
      </c>
      <c r="C1657">
        <v>91</v>
      </c>
      <c r="D1657">
        <v>23</v>
      </c>
      <c r="E1657" t="s">
        <v>13</v>
      </c>
      <c r="F1657" t="s">
        <v>170</v>
      </c>
      <c r="G1657">
        <v>212.21</v>
      </c>
      <c r="H1657" t="s">
        <v>14</v>
      </c>
      <c r="I1657" s="2">
        <v>45390</v>
      </c>
      <c r="J1657" s="2">
        <v>45439</v>
      </c>
    </row>
    <row r="1658" spans="1:11" x14ac:dyDescent="0.25">
      <c r="A1658" t="s">
        <v>125</v>
      </c>
      <c r="B1658" t="s">
        <v>30</v>
      </c>
      <c r="C1658">
        <v>20</v>
      </c>
      <c r="D1658">
        <v>39</v>
      </c>
      <c r="E1658" t="s">
        <v>19</v>
      </c>
      <c r="F1658" t="s">
        <v>170</v>
      </c>
      <c r="G1658">
        <v>231.92</v>
      </c>
      <c r="H1658" t="s">
        <v>26</v>
      </c>
      <c r="I1658" s="2">
        <v>45329</v>
      </c>
      <c r="J1658" s="2">
        <v>45398</v>
      </c>
      <c r="K1658" t="s">
        <v>172</v>
      </c>
    </row>
    <row r="1659" spans="1:11" x14ac:dyDescent="0.25">
      <c r="A1659" t="s">
        <v>101</v>
      </c>
      <c r="B1659" t="s">
        <v>16</v>
      </c>
      <c r="C1659">
        <v>46</v>
      </c>
      <c r="D1659">
        <v>66</v>
      </c>
      <c r="E1659" t="s">
        <v>19</v>
      </c>
      <c r="F1659" t="s">
        <v>170</v>
      </c>
      <c r="G1659">
        <v>363.88</v>
      </c>
      <c r="H1659" t="s">
        <v>26</v>
      </c>
      <c r="I1659" s="2">
        <v>45551</v>
      </c>
      <c r="J1659" s="2">
        <v>45574</v>
      </c>
      <c r="K1659" t="s">
        <v>21</v>
      </c>
    </row>
    <row r="1660" spans="1:11" x14ac:dyDescent="0.25">
      <c r="A1660" t="s">
        <v>157</v>
      </c>
      <c r="B1660" t="s">
        <v>30</v>
      </c>
      <c r="C1660">
        <v>100</v>
      </c>
      <c r="D1660">
        <v>34</v>
      </c>
      <c r="E1660" t="s">
        <v>13</v>
      </c>
      <c r="F1660" t="s">
        <v>171</v>
      </c>
      <c r="G1660">
        <v>289.27</v>
      </c>
      <c r="H1660" t="s">
        <v>20</v>
      </c>
      <c r="I1660" s="2">
        <v>45622</v>
      </c>
      <c r="J1660" s="2">
        <v>45638</v>
      </c>
      <c r="K1660" t="s">
        <v>21</v>
      </c>
    </row>
    <row r="1661" spans="1:11" x14ac:dyDescent="0.25">
      <c r="A1661" t="s">
        <v>106</v>
      </c>
      <c r="B1661" t="s">
        <v>12</v>
      </c>
      <c r="C1661">
        <v>186</v>
      </c>
      <c r="D1661">
        <v>89</v>
      </c>
      <c r="E1661" t="s">
        <v>13</v>
      </c>
      <c r="F1661" t="s">
        <v>171</v>
      </c>
      <c r="G1661">
        <v>335.27</v>
      </c>
      <c r="H1661" t="s">
        <v>14</v>
      </c>
      <c r="I1661" s="2">
        <v>45538</v>
      </c>
      <c r="J1661" s="2">
        <v>45613</v>
      </c>
      <c r="K1661" t="s">
        <v>172</v>
      </c>
    </row>
    <row r="1662" spans="1:11" x14ac:dyDescent="0.25">
      <c r="A1662" t="s">
        <v>136</v>
      </c>
      <c r="B1662" t="s">
        <v>28</v>
      </c>
      <c r="C1662">
        <v>83</v>
      </c>
      <c r="D1662">
        <v>66</v>
      </c>
      <c r="E1662" t="s">
        <v>13</v>
      </c>
      <c r="F1662" t="s">
        <v>171</v>
      </c>
      <c r="G1662">
        <v>389.64</v>
      </c>
      <c r="H1662" t="s">
        <v>20</v>
      </c>
      <c r="I1662" s="2">
        <v>45643</v>
      </c>
      <c r="J1662" s="2">
        <v>45698</v>
      </c>
      <c r="K1662" t="s">
        <v>21</v>
      </c>
    </row>
    <row r="1663" spans="1:11" x14ac:dyDescent="0.25">
      <c r="A1663" t="s">
        <v>155</v>
      </c>
      <c r="B1663" t="s">
        <v>16</v>
      </c>
      <c r="C1663">
        <v>5</v>
      </c>
      <c r="D1663">
        <v>97</v>
      </c>
      <c r="E1663" t="s">
        <v>19</v>
      </c>
      <c r="F1663" t="s">
        <v>170</v>
      </c>
      <c r="G1663">
        <v>431.79</v>
      </c>
      <c r="H1663" t="s">
        <v>20</v>
      </c>
      <c r="I1663" s="2">
        <v>45643</v>
      </c>
      <c r="J1663" s="2">
        <v>45701</v>
      </c>
      <c r="K1663" t="s">
        <v>17</v>
      </c>
    </row>
    <row r="1664" spans="1:11" x14ac:dyDescent="0.25">
      <c r="A1664" t="s">
        <v>129</v>
      </c>
      <c r="B1664" t="s">
        <v>30</v>
      </c>
      <c r="C1664">
        <v>146</v>
      </c>
      <c r="D1664">
        <v>94</v>
      </c>
      <c r="E1664" t="s">
        <v>13</v>
      </c>
      <c r="F1664" t="s">
        <v>173</v>
      </c>
      <c r="G1664">
        <v>160.37</v>
      </c>
      <c r="H1664" t="s">
        <v>14</v>
      </c>
      <c r="I1664" s="2">
        <v>45391</v>
      </c>
      <c r="J1664" s="2">
        <v>45469</v>
      </c>
      <c r="K1664" t="s">
        <v>17</v>
      </c>
    </row>
    <row r="1665" spans="1:11" x14ac:dyDescent="0.25">
      <c r="A1665" t="s">
        <v>138</v>
      </c>
      <c r="B1665" t="s">
        <v>12</v>
      </c>
      <c r="C1665">
        <v>184</v>
      </c>
      <c r="D1665">
        <v>28</v>
      </c>
      <c r="E1665" t="s">
        <v>13</v>
      </c>
      <c r="F1665" t="s">
        <v>170</v>
      </c>
      <c r="G1665">
        <v>271.32</v>
      </c>
      <c r="H1665" t="s">
        <v>14</v>
      </c>
      <c r="I1665" s="2">
        <v>45517</v>
      </c>
      <c r="J1665" s="2">
        <v>45562</v>
      </c>
      <c r="K1665" t="s">
        <v>21</v>
      </c>
    </row>
    <row r="1666" spans="1:11" x14ac:dyDescent="0.25">
      <c r="A1666" t="s">
        <v>115</v>
      </c>
      <c r="B1666" t="s">
        <v>12</v>
      </c>
      <c r="C1666">
        <v>196</v>
      </c>
      <c r="D1666">
        <v>35</v>
      </c>
      <c r="E1666" t="s">
        <v>13</v>
      </c>
      <c r="F1666" t="s">
        <v>171</v>
      </c>
      <c r="G1666">
        <v>420.85</v>
      </c>
      <c r="H1666" t="s">
        <v>14</v>
      </c>
      <c r="I1666" s="2">
        <v>45363</v>
      </c>
      <c r="J1666" s="2">
        <v>45424</v>
      </c>
      <c r="K1666" t="s">
        <v>172</v>
      </c>
    </row>
    <row r="1667" spans="1:11" x14ac:dyDescent="0.25">
      <c r="A1667" t="s">
        <v>117</v>
      </c>
      <c r="B1667" t="s">
        <v>30</v>
      </c>
      <c r="C1667">
        <v>130</v>
      </c>
      <c r="D1667">
        <v>88</v>
      </c>
      <c r="E1667" t="s">
        <v>13</v>
      </c>
      <c r="F1667" t="s">
        <v>171</v>
      </c>
      <c r="G1667">
        <v>494.78</v>
      </c>
      <c r="H1667" t="s">
        <v>26</v>
      </c>
      <c r="I1667" s="2">
        <v>45293</v>
      </c>
      <c r="J1667" s="2">
        <v>45309</v>
      </c>
    </row>
    <row r="1668" spans="1:11" x14ac:dyDescent="0.25">
      <c r="A1668" t="s">
        <v>128</v>
      </c>
      <c r="B1668" t="s">
        <v>28</v>
      </c>
      <c r="C1668">
        <v>0</v>
      </c>
      <c r="D1668">
        <v>80</v>
      </c>
      <c r="E1668" t="s">
        <v>19</v>
      </c>
      <c r="F1668" t="s">
        <v>170</v>
      </c>
      <c r="G1668">
        <v>445.31</v>
      </c>
      <c r="H1668" t="s">
        <v>14</v>
      </c>
      <c r="I1668" s="2">
        <v>45538</v>
      </c>
      <c r="J1668" s="2">
        <v>45621</v>
      </c>
      <c r="K1668" t="s">
        <v>172</v>
      </c>
    </row>
    <row r="1669" spans="1:11" x14ac:dyDescent="0.25">
      <c r="A1669" t="s">
        <v>131</v>
      </c>
      <c r="B1669" t="s">
        <v>30</v>
      </c>
      <c r="C1669">
        <v>57</v>
      </c>
      <c r="D1669">
        <v>29</v>
      </c>
      <c r="E1669" t="s">
        <v>13</v>
      </c>
      <c r="F1669" t="s">
        <v>170</v>
      </c>
      <c r="G1669">
        <v>188.88</v>
      </c>
      <c r="H1669" t="s">
        <v>14</v>
      </c>
      <c r="I1669" s="2">
        <v>45419</v>
      </c>
      <c r="J1669" s="2">
        <v>45491</v>
      </c>
    </row>
    <row r="1670" spans="1:11" x14ac:dyDescent="0.25">
      <c r="A1670" t="s">
        <v>104</v>
      </c>
      <c r="B1670" t="s">
        <v>16</v>
      </c>
      <c r="C1670">
        <v>123</v>
      </c>
      <c r="D1670">
        <v>69</v>
      </c>
      <c r="E1670" t="s">
        <v>13</v>
      </c>
      <c r="F1670" t="s">
        <v>171</v>
      </c>
      <c r="G1670">
        <v>101.61</v>
      </c>
      <c r="H1670" t="s">
        <v>14</v>
      </c>
      <c r="I1670" s="2">
        <v>45623</v>
      </c>
      <c r="J1670" s="2">
        <v>45681</v>
      </c>
      <c r="K1670" t="s">
        <v>172</v>
      </c>
    </row>
    <row r="1671" spans="1:11" x14ac:dyDescent="0.25">
      <c r="A1671" t="s">
        <v>101</v>
      </c>
      <c r="B1671" t="s">
        <v>30</v>
      </c>
      <c r="C1671">
        <v>165</v>
      </c>
      <c r="D1671">
        <v>22</v>
      </c>
      <c r="E1671" t="s">
        <v>13</v>
      </c>
      <c r="F1671" t="s">
        <v>171</v>
      </c>
      <c r="G1671">
        <v>247.25</v>
      </c>
      <c r="H1671" t="s">
        <v>20</v>
      </c>
      <c r="I1671" s="2">
        <v>45488</v>
      </c>
      <c r="J1671" s="2">
        <v>45576</v>
      </c>
      <c r="K1671" t="s">
        <v>21</v>
      </c>
    </row>
    <row r="1672" spans="1:11" x14ac:dyDescent="0.25">
      <c r="A1672" t="s">
        <v>98</v>
      </c>
      <c r="B1672" t="s">
        <v>12</v>
      </c>
      <c r="C1672">
        <v>14</v>
      </c>
      <c r="D1672">
        <v>96</v>
      </c>
      <c r="E1672" t="s">
        <v>19</v>
      </c>
      <c r="F1672" t="s">
        <v>171</v>
      </c>
      <c r="G1672">
        <v>372.11</v>
      </c>
      <c r="H1672" t="s">
        <v>20</v>
      </c>
      <c r="I1672" s="2">
        <v>45647</v>
      </c>
      <c r="J1672" s="2">
        <v>45717</v>
      </c>
      <c r="K1672" t="s">
        <v>17</v>
      </c>
    </row>
    <row r="1673" spans="1:11" x14ac:dyDescent="0.25">
      <c r="A1673" t="s">
        <v>77</v>
      </c>
      <c r="B1673" t="s">
        <v>30</v>
      </c>
      <c r="C1673">
        <v>161</v>
      </c>
      <c r="D1673">
        <v>89</v>
      </c>
      <c r="E1673" t="s">
        <v>13</v>
      </c>
      <c r="F1673" t="s">
        <v>170</v>
      </c>
      <c r="G1673">
        <v>248.82</v>
      </c>
      <c r="H1673" t="s">
        <v>26</v>
      </c>
      <c r="I1673" s="2">
        <v>45535</v>
      </c>
      <c r="J1673" s="2">
        <v>45592</v>
      </c>
      <c r="K1673" t="s">
        <v>172</v>
      </c>
    </row>
    <row r="1674" spans="1:11" x14ac:dyDescent="0.25">
      <c r="A1674" t="s">
        <v>73</v>
      </c>
      <c r="B1674" t="s">
        <v>28</v>
      </c>
      <c r="C1674">
        <v>188</v>
      </c>
      <c r="D1674">
        <v>70</v>
      </c>
      <c r="E1674" t="s">
        <v>13</v>
      </c>
      <c r="F1674" t="s">
        <v>171</v>
      </c>
      <c r="G1674">
        <v>244.17</v>
      </c>
      <c r="H1674" t="s">
        <v>20</v>
      </c>
      <c r="I1674" s="2">
        <v>45512</v>
      </c>
      <c r="J1674" s="2">
        <v>45560</v>
      </c>
    </row>
    <row r="1675" spans="1:11" x14ac:dyDescent="0.25">
      <c r="A1675" t="s">
        <v>137</v>
      </c>
      <c r="B1675" t="s">
        <v>23</v>
      </c>
      <c r="C1675">
        <v>162</v>
      </c>
      <c r="D1675">
        <v>38</v>
      </c>
      <c r="E1675" t="s">
        <v>13</v>
      </c>
      <c r="F1675" t="s">
        <v>171</v>
      </c>
      <c r="G1675">
        <v>419.92</v>
      </c>
      <c r="H1675" t="s">
        <v>26</v>
      </c>
      <c r="I1675" s="2">
        <v>45434</v>
      </c>
      <c r="J1675" s="2">
        <v>45478</v>
      </c>
      <c r="K1675" t="s">
        <v>17</v>
      </c>
    </row>
    <row r="1676" spans="1:11" x14ac:dyDescent="0.25">
      <c r="A1676" t="s">
        <v>154</v>
      </c>
      <c r="B1676" t="s">
        <v>30</v>
      </c>
      <c r="C1676">
        <v>63</v>
      </c>
      <c r="D1676">
        <v>61</v>
      </c>
      <c r="E1676" t="s">
        <v>13</v>
      </c>
      <c r="F1676" t="s">
        <v>173</v>
      </c>
      <c r="G1676">
        <v>183.89</v>
      </c>
      <c r="H1676" t="s">
        <v>20</v>
      </c>
      <c r="I1676" s="2">
        <v>45400</v>
      </c>
      <c r="J1676" s="2">
        <v>45485</v>
      </c>
    </row>
    <row r="1677" spans="1:11" x14ac:dyDescent="0.25">
      <c r="A1677" t="s">
        <v>66</v>
      </c>
      <c r="B1677" t="s">
        <v>28</v>
      </c>
      <c r="C1677">
        <v>24</v>
      </c>
      <c r="D1677">
        <v>54</v>
      </c>
      <c r="E1677" t="s">
        <v>19</v>
      </c>
      <c r="F1677" t="s">
        <v>170</v>
      </c>
      <c r="G1677">
        <v>430.6</v>
      </c>
      <c r="H1677" t="s">
        <v>14</v>
      </c>
      <c r="I1677" s="2">
        <v>45389</v>
      </c>
      <c r="J1677" s="2">
        <v>45473</v>
      </c>
      <c r="K1677" t="s">
        <v>21</v>
      </c>
    </row>
    <row r="1678" spans="1:11" x14ac:dyDescent="0.25">
      <c r="A1678" t="s">
        <v>150</v>
      </c>
      <c r="B1678" t="s">
        <v>28</v>
      </c>
      <c r="C1678">
        <v>23</v>
      </c>
      <c r="D1678">
        <v>65</v>
      </c>
      <c r="E1678" t="s">
        <v>19</v>
      </c>
      <c r="F1678" t="s">
        <v>173</v>
      </c>
      <c r="G1678">
        <v>206.37</v>
      </c>
      <c r="H1678" t="s">
        <v>20</v>
      </c>
      <c r="I1678" s="2">
        <v>45298</v>
      </c>
      <c r="J1678" s="2">
        <v>45367</v>
      </c>
      <c r="K1678" t="s">
        <v>17</v>
      </c>
    </row>
    <row r="1679" spans="1:11" x14ac:dyDescent="0.25">
      <c r="A1679" t="s">
        <v>154</v>
      </c>
      <c r="B1679" t="s">
        <v>12</v>
      </c>
      <c r="C1679">
        <v>11</v>
      </c>
      <c r="D1679">
        <v>45</v>
      </c>
      <c r="E1679" t="s">
        <v>19</v>
      </c>
      <c r="F1679" t="s">
        <v>173</v>
      </c>
      <c r="G1679">
        <v>167.48</v>
      </c>
      <c r="H1679" t="s">
        <v>26</v>
      </c>
      <c r="I1679" s="2">
        <v>45653</v>
      </c>
      <c r="J1679" s="2">
        <v>45734</v>
      </c>
    </row>
    <row r="1680" spans="1:11" x14ac:dyDescent="0.25">
      <c r="A1680" t="s">
        <v>161</v>
      </c>
      <c r="B1680" t="s">
        <v>28</v>
      </c>
      <c r="C1680">
        <v>17</v>
      </c>
      <c r="D1680">
        <v>88</v>
      </c>
      <c r="E1680" t="s">
        <v>19</v>
      </c>
      <c r="F1680" t="s">
        <v>171</v>
      </c>
      <c r="G1680">
        <v>229.73</v>
      </c>
      <c r="H1680" t="s">
        <v>20</v>
      </c>
      <c r="I1680" s="2">
        <v>45303</v>
      </c>
      <c r="J1680" s="2">
        <v>45330</v>
      </c>
      <c r="K1680" t="s">
        <v>172</v>
      </c>
    </row>
    <row r="1681" spans="1:11" x14ac:dyDescent="0.25">
      <c r="A1681" t="s">
        <v>144</v>
      </c>
      <c r="B1681" t="s">
        <v>28</v>
      </c>
      <c r="C1681">
        <v>14</v>
      </c>
      <c r="D1681">
        <v>83</v>
      </c>
      <c r="E1681" t="s">
        <v>19</v>
      </c>
      <c r="F1681" t="s">
        <v>170</v>
      </c>
      <c r="G1681">
        <v>382.41</v>
      </c>
      <c r="H1681" t="s">
        <v>14</v>
      </c>
      <c r="I1681" s="2">
        <v>45551</v>
      </c>
      <c r="J1681" s="2">
        <v>45568</v>
      </c>
      <c r="K1681" t="s">
        <v>21</v>
      </c>
    </row>
    <row r="1682" spans="1:11" x14ac:dyDescent="0.25">
      <c r="A1682" t="s">
        <v>106</v>
      </c>
      <c r="B1682" t="s">
        <v>28</v>
      </c>
      <c r="C1682">
        <v>26</v>
      </c>
      <c r="D1682">
        <v>56</v>
      </c>
      <c r="E1682" t="s">
        <v>19</v>
      </c>
      <c r="F1682" t="s">
        <v>171</v>
      </c>
      <c r="G1682">
        <v>67.37</v>
      </c>
      <c r="H1682" t="s">
        <v>26</v>
      </c>
      <c r="I1682" s="2">
        <v>45572</v>
      </c>
      <c r="J1682" s="2">
        <v>45612</v>
      </c>
      <c r="K1682" t="s">
        <v>21</v>
      </c>
    </row>
    <row r="1683" spans="1:11" x14ac:dyDescent="0.25">
      <c r="A1683" t="s">
        <v>141</v>
      </c>
      <c r="B1683" t="s">
        <v>28</v>
      </c>
      <c r="C1683">
        <v>71</v>
      </c>
      <c r="D1683">
        <v>68</v>
      </c>
      <c r="E1683" t="s">
        <v>13</v>
      </c>
      <c r="F1683" t="s">
        <v>170</v>
      </c>
      <c r="G1683">
        <v>102.23</v>
      </c>
      <c r="H1683" t="s">
        <v>14</v>
      </c>
      <c r="I1683" s="2">
        <v>45443</v>
      </c>
      <c r="J1683" s="2">
        <v>45514</v>
      </c>
      <c r="K1683" t="s">
        <v>21</v>
      </c>
    </row>
    <row r="1684" spans="1:11" x14ac:dyDescent="0.25">
      <c r="A1684" t="s">
        <v>56</v>
      </c>
      <c r="B1684" t="s">
        <v>16</v>
      </c>
      <c r="C1684">
        <v>59</v>
      </c>
      <c r="D1684">
        <v>40</v>
      </c>
      <c r="E1684" t="s">
        <v>13</v>
      </c>
      <c r="F1684" t="s">
        <v>173</v>
      </c>
      <c r="G1684">
        <v>475.97</v>
      </c>
      <c r="H1684" t="s">
        <v>14</v>
      </c>
      <c r="I1684" s="2">
        <v>45536</v>
      </c>
      <c r="J1684" s="2">
        <v>45574</v>
      </c>
      <c r="K1684" t="s">
        <v>172</v>
      </c>
    </row>
    <row r="1685" spans="1:11" x14ac:dyDescent="0.25">
      <c r="A1685" t="s">
        <v>94</v>
      </c>
      <c r="B1685" t="s">
        <v>16</v>
      </c>
      <c r="C1685">
        <v>173</v>
      </c>
      <c r="D1685">
        <v>93</v>
      </c>
      <c r="E1685" t="s">
        <v>13</v>
      </c>
      <c r="F1685" t="s">
        <v>170</v>
      </c>
      <c r="G1685">
        <v>91.87</v>
      </c>
      <c r="H1685" t="s">
        <v>26</v>
      </c>
      <c r="I1685" s="2">
        <v>45525</v>
      </c>
      <c r="J1685" s="2">
        <v>45592</v>
      </c>
      <c r="K1685" t="s">
        <v>172</v>
      </c>
    </row>
    <row r="1686" spans="1:11" x14ac:dyDescent="0.25">
      <c r="A1686" t="s">
        <v>128</v>
      </c>
      <c r="B1686" t="s">
        <v>12</v>
      </c>
      <c r="C1686">
        <v>144</v>
      </c>
      <c r="D1686">
        <v>83</v>
      </c>
      <c r="E1686" t="s">
        <v>13</v>
      </c>
      <c r="F1686" t="s">
        <v>171</v>
      </c>
      <c r="G1686">
        <v>286.02999999999997</v>
      </c>
      <c r="H1686" t="s">
        <v>14</v>
      </c>
      <c r="I1686" s="2">
        <v>45319</v>
      </c>
      <c r="J1686" s="2">
        <v>45403</v>
      </c>
      <c r="K1686" t="s">
        <v>17</v>
      </c>
    </row>
    <row r="1687" spans="1:11" x14ac:dyDescent="0.25">
      <c r="A1687" t="s">
        <v>134</v>
      </c>
      <c r="B1687" t="s">
        <v>30</v>
      </c>
      <c r="C1687">
        <v>92</v>
      </c>
      <c r="D1687">
        <v>24</v>
      </c>
      <c r="E1687" t="s">
        <v>13</v>
      </c>
      <c r="F1687" t="s">
        <v>171</v>
      </c>
      <c r="G1687">
        <v>291.76</v>
      </c>
      <c r="H1687" t="s">
        <v>14</v>
      </c>
      <c r="I1687" s="2">
        <v>45460</v>
      </c>
      <c r="J1687" s="2">
        <v>45517</v>
      </c>
      <c r="K1687" t="s">
        <v>172</v>
      </c>
    </row>
    <row r="1688" spans="1:11" x14ac:dyDescent="0.25">
      <c r="A1688" t="s">
        <v>136</v>
      </c>
      <c r="B1688" t="s">
        <v>28</v>
      </c>
      <c r="C1688">
        <v>52</v>
      </c>
      <c r="D1688">
        <v>89</v>
      </c>
      <c r="E1688" t="s">
        <v>19</v>
      </c>
      <c r="F1688" t="s">
        <v>171</v>
      </c>
      <c r="G1688">
        <v>247.36</v>
      </c>
      <c r="H1688" t="s">
        <v>20</v>
      </c>
      <c r="I1688" s="2">
        <v>45638</v>
      </c>
      <c r="J1688" s="2">
        <v>45712</v>
      </c>
      <c r="K1688" t="s">
        <v>17</v>
      </c>
    </row>
    <row r="1689" spans="1:11" x14ac:dyDescent="0.25">
      <c r="A1689" t="s">
        <v>73</v>
      </c>
      <c r="B1689" t="s">
        <v>30</v>
      </c>
      <c r="C1689">
        <v>7</v>
      </c>
      <c r="D1689">
        <v>23</v>
      </c>
      <c r="E1689" t="s">
        <v>19</v>
      </c>
      <c r="F1689" t="s">
        <v>170</v>
      </c>
      <c r="G1689">
        <v>324.14999999999998</v>
      </c>
      <c r="H1689" t="s">
        <v>14</v>
      </c>
      <c r="I1689" s="2">
        <v>45527</v>
      </c>
      <c r="J1689" s="2">
        <v>45599</v>
      </c>
      <c r="K1689" t="s">
        <v>21</v>
      </c>
    </row>
    <row r="1690" spans="1:11" x14ac:dyDescent="0.25">
      <c r="A1690" t="s">
        <v>152</v>
      </c>
      <c r="B1690" t="s">
        <v>30</v>
      </c>
      <c r="C1690">
        <v>78</v>
      </c>
      <c r="D1690">
        <v>58</v>
      </c>
      <c r="E1690" t="s">
        <v>13</v>
      </c>
      <c r="F1690" t="s">
        <v>173</v>
      </c>
      <c r="G1690">
        <v>118.76</v>
      </c>
      <c r="H1690" t="s">
        <v>14</v>
      </c>
      <c r="I1690" s="2">
        <v>45645</v>
      </c>
      <c r="J1690" s="2">
        <v>45708</v>
      </c>
      <c r="K1690" t="s">
        <v>17</v>
      </c>
    </row>
    <row r="1691" spans="1:11" x14ac:dyDescent="0.25">
      <c r="A1691" t="s">
        <v>98</v>
      </c>
      <c r="B1691" t="s">
        <v>12</v>
      </c>
      <c r="C1691">
        <v>26</v>
      </c>
      <c r="D1691">
        <v>54</v>
      </c>
      <c r="E1691" t="s">
        <v>19</v>
      </c>
      <c r="F1691" t="s">
        <v>173</v>
      </c>
      <c r="G1691">
        <v>278.57</v>
      </c>
      <c r="H1691" t="s">
        <v>14</v>
      </c>
      <c r="I1691" s="2">
        <v>45576</v>
      </c>
      <c r="J1691" s="2">
        <v>45632</v>
      </c>
    </row>
    <row r="1692" spans="1:11" x14ac:dyDescent="0.25">
      <c r="A1692" t="s">
        <v>93</v>
      </c>
      <c r="B1692" t="s">
        <v>28</v>
      </c>
      <c r="C1692">
        <v>173</v>
      </c>
      <c r="D1692">
        <v>20</v>
      </c>
      <c r="E1692" t="s">
        <v>13</v>
      </c>
      <c r="F1692" t="s">
        <v>170</v>
      </c>
      <c r="G1692">
        <v>189.23</v>
      </c>
      <c r="H1692" t="s">
        <v>14</v>
      </c>
      <c r="I1692" s="2">
        <v>45327</v>
      </c>
      <c r="J1692" s="2">
        <v>45407</v>
      </c>
      <c r="K1692" t="s">
        <v>21</v>
      </c>
    </row>
    <row r="1693" spans="1:11" x14ac:dyDescent="0.25">
      <c r="A1693" t="s">
        <v>39</v>
      </c>
      <c r="B1693" t="s">
        <v>28</v>
      </c>
      <c r="C1693">
        <v>49</v>
      </c>
      <c r="D1693">
        <v>43</v>
      </c>
      <c r="E1693" t="s">
        <v>13</v>
      </c>
      <c r="F1693" t="s">
        <v>171</v>
      </c>
      <c r="G1693">
        <v>332.53</v>
      </c>
      <c r="H1693" t="s">
        <v>26</v>
      </c>
      <c r="I1693" s="2">
        <v>45303</v>
      </c>
      <c r="J1693" s="2">
        <v>45328</v>
      </c>
      <c r="K1693" t="s">
        <v>21</v>
      </c>
    </row>
    <row r="1694" spans="1:11" x14ac:dyDescent="0.25">
      <c r="A1694" t="s">
        <v>150</v>
      </c>
      <c r="B1694" t="s">
        <v>23</v>
      </c>
      <c r="C1694">
        <v>198</v>
      </c>
      <c r="D1694">
        <v>76</v>
      </c>
      <c r="E1694" t="s">
        <v>13</v>
      </c>
      <c r="F1694" t="s">
        <v>173</v>
      </c>
      <c r="G1694">
        <v>74.91</v>
      </c>
      <c r="H1694" t="s">
        <v>20</v>
      </c>
      <c r="I1694" s="2">
        <v>45395</v>
      </c>
      <c r="J1694" s="2">
        <v>45427</v>
      </c>
      <c r="K1694" t="s">
        <v>17</v>
      </c>
    </row>
    <row r="1695" spans="1:11" x14ac:dyDescent="0.25">
      <c r="A1695" t="s">
        <v>81</v>
      </c>
      <c r="B1695" t="s">
        <v>30</v>
      </c>
      <c r="C1695">
        <v>130</v>
      </c>
      <c r="D1695">
        <v>89</v>
      </c>
      <c r="E1695" t="s">
        <v>13</v>
      </c>
      <c r="F1695" t="s">
        <v>171</v>
      </c>
      <c r="G1695">
        <v>287.58</v>
      </c>
      <c r="H1695" t="s">
        <v>14</v>
      </c>
      <c r="I1695" s="2">
        <v>45532</v>
      </c>
      <c r="J1695" s="2">
        <v>45598</v>
      </c>
      <c r="K1695" t="s">
        <v>21</v>
      </c>
    </row>
    <row r="1696" spans="1:11" x14ac:dyDescent="0.25">
      <c r="A1696" t="s">
        <v>103</v>
      </c>
      <c r="B1696" t="s">
        <v>30</v>
      </c>
      <c r="C1696">
        <v>92</v>
      </c>
      <c r="D1696">
        <v>60</v>
      </c>
      <c r="E1696" t="s">
        <v>13</v>
      </c>
      <c r="F1696" t="s">
        <v>170</v>
      </c>
      <c r="G1696">
        <v>96.71</v>
      </c>
      <c r="H1696" t="s">
        <v>14</v>
      </c>
      <c r="I1696" s="2">
        <v>45350</v>
      </c>
      <c r="J1696" s="2">
        <v>45410</v>
      </c>
      <c r="K1696" t="s">
        <v>172</v>
      </c>
    </row>
    <row r="1697" spans="1:11" x14ac:dyDescent="0.25">
      <c r="A1697" t="s">
        <v>104</v>
      </c>
      <c r="B1697" t="s">
        <v>16</v>
      </c>
      <c r="C1697">
        <v>191</v>
      </c>
      <c r="D1697">
        <v>73</v>
      </c>
      <c r="E1697" t="s">
        <v>13</v>
      </c>
      <c r="F1697" t="s">
        <v>171</v>
      </c>
      <c r="G1697">
        <v>142.93</v>
      </c>
      <c r="H1697" t="s">
        <v>26</v>
      </c>
      <c r="I1697" s="2">
        <v>45390</v>
      </c>
      <c r="J1697" s="2">
        <v>45448</v>
      </c>
    </row>
    <row r="1698" spans="1:11" x14ac:dyDescent="0.25">
      <c r="A1698" t="s">
        <v>103</v>
      </c>
      <c r="B1698" t="s">
        <v>23</v>
      </c>
      <c r="C1698">
        <v>171</v>
      </c>
      <c r="D1698">
        <v>65</v>
      </c>
      <c r="E1698" t="s">
        <v>13</v>
      </c>
      <c r="F1698" t="s">
        <v>173</v>
      </c>
      <c r="G1698">
        <v>113.26</v>
      </c>
      <c r="H1698" t="s">
        <v>14</v>
      </c>
      <c r="I1698" s="2">
        <v>45517</v>
      </c>
      <c r="J1698" s="2">
        <v>45553</v>
      </c>
      <c r="K1698" t="s">
        <v>17</v>
      </c>
    </row>
    <row r="1699" spans="1:11" x14ac:dyDescent="0.25">
      <c r="A1699" t="s">
        <v>97</v>
      </c>
      <c r="B1699" t="s">
        <v>16</v>
      </c>
      <c r="C1699">
        <v>180</v>
      </c>
      <c r="D1699">
        <v>79</v>
      </c>
      <c r="E1699" t="s">
        <v>13</v>
      </c>
      <c r="F1699" t="s">
        <v>173</v>
      </c>
      <c r="G1699">
        <v>95.5</v>
      </c>
      <c r="H1699" t="s">
        <v>26</v>
      </c>
      <c r="I1699" s="2">
        <v>45328</v>
      </c>
      <c r="J1699" s="2">
        <v>45395</v>
      </c>
      <c r="K1699" t="s">
        <v>17</v>
      </c>
    </row>
    <row r="1700" spans="1:11" x14ac:dyDescent="0.25">
      <c r="A1700" t="s">
        <v>72</v>
      </c>
      <c r="B1700" t="s">
        <v>16</v>
      </c>
      <c r="C1700">
        <v>23</v>
      </c>
      <c r="D1700">
        <v>79</v>
      </c>
      <c r="E1700" t="s">
        <v>19</v>
      </c>
      <c r="F1700" t="s">
        <v>171</v>
      </c>
      <c r="G1700">
        <v>413.73</v>
      </c>
      <c r="H1700" t="s">
        <v>20</v>
      </c>
      <c r="I1700" s="2">
        <v>45655</v>
      </c>
      <c r="J1700" s="2">
        <v>45728</v>
      </c>
      <c r="K1700" t="s">
        <v>21</v>
      </c>
    </row>
    <row r="1701" spans="1:11" x14ac:dyDescent="0.25">
      <c r="A1701" t="s">
        <v>18</v>
      </c>
      <c r="B1701" t="s">
        <v>16</v>
      </c>
      <c r="C1701">
        <v>59</v>
      </c>
      <c r="D1701">
        <v>76</v>
      </c>
      <c r="E1701" t="s">
        <v>19</v>
      </c>
      <c r="F1701" t="s">
        <v>170</v>
      </c>
      <c r="G1701">
        <v>146.43</v>
      </c>
      <c r="H1701" t="s">
        <v>20</v>
      </c>
      <c r="I1701" s="2">
        <v>45649</v>
      </c>
      <c r="J1701" s="2">
        <v>45693</v>
      </c>
      <c r="K1701" t="s">
        <v>172</v>
      </c>
    </row>
    <row r="1702" spans="1:11" x14ac:dyDescent="0.25">
      <c r="A1702" t="s">
        <v>135</v>
      </c>
      <c r="B1702" t="s">
        <v>12</v>
      </c>
      <c r="C1702">
        <v>121</v>
      </c>
      <c r="D1702">
        <v>50</v>
      </c>
      <c r="E1702" t="s">
        <v>13</v>
      </c>
      <c r="F1702" t="s">
        <v>171</v>
      </c>
      <c r="G1702">
        <v>463.93</v>
      </c>
      <c r="H1702" t="s">
        <v>14</v>
      </c>
      <c r="I1702" s="2">
        <v>45407</v>
      </c>
      <c r="J1702" s="2">
        <v>45429</v>
      </c>
      <c r="K1702" t="s">
        <v>21</v>
      </c>
    </row>
    <row r="1703" spans="1:11" x14ac:dyDescent="0.25">
      <c r="A1703" t="s">
        <v>127</v>
      </c>
      <c r="B1703" t="s">
        <v>12</v>
      </c>
      <c r="C1703">
        <v>130</v>
      </c>
      <c r="D1703">
        <v>43</v>
      </c>
      <c r="E1703" t="s">
        <v>13</v>
      </c>
      <c r="F1703" t="s">
        <v>170</v>
      </c>
      <c r="G1703">
        <v>485.11</v>
      </c>
      <c r="H1703" t="s">
        <v>14</v>
      </c>
      <c r="I1703" s="2">
        <v>45518</v>
      </c>
      <c r="J1703" s="2">
        <v>45589</v>
      </c>
      <c r="K1703" t="s">
        <v>21</v>
      </c>
    </row>
    <row r="1704" spans="1:11" x14ac:dyDescent="0.25">
      <c r="A1704" t="s">
        <v>130</v>
      </c>
      <c r="B1704" t="s">
        <v>16</v>
      </c>
      <c r="C1704">
        <v>147</v>
      </c>
      <c r="D1704">
        <v>55</v>
      </c>
      <c r="E1704" t="s">
        <v>13</v>
      </c>
      <c r="F1704" t="s">
        <v>171</v>
      </c>
      <c r="G1704">
        <v>287.77</v>
      </c>
      <c r="H1704" t="s">
        <v>14</v>
      </c>
      <c r="I1704" s="2">
        <v>45533</v>
      </c>
      <c r="J1704" s="2">
        <v>45620</v>
      </c>
      <c r="K1704" t="s">
        <v>17</v>
      </c>
    </row>
    <row r="1705" spans="1:11" x14ac:dyDescent="0.25">
      <c r="A1705" t="s">
        <v>137</v>
      </c>
      <c r="B1705" t="s">
        <v>23</v>
      </c>
      <c r="C1705">
        <v>45</v>
      </c>
      <c r="D1705">
        <v>49</v>
      </c>
      <c r="E1705" t="s">
        <v>19</v>
      </c>
      <c r="F1705" t="s">
        <v>173</v>
      </c>
      <c r="G1705">
        <v>75.790000000000006</v>
      </c>
      <c r="H1705" t="s">
        <v>26</v>
      </c>
      <c r="I1705" s="2">
        <v>45348</v>
      </c>
      <c r="J1705" s="2">
        <v>45382</v>
      </c>
      <c r="K1705" t="s">
        <v>21</v>
      </c>
    </row>
    <row r="1706" spans="1:11" x14ac:dyDescent="0.25">
      <c r="A1706" t="s">
        <v>43</v>
      </c>
      <c r="B1706" t="s">
        <v>30</v>
      </c>
      <c r="C1706">
        <v>14</v>
      </c>
      <c r="D1706">
        <v>43</v>
      </c>
      <c r="E1706" t="s">
        <v>19</v>
      </c>
      <c r="F1706" t="s">
        <v>170</v>
      </c>
      <c r="G1706">
        <v>190.4</v>
      </c>
      <c r="H1706" t="s">
        <v>14</v>
      </c>
      <c r="I1706" s="2">
        <v>45429</v>
      </c>
      <c r="J1706" s="2">
        <v>45468</v>
      </c>
    </row>
    <row r="1707" spans="1:11" x14ac:dyDescent="0.25">
      <c r="A1707" t="s">
        <v>78</v>
      </c>
      <c r="B1707" t="s">
        <v>23</v>
      </c>
      <c r="C1707">
        <v>152</v>
      </c>
      <c r="D1707">
        <v>49</v>
      </c>
      <c r="E1707" t="s">
        <v>13</v>
      </c>
      <c r="F1707" t="s">
        <v>170</v>
      </c>
      <c r="G1707">
        <v>399.88</v>
      </c>
      <c r="H1707" t="s">
        <v>14</v>
      </c>
      <c r="I1707" s="2">
        <v>45647</v>
      </c>
      <c r="J1707" s="2">
        <v>45680</v>
      </c>
      <c r="K1707" t="s">
        <v>21</v>
      </c>
    </row>
    <row r="1708" spans="1:11" x14ac:dyDescent="0.25">
      <c r="A1708" t="s">
        <v>85</v>
      </c>
      <c r="B1708" t="s">
        <v>28</v>
      </c>
      <c r="C1708">
        <v>198</v>
      </c>
      <c r="D1708">
        <v>26</v>
      </c>
      <c r="E1708" t="s">
        <v>13</v>
      </c>
      <c r="F1708" t="s">
        <v>170</v>
      </c>
      <c r="G1708">
        <v>186.86</v>
      </c>
      <c r="H1708" t="s">
        <v>20</v>
      </c>
      <c r="I1708" s="2">
        <v>45445</v>
      </c>
      <c r="J1708" s="2">
        <v>45464</v>
      </c>
      <c r="K1708" t="s">
        <v>21</v>
      </c>
    </row>
    <row r="1709" spans="1:11" x14ac:dyDescent="0.25">
      <c r="A1709" t="s">
        <v>97</v>
      </c>
      <c r="B1709" t="s">
        <v>12</v>
      </c>
      <c r="C1709">
        <v>16</v>
      </c>
      <c r="D1709">
        <v>54</v>
      </c>
      <c r="E1709" t="s">
        <v>19</v>
      </c>
      <c r="F1709" t="s">
        <v>173</v>
      </c>
      <c r="G1709">
        <v>48.07</v>
      </c>
      <c r="H1709" t="s">
        <v>14</v>
      </c>
      <c r="I1709" s="2">
        <v>45545</v>
      </c>
      <c r="J1709" s="2">
        <v>45634</v>
      </c>
      <c r="K1709" t="s">
        <v>17</v>
      </c>
    </row>
    <row r="1710" spans="1:11" x14ac:dyDescent="0.25">
      <c r="A1710" t="s">
        <v>122</v>
      </c>
      <c r="B1710" t="s">
        <v>30</v>
      </c>
      <c r="C1710">
        <v>125</v>
      </c>
      <c r="D1710">
        <v>74</v>
      </c>
      <c r="E1710" t="s">
        <v>13</v>
      </c>
      <c r="F1710" t="s">
        <v>171</v>
      </c>
      <c r="G1710">
        <v>280.61</v>
      </c>
      <c r="H1710" t="s">
        <v>20</v>
      </c>
      <c r="I1710" s="2">
        <v>45649</v>
      </c>
      <c r="J1710" s="2">
        <v>45735</v>
      </c>
      <c r="K1710" t="s">
        <v>21</v>
      </c>
    </row>
    <row r="1711" spans="1:11" x14ac:dyDescent="0.25">
      <c r="A1711" t="s">
        <v>159</v>
      </c>
      <c r="B1711" t="s">
        <v>30</v>
      </c>
      <c r="C1711">
        <v>83</v>
      </c>
      <c r="D1711">
        <v>33</v>
      </c>
      <c r="E1711" t="s">
        <v>13</v>
      </c>
      <c r="F1711" t="s">
        <v>173</v>
      </c>
      <c r="G1711">
        <v>423.33</v>
      </c>
      <c r="H1711" t="s">
        <v>14</v>
      </c>
      <c r="I1711" s="2">
        <v>45365</v>
      </c>
      <c r="J1711" s="2">
        <v>45406</v>
      </c>
      <c r="K1711" t="s">
        <v>172</v>
      </c>
    </row>
    <row r="1712" spans="1:11" x14ac:dyDescent="0.25">
      <c r="A1712" t="s">
        <v>43</v>
      </c>
      <c r="B1712" t="s">
        <v>28</v>
      </c>
      <c r="C1712">
        <v>8</v>
      </c>
      <c r="D1712">
        <v>29</v>
      </c>
      <c r="E1712" t="s">
        <v>19</v>
      </c>
      <c r="F1712" t="s">
        <v>170</v>
      </c>
      <c r="G1712">
        <v>398.98</v>
      </c>
      <c r="H1712" t="s">
        <v>20</v>
      </c>
      <c r="I1712" s="2">
        <v>45295</v>
      </c>
      <c r="J1712" s="2">
        <v>45349</v>
      </c>
      <c r="K1712" t="s">
        <v>17</v>
      </c>
    </row>
    <row r="1713" spans="1:11" x14ac:dyDescent="0.25">
      <c r="A1713" t="s">
        <v>138</v>
      </c>
      <c r="B1713" t="s">
        <v>28</v>
      </c>
      <c r="C1713">
        <v>165</v>
      </c>
      <c r="D1713">
        <v>99</v>
      </c>
      <c r="E1713" t="s">
        <v>13</v>
      </c>
      <c r="F1713" t="s">
        <v>171</v>
      </c>
      <c r="G1713">
        <v>91.69</v>
      </c>
      <c r="H1713" t="s">
        <v>14</v>
      </c>
      <c r="I1713" s="2">
        <v>45404</v>
      </c>
      <c r="J1713" s="2">
        <v>45444</v>
      </c>
      <c r="K1713" t="s">
        <v>21</v>
      </c>
    </row>
    <row r="1714" spans="1:11" x14ac:dyDescent="0.25">
      <c r="A1714" t="s">
        <v>142</v>
      </c>
      <c r="B1714" t="s">
        <v>16</v>
      </c>
      <c r="C1714">
        <v>175</v>
      </c>
      <c r="D1714">
        <v>35</v>
      </c>
      <c r="E1714" t="s">
        <v>13</v>
      </c>
      <c r="F1714" t="s">
        <v>173</v>
      </c>
      <c r="G1714">
        <v>338.02</v>
      </c>
      <c r="H1714" t="s">
        <v>20</v>
      </c>
      <c r="I1714" s="2">
        <v>45643</v>
      </c>
      <c r="J1714" s="2">
        <v>45684</v>
      </c>
    </row>
    <row r="1715" spans="1:11" x14ac:dyDescent="0.25">
      <c r="A1715" t="s">
        <v>154</v>
      </c>
      <c r="B1715" t="s">
        <v>12</v>
      </c>
      <c r="C1715">
        <v>187</v>
      </c>
      <c r="D1715">
        <v>73</v>
      </c>
      <c r="E1715" t="s">
        <v>13</v>
      </c>
      <c r="F1715" t="s">
        <v>170</v>
      </c>
      <c r="G1715">
        <v>114.15</v>
      </c>
      <c r="H1715" t="s">
        <v>26</v>
      </c>
      <c r="I1715" s="2">
        <v>45417</v>
      </c>
      <c r="J1715" s="2">
        <v>45493</v>
      </c>
    </row>
    <row r="1716" spans="1:11" x14ac:dyDescent="0.25">
      <c r="A1716" t="s">
        <v>95</v>
      </c>
      <c r="B1716" t="s">
        <v>12</v>
      </c>
      <c r="C1716">
        <v>62</v>
      </c>
      <c r="D1716">
        <v>96</v>
      </c>
      <c r="E1716" t="s">
        <v>19</v>
      </c>
      <c r="F1716" t="s">
        <v>170</v>
      </c>
      <c r="G1716">
        <v>113.01</v>
      </c>
      <c r="H1716" t="s">
        <v>20</v>
      </c>
      <c r="I1716" s="2">
        <v>45415</v>
      </c>
      <c r="J1716" s="2">
        <v>45479</v>
      </c>
      <c r="K1716" t="s">
        <v>17</v>
      </c>
    </row>
    <row r="1717" spans="1:11" x14ac:dyDescent="0.25">
      <c r="A1717" t="s">
        <v>95</v>
      </c>
      <c r="B1717" t="s">
        <v>23</v>
      </c>
      <c r="C1717">
        <v>116</v>
      </c>
      <c r="D1717">
        <v>89</v>
      </c>
      <c r="E1717" t="s">
        <v>13</v>
      </c>
      <c r="F1717" t="s">
        <v>173</v>
      </c>
      <c r="G1717">
        <v>437.67</v>
      </c>
      <c r="H1717" t="s">
        <v>20</v>
      </c>
      <c r="I1717" s="2">
        <v>45315</v>
      </c>
      <c r="J1717" s="2">
        <v>45371</v>
      </c>
      <c r="K1717" t="s">
        <v>17</v>
      </c>
    </row>
    <row r="1718" spans="1:11" x14ac:dyDescent="0.25">
      <c r="A1718" t="s">
        <v>125</v>
      </c>
      <c r="B1718" t="s">
        <v>16</v>
      </c>
      <c r="C1718">
        <v>129</v>
      </c>
      <c r="D1718">
        <v>63</v>
      </c>
      <c r="E1718" t="s">
        <v>13</v>
      </c>
      <c r="F1718" t="s">
        <v>173</v>
      </c>
      <c r="G1718">
        <v>128.59</v>
      </c>
      <c r="H1718" t="s">
        <v>20</v>
      </c>
      <c r="I1718" s="2">
        <v>45508</v>
      </c>
      <c r="J1718" s="2">
        <v>45551</v>
      </c>
      <c r="K1718" t="s">
        <v>21</v>
      </c>
    </row>
    <row r="1719" spans="1:11" x14ac:dyDescent="0.25">
      <c r="A1719" t="s">
        <v>89</v>
      </c>
      <c r="B1719" t="s">
        <v>16</v>
      </c>
      <c r="C1719">
        <v>87</v>
      </c>
      <c r="D1719">
        <v>92</v>
      </c>
      <c r="E1719" t="s">
        <v>19</v>
      </c>
      <c r="F1719" t="s">
        <v>173</v>
      </c>
      <c r="G1719">
        <v>135.31</v>
      </c>
      <c r="H1719" t="s">
        <v>14</v>
      </c>
      <c r="I1719" s="2">
        <v>45421</v>
      </c>
      <c r="J1719" s="2">
        <v>45474</v>
      </c>
      <c r="K1719" t="s">
        <v>172</v>
      </c>
    </row>
    <row r="1720" spans="1:11" x14ac:dyDescent="0.25">
      <c r="A1720" t="s">
        <v>75</v>
      </c>
      <c r="B1720" t="s">
        <v>16</v>
      </c>
      <c r="C1720">
        <v>71</v>
      </c>
      <c r="D1720">
        <v>64</v>
      </c>
      <c r="E1720" t="s">
        <v>13</v>
      </c>
      <c r="F1720" t="s">
        <v>170</v>
      </c>
      <c r="G1720">
        <v>5.32</v>
      </c>
      <c r="H1720" t="s">
        <v>14</v>
      </c>
      <c r="I1720" s="2">
        <v>45351</v>
      </c>
      <c r="J1720" s="2">
        <v>45425</v>
      </c>
      <c r="K1720" t="s">
        <v>21</v>
      </c>
    </row>
    <row r="1721" spans="1:11" x14ac:dyDescent="0.25">
      <c r="A1721" t="s">
        <v>146</v>
      </c>
      <c r="B1721" t="s">
        <v>16</v>
      </c>
      <c r="C1721">
        <v>138</v>
      </c>
      <c r="D1721">
        <v>75</v>
      </c>
      <c r="E1721" t="s">
        <v>13</v>
      </c>
      <c r="F1721" t="s">
        <v>173</v>
      </c>
      <c r="G1721">
        <v>435.98</v>
      </c>
      <c r="H1721" t="s">
        <v>14</v>
      </c>
      <c r="I1721" s="2">
        <v>45490</v>
      </c>
      <c r="J1721" s="2">
        <v>45545</v>
      </c>
    </row>
    <row r="1722" spans="1:11" x14ac:dyDescent="0.25">
      <c r="A1722" t="s">
        <v>117</v>
      </c>
      <c r="B1722" t="s">
        <v>12</v>
      </c>
      <c r="C1722">
        <v>63</v>
      </c>
      <c r="D1722">
        <v>76</v>
      </c>
      <c r="E1722" t="s">
        <v>19</v>
      </c>
      <c r="F1722" t="s">
        <v>170</v>
      </c>
      <c r="G1722">
        <v>397.33</v>
      </c>
      <c r="H1722" t="s">
        <v>26</v>
      </c>
      <c r="I1722" s="2">
        <v>45637</v>
      </c>
      <c r="J1722" s="2">
        <v>45684</v>
      </c>
      <c r="K1722" t="s">
        <v>172</v>
      </c>
    </row>
    <row r="1723" spans="1:11" x14ac:dyDescent="0.25">
      <c r="A1723" t="s">
        <v>123</v>
      </c>
      <c r="B1723" t="s">
        <v>12</v>
      </c>
      <c r="C1723">
        <v>71</v>
      </c>
      <c r="D1723">
        <v>40</v>
      </c>
      <c r="E1723" t="s">
        <v>13</v>
      </c>
      <c r="F1723" t="s">
        <v>173</v>
      </c>
      <c r="G1723">
        <v>315.52999999999997</v>
      </c>
      <c r="H1723" t="s">
        <v>26</v>
      </c>
      <c r="I1723" s="2">
        <v>45441</v>
      </c>
      <c r="J1723" s="2">
        <v>45471</v>
      </c>
      <c r="K1723" t="s">
        <v>172</v>
      </c>
    </row>
    <row r="1724" spans="1:11" x14ac:dyDescent="0.25">
      <c r="A1724" t="s">
        <v>84</v>
      </c>
      <c r="B1724" t="s">
        <v>16</v>
      </c>
      <c r="C1724">
        <v>20</v>
      </c>
      <c r="D1724">
        <v>87</v>
      </c>
      <c r="E1724" t="s">
        <v>19</v>
      </c>
      <c r="F1724" t="s">
        <v>170</v>
      </c>
      <c r="G1724">
        <v>376.38</v>
      </c>
      <c r="H1724" t="s">
        <v>20</v>
      </c>
      <c r="I1724" s="2">
        <v>45314</v>
      </c>
      <c r="J1724" s="2">
        <v>45351</v>
      </c>
      <c r="K1724" t="s">
        <v>172</v>
      </c>
    </row>
    <row r="1725" spans="1:11" x14ac:dyDescent="0.25">
      <c r="A1725" t="s">
        <v>113</v>
      </c>
      <c r="B1725" t="s">
        <v>23</v>
      </c>
      <c r="C1725">
        <v>17</v>
      </c>
      <c r="D1725">
        <v>69</v>
      </c>
      <c r="E1725" t="s">
        <v>19</v>
      </c>
      <c r="F1725" t="s">
        <v>170</v>
      </c>
      <c r="G1725">
        <v>80.260000000000005</v>
      </c>
      <c r="H1725" t="s">
        <v>26</v>
      </c>
      <c r="I1725" s="2">
        <v>45522</v>
      </c>
      <c r="J1725" s="2">
        <v>45543</v>
      </c>
      <c r="K1725" t="s">
        <v>21</v>
      </c>
    </row>
    <row r="1726" spans="1:11" x14ac:dyDescent="0.25">
      <c r="A1726" t="s">
        <v>148</v>
      </c>
      <c r="B1726" t="s">
        <v>30</v>
      </c>
      <c r="C1726">
        <v>63</v>
      </c>
      <c r="D1726">
        <v>52</v>
      </c>
      <c r="E1726" t="s">
        <v>13</v>
      </c>
      <c r="F1726" t="s">
        <v>171</v>
      </c>
      <c r="G1726">
        <v>231.87</v>
      </c>
      <c r="H1726" t="s">
        <v>20</v>
      </c>
      <c r="I1726" s="2">
        <v>45528</v>
      </c>
      <c r="J1726" s="2">
        <v>45568</v>
      </c>
    </row>
    <row r="1727" spans="1:11" x14ac:dyDescent="0.25">
      <c r="A1727" t="s">
        <v>79</v>
      </c>
      <c r="B1727" t="s">
        <v>30</v>
      </c>
      <c r="C1727">
        <v>81</v>
      </c>
      <c r="D1727">
        <v>26</v>
      </c>
      <c r="E1727" t="s">
        <v>13</v>
      </c>
      <c r="F1727" t="s">
        <v>173</v>
      </c>
      <c r="G1727">
        <v>178.85</v>
      </c>
      <c r="H1727" t="s">
        <v>20</v>
      </c>
      <c r="I1727" s="2">
        <v>45363</v>
      </c>
      <c r="J1727" s="2">
        <v>45389</v>
      </c>
      <c r="K1727" t="s">
        <v>17</v>
      </c>
    </row>
    <row r="1728" spans="1:11" x14ac:dyDescent="0.25">
      <c r="A1728" t="s">
        <v>74</v>
      </c>
      <c r="B1728" t="s">
        <v>23</v>
      </c>
      <c r="C1728">
        <v>109</v>
      </c>
      <c r="D1728">
        <v>89</v>
      </c>
      <c r="E1728" t="s">
        <v>13</v>
      </c>
      <c r="F1728" t="s">
        <v>173</v>
      </c>
      <c r="G1728">
        <v>51.42</v>
      </c>
      <c r="H1728" t="s">
        <v>20</v>
      </c>
      <c r="I1728" s="2">
        <v>45411</v>
      </c>
      <c r="J1728" s="2">
        <v>45497</v>
      </c>
      <c r="K1728" t="s">
        <v>21</v>
      </c>
    </row>
    <row r="1729" spans="1:11" x14ac:dyDescent="0.25">
      <c r="A1729" t="s">
        <v>105</v>
      </c>
      <c r="B1729" t="s">
        <v>16</v>
      </c>
      <c r="C1729">
        <v>94</v>
      </c>
      <c r="D1729">
        <v>34</v>
      </c>
      <c r="E1729" t="s">
        <v>13</v>
      </c>
      <c r="F1729" t="s">
        <v>170</v>
      </c>
      <c r="G1729">
        <v>245.63</v>
      </c>
      <c r="H1729" t="s">
        <v>26</v>
      </c>
      <c r="I1729" s="2">
        <v>45468</v>
      </c>
      <c r="J1729" s="2">
        <v>45487</v>
      </c>
      <c r="K1729" t="s">
        <v>17</v>
      </c>
    </row>
    <row r="1730" spans="1:11" x14ac:dyDescent="0.25">
      <c r="A1730" t="s">
        <v>130</v>
      </c>
      <c r="B1730" t="s">
        <v>12</v>
      </c>
      <c r="C1730">
        <v>165</v>
      </c>
      <c r="D1730">
        <v>51</v>
      </c>
      <c r="E1730" t="s">
        <v>13</v>
      </c>
      <c r="F1730" t="s">
        <v>170</v>
      </c>
      <c r="G1730">
        <v>460.77</v>
      </c>
      <c r="H1730" t="s">
        <v>14</v>
      </c>
      <c r="I1730" s="2">
        <v>45613</v>
      </c>
      <c r="J1730" s="2">
        <v>45696</v>
      </c>
      <c r="K1730" t="s">
        <v>172</v>
      </c>
    </row>
    <row r="1731" spans="1:11" x14ac:dyDescent="0.25">
      <c r="A1731" t="s">
        <v>54</v>
      </c>
      <c r="B1731" t="s">
        <v>30</v>
      </c>
      <c r="C1731">
        <v>31</v>
      </c>
      <c r="D1731">
        <v>94</v>
      </c>
      <c r="E1731" t="s">
        <v>19</v>
      </c>
      <c r="F1731" t="s">
        <v>170</v>
      </c>
      <c r="G1731">
        <v>24.83</v>
      </c>
      <c r="H1731" t="s">
        <v>26</v>
      </c>
      <c r="I1731" s="2">
        <v>45571</v>
      </c>
      <c r="J1731" s="2">
        <v>45634</v>
      </c>
      <c r="K1731" t="s">
        <v>172</v>
      </c>
    </row>
    <row r="1732" spans="1:11" x14ac:dyDescent="0.25">
      <c r="A1732" t="s">
        <v>103</v>
      </c>
      <c r="B1732" t="s">
        <v>28</v>
      </c>
      <c r="C1732">
        <v>10</v>
      </c>
      <c r="D1732">
        <v>39</v>
      </c>
      <c r="E1732" t="s">
        <v>19</v>
      </c>
      <c r="F1732" t="s">
        <v>171</v>
      </c>
      <c r="G1732">
        <v>149.27000000000001</v>
      </c>
      <c r="H1732" t="s">
        <v>20</v>
      </c>
      <c r="I1732" s="2">
        <v>45613</v>
      </c>
      <c r="J1732" s="2">
        <v>45653</v>
      </c>
      <c r="K1732" t="s">
        <v>21</v>
      </c>
    </row>
    <row r="1733" spans="1:11" x14ac:dyDescent="0.25">
      <c r="A1733" t="s">
        <v>82</v>
      </c>
      <c r="B1733" t="s">
        <v>28</v>
      </c>
      <c r="C1733">
        <v>44</v>
      </c>
      <c r="D1733">
        <v>34</v>
      </c>
      <c r="E1733" t="s">
        <v>13</v>
      </c>
      <c r="F1733" t="s">
        <v>171</v>
      </c>
      <c r="G1733">
        <v>107.73</v>
      </c>
      <c r="H1733" t="s">
        <v>20</v>
      </c>
      <c r="I1733" s="2">
        <v>45327</v>
      </c>
      <c r="J1733" s="2">
        <v>45346</v>
      </c>
    </row>
    <row r="1734" spans="1:11" x14ac:dyDescent="0.25">
      <c r="A1734" t="s">
        <v>159</v>
      </c>
      <c r="B1734" t="s">
        <v>23</v>
      </c>
      <c r="C1734">
        <v>32</v>
      </c>
      <c r="D1734">
        <v>67</v>
      </c>
      <c r="E1734" t="s">
        <v>19</v>
      </c>
      <c r="F1734" t="s">
        <v>170</v>
      </c>
      <c r="G1734">
        <v>122.88</v>
      </c>
      <c r="H1734" t="s">
        <v>26</v>
      </c>
      <c r="I1734" s="2">
        <v>45512</v>
      </c>
      <c r="J1734" s="2">
        <v>45548</v>
      </c>
      <c r="K1734" t="s">
        <v>172</v>
      </c>
    </row>
    <row r="1735" spans="1:11" x14ac:dyDescent="0.25">
      <c r="A1735" t="s">
        <v>66</v>
      </c>
      <c r="B1735" t="s">
        <v>16</v>
      </c>
      <c r="C1735">
        <v>101</v>
      </c>
      <c r="D1735">
        <v>90</v>
      </c>
      <c r="E1735" t="s">
        <v>13</v>
      </c>
      <c r="F1735" t="s">
        <v>173</v>
      </c>
      <c r="G1735">
        <v>454.68</v>
      </c>
      <c r="H1735" t="s">
        <v>20</v>
      </c>
      <c r="I1735" s="2">
        <v>45606</v>
      </c>
      <c r="J1735" s="2">
        <v>45633</v>
      </c>
      <c r="K1735" t="s">
        <v>17</v>
      </c>
    </row>
    <row r="1736" spans="1:11" x14ac:dyDescent="0.25">
      <c r="A1736" t="s">
        <v>116</v>
      </c>
      <c r="B1736" t="s">
        <v>30</v>
      </c>
      <c r="C1736">
        <v>168</v>
      </c>
      <c r="D1736">
        <v>40</v>
      </c>
      <c r="E1736" t="s">
        <v>13</v>
      </c>
      <c r="F1736" t="s">
        <v>173</v>
      </c>
      <c r="G1736">
        <v>236.69</v>
      </c>
      <c r="H1736" t="s">
        <v>20</v>
      </c>
      <c r="I1736" s="2">
        <v>45415</v>
      </c>
      <c r="J1736" s="2">
        <v>45457</v>
      </c>
      <c r="K1736" t="s">
        <v>17</v>
      </c>
    </row>
    <row r="1737" spans="1:11" x14ac:dyDescent="0.25">
      <c r="A1737" t="s">
        <v>152</v>
      </c>
      <c r="B1737" t="s">
        <v>16</v>
      </c>
      <c r="C1737">
        <v>135</v>
      </c>
      <c r="D1737">
        <v>61</v>
      </c>
      <c r="E1737" t="s">
        <v>13</v>
      </c>
      <c r="F1737" t="s">
        <v>171</v>
      </c>
      <c r="G1737">
        <v>235.82</v>
      </c>
      <c r="H1737" t="s">
        <v>26</v>
      </c>
      <c r="I1737" s="2">
        <v>45363</v>
      </c>
      <c r="J1737" s="2">
        <v>45410</v>
      </c>
      <c r="K1737" t="s">
        <v>21</v>
      </c>
    </row>
    <row r="1738" spans="1:11" x14ac:dyDescent="0.25">
      <c r="A1738" t="s">
        <v>27</v>
      </c>
      <c r="B1738" t="s">
        <v>30</v>
      </c>
      <c r="C1738">
        <v>10</v>
      </c>
      <c r="D1738">
        <v>45</v>
      </c>
      <c r="E1738" t="s">
        <v>19</v>
      </c>
      <c r="F1738" t="s">
        <v>171</v>
      </c>
      <c r="G1738">
        <v>381.48</v>
      </c>
      <c r="H1738" t="s">
        <v>26</v>
      </c>
      <c r="I1738" s="2">
        <v>45606</v>
      </c>
      <c r="J1738" s="2">
        <v>45643</v>
      </c>
      <c r="K1738" t="s">
        <v>17</v>
      </c>
    </row>
    <row r="1739" spans="1:11" x14ac:dyDescent="0.25">
      <c r="A1739" t="s">
        <v>113</v>
      </c>
      <c r="B1739" t="s">
        <v>23</v>
      </c>
      <c r="C1739">
        <v>178</v>
      </c>
      <c r="D1739">
        <v>33</v>
      </c>
      <c r="E1739" t="s">
        <v>13</v>
      </c>
      <c r="F1739" t="s">
        <v>170</v>
      </c>
      <c r="G1739">
        <v>81.47</v>
      </c>
      <c r="H1739" t="s">
        <v>26</v>
      </c>
      <c r="I1739" s="2">
        <v>45391</v>
      </c>
      <c r="J1739" s="2">
        <v>45423</v>
      </c>
    </row>
    <row r="1740" spans="1:11" x14ac:dyDescent="0.25">
      <c r="A1740" t="s">
        <v>98</v>
      </c>
      <c r="B1740" t="s">
        <v>23</v>
      </c>
      <c r="C1740">
        <v>87</v>
      </c>
      <c r="D1740">
        <v>76</v>
      </c>
      <c r="E1740" t="s">
        <v>13</v>
      </c>
      <c r="F1740" t="s">
        <v>173</v>
      </c>
      <c r="G1740">
        <v>246.2</v>
      </c>
      <c r="H1740" t="s">
        <v>20</v>
      </c>
      <c r="I1740" s="2">
        <v>45537</v>
      </c>
      <c r="J1740" s="2">
        <v>45581</v>
      </c>
      <c r="K1740" t="s">
        <v>172</v>
      </c>
    </row>
    <row r="1741" spans="1:11" x14ac:dyDescent="0.25">
      <c r="A1741" t="s">
        <v>145</v>
      </c>
      <c r="B1741" t="s">
        <v>28</v>
      </c>
      <c r="C1741">
        <v>40</v>
      </c>
      <c r="D1741">
        <v>56</v>
      </c>
      <c r="E1741" t="s">
        <v>19</v>
      </c>
      <c r="F1741" t="s">
        <v>170</v>
      </c>
      <c r="G1741">
        <v>217.84</v>
      </c>
      <c r="H1741" t="s">
        <v>20</v>
      </c>
      <c r="I1741" s="2">
        <v>45457</v>
      </c>
      <c r="J1741" s="2">
        <v>45497</v>
      </c>
      <c r="K1741" t="s">
        <v>17</v>
      </c>
    </row>
    <row r="1742" spans="1:11" x14ac:dyDescent="0.25">
      <c r="A1742" t="s">
        <v>129</v>
      </c>
      <c r="B1742" t="s">
        <v>16</v>
      </c>
      <c r="C1742">
        <v>144</v>
      </c>
      <c r="D1742">
        <v>77</v>
      </c>
      <c r="E1742" t="s">
        <v>13</v>
      </c>
      <c r="F1742" t="s">
        <v>171</v>
      </c>
      <c r="G1742">
        <v>300.47000000000003</v>
      </c>
      <c r="H1742" t="s">
        <v>14</v>
      </c>
      <c r="I1742" s="2">
        <v>45409</v>
      </c>
      <c r="J1742" s="2">
        <v>45439</v>
      </c>
      <c r="K1742" t="s">
        <v>17</v>
      </c>
    </row>
    <row r="1743" spans="1:11" x14ac:dyDescent="0.25">
      <c r="A1743" t="s">
        <v>39</v>
      </c>
      <c r="B1743" t="s">
        <v>28</v>
      </c>
      <c r="C1743">
        <v>75</v>
      </c>
      <c r="D1743">
        <v>40</v>
      </c>
      <c r="E1743" t="s">
        <v>13</v>
      </c>
      <c r="F1743" t="s">
        <v>173</v>
      </c>
      <c r="G1743">
        <v>499.78</v>
      </c>
      <c r="H1743" t="s">
        <v>14</v>
      </c>
      <c r="I1743" s="2">
        <v>45587</v>
      </c>
      <c r="J1743" s="2">
        <v>45640</v>
      </c>
      <c r="K1743" t="s">
        <v>172</v>
      </c>
    </row>
    <row r="1744" spans="1:11" x14ac:dyDescent="0.25">
      <c r="A1744" t="s">
        <v>115</v>
      </c>
      <c r="B1744" t="s">
        <v>16</v>
      </c>
      <c r="C1744">
        <v>120</v>
      </c>
      <c r="D1744">
        <v>88</v>
      </c>
      <c r="E1744" t="s">
        <v>13</v>
      </c>
      <c r="F1744" t="s">
        <v>173</v>
      </c>
      <c r="G1744">
        <v>385.88</v>
      </c>
      <c r="H1744" t="s">
        <v>26</v>
      </c>
      <c r="I1744" s="2">
        <v>45316</v>
      </c>
      <c r="J1744" s="2">
        <v>45363</v>
      </c>
      <c r="K1744" t="s">
        <v>21</v>
      </c>
    </row>
    <row r="1745" spans="1:11" x14ac:dyDescent="0.25">
      <c r="A1745" t="s">
        <v>18</v>
      </c>
      <c r="B1745" t="s">
        <v>28</v>
      </c>
      <c r="C1745">
        <v>45</v>
      </c>
      <c r="D1745">
        <v>22</v>
      </c>
      <c r="E1745" t="s">
        <v>13</v>
      </c>
      <c r="F1745" t="s">
        <v>171</v>
      </c>
      <c r="G1745">
        <v>201.94</v>
      </c>
      <c r="H1745" t="s">
        <v>14</v>
      </c>
      <c r="I1745" s="2">
        <v>45600</v>
      </c>
      <c r="J1745" s="2">
        <v>45640</v>
      </c>
      <c r="K1745" t="s">
        <v>17</v>
      </c>
    </row>
    <row r="1746" spans="1:11" x14ac:dyDescent="0.25">
      <c r="A1746" t="s">
        <v>90</v>
      </c>
      <c r="B1746" t="s">
        <v>12</v>
      </c>
      <c r="C1746">
        <v>159</v>
      </c>
      <c r="D1746">
        <v>56</v>
      </c>
      <c r="E1746" t="s">
        <v>13</v>
      </c>
      <c r="F1746" t="s">
        <v>170</v>
      </c>
      <c r="G1746">
        <v>414.64</v>
      </c>
      <c r="H1746" t="s">
        <v>20</v>
      </c>
      <c r="I1746" s="2">
        <v>45618</v>
      </c>
      <c r="J1746" s="2">
        <v>45680</v>
      </c>
      <c r="K1746" t="s">
        <v>21</v>
      </c>
    </row>
    <row r="1747" spans="1:11" x14ac:dyDescent="0.25">
      <c r="A1747" t="s">
        <v>67</v>
      </c>
      <c r="B1747" t="s">
        <v>12</v>
      </c>
      <c r="C1747">
        <v>79</v>
      </c>
      <c r="D1747">
        <v>68</v>
      </c>
      <c r="E1747" t="s">
        <v>13</v>
      </c>
      <c r="F1747" t="s">
        <v>170</v>
      </c>
      <c r="G1747">
        <v>89.5</v>
      </c>
      <c r="H1747" t="s">
        <v>14</v>
      </c>
      <c r="I1747" s="2">
        <v>45368</v>
      </c>
      <c r="J1747" s="2">
        <v>45447</v>
      </c>
      <c r="K1747" t="s">
        <v>21</v>
      </c>
    </row>
    <row r="1748" spans="1:11" x14ac:dyDescent="0.25">
      <c r="A1748" t="s">
        <v>128</v>
      </c>
      <c r="B1748" t="s">
        <v>12</v>
      </c>
      <c r="C1748">
        <v>53</v>
      </c>
      <c r="D1748">
        <v>38</v>
      </c>
      <c r="E1748" t="s">
        <v>13</v>
      </c>
      <c r="F1748" t="s">
        <v>173</v>
      </c>
      <c r="G1748">
        <v>20.079999999999998</v>
      </c>
      <c r="H1748" t="s">
        <v>20</v>
      </c>
      <c r="I1748" s="2">
        <v>45639</v>
      </c>
      <c r="J1748" s="2">
        <v>45691</v>
      </c>
      <c r="K1748" t="s">
        <v>17</v>
      </c>
    </row>
    <row r="1749" spans="1:11" x14ac:dyDescent="0.25">
      <c r="A1749" t="s">
        <v>87</v>
      </c>
      <c r="B1749" t="s">
        <v>12</v>
      </c>
      <c r="C1749">
        <v>85</v>
      </c>
      <c r="D1749">
        <v>31</v>
      </c>
      <c r="E1749" t="s">
        <v>13</v>
      </c>
      <c r="F1749" t="s">
        <v>171</v>
      </c>
      <c r="G1749">
        <v>106.2</v>
      </c>
      <c r="H1749" t="s">
        <v>26</v>
      </c>
      <c r="I1749" s="2">
        <v>45437</v>
      </c>
      <c r="J1749" s="2">
        <v>45453</v>
      </c>
    </row>
    <row r="1750" spans="1:11" x14ac:dyDescent="0.25">
      <c r="A1750" t="s">
        <v>96</v>
      </c>
      <c r="B1750" t="s">
        <v>30</v>
      </c>
      <c r="C1750">
        <v>91</v>
      </c>
      <c r="D1750">
        <v>80</v>
      </c>
      <c r="E1750" t="s">
        <v>13</v>
      </c>
      <c r="F1750" t="s">
        <v>173</v>
      </c>
      <c r="G1750">
        <v>173.5</v>
      </c>
      <c r="H1750" t="s">
        <v>26</v>
      </c>
      <c r="I1750" s="2">
        <v>45344</v>
      </c>
      <c r="J1750" s="2">
        <v>45364</v>
      </c>
      <c r="K1750" t="s">
        <v>21</v>
      </c>
    </row>
    <row r="1751" spans="1:11" x14ac:dyDescent="0.25">
      <c r="A1751" t="s">
        <v>143</v>
      </c>
      <c r="B1751" t="s">
        <v>12</v>
      </c>
      <c r="C1751">
        <v>147</v>
      </c>
      <c r="D1751">
        <v>60</v>
      </c>
      <c r="E1751" t="s">
        <v>13</v>
      </c>
      <c r="F1751" t="s">
        <v>171</v>
      </c>
      <c r="G1751">
        <v>257.74</v>
      </c>
      <c r="H1751" t="s">
        <v>20</v>
      </c>
      <c r="I1751" s="2">
        <v>45413</v>
      </c>
      <c r="J1751" s="2">
        <v>45473</v>
      </c>
      <c r="K1751" t="s">
        <v>17</v>
      </c>
    </row>
    <row r="1752" spans="1:11" x14ac:dyDescent="0.25">
      <c r="A1752" t="s">
        <v>138</v>
      </c>
      <c r="B1752" t="s">
        <v>23</v>
      </c>
      <c r="C1752">
        <v>160</v>
      </c>
      <c r="D1752">
        <v>52</v>
      </c>
      <c r="E1752" t="s">
        <v>13</v>
      </c>
      <c r="F1752" t="s">
        <v>170</v>
      </c>
      <c r="G1752">
        <v>309.49</v>
      </c>
      <c r="H1752" t="s">
        <v>14</v>
      </c>
      <c r="I1752" s="2">
        <v>45305</v>
      </c>
      <c r="J1752" s="2">
        <v>45369</v>
      </c>
      <c r="K1752" t="s">
        <v>21</v>
      </c>
    </row>
    <row r="1753" spans="1:11" x14ac:dyDescent="0.25">
      <c r="A1753" t="s">
        <v>126</v>
      </c>
      <c r="B1753" t="s">
        <v>23</v>
      </c>
      <c r="C1753">
        <v>167</v>
      </c>
      <c r="D1753">
        <v>69</v>
      </c>
      <c r="E1753" t="s">
        <v>13</v>
      </c>
      <c r="F1753" t="s">
        <v>171</v>
      </c>
      <c r="G1753">
        <v>455.75</v>
      </c>
      <c r="H1753" t="s">
        <v>26</v>
      </c>
      <c r="I1753" s="2">
        <v>45353</v>
      </c>
      <c r="J1753" s="2">
        <v>45405</v>
      </c>
      <c r="K1753" t="s">
        <v>172</v>
      </c>
    </row>
    <row r="1754" spans="1:11" x14ac:dyDescent="0.25">
      <c r="A1754" t="s">
        <v>149</v>
      </c>
      <c r="B1754" t="s">
        <v>30</v>
      </c>
      <c r="C1754">
        <v>159</v>
      </c>
      <c r="D1754">
        <v>87</v>
      </c>
      <c r="E1754" t="s">
        <v>13</v>
      </c>
      <c r="F1754" t="s">
        <v>170</v>
      </c>
      <c r="G1754">
        <v>257.38</v>
      </c>
      <c r="H1754" t="s">
        <v>26</v>
      </c>
      <c r="I1754" s="2">
        <v>45359</v>
      </c>
      <c r="J1754" s="2">
        <v>45391</v>
      </c>
    </row>
    <row r="1755" spans="1:11" x14ac:dyDescent="0.25">
      <c r="A1755" t="s">
        <v>153</v>
      </c>
      <c r="B1755" t="s">
        <v>12</v>
      </c>
      <c r="C1755">
        <v>96</v>
      </c>
      <c r="D1755">
        <v>90</v>
      </c>
      <c r="E1755" t="s">
        <v>13</v>
      </c>
      <c r="F1755" t="s">
        <v>171</v>
      </c>
      <c r="G1755">
        <v>253.13</v>
      </c>
      <c r="H1755" t="s">
        <v>14</v>
      </c>
      <c r="I1755" s="2">
        <v>45374</v>
      </c>
      <c r="J1755" s="2">
        <v>45415</v>
      </c>
    </row>
    <row r="1756" spans="1:11" x14ac:dyDescent="0.25">
      <c r="A1756" t="s">
        <v>141</v>
      </c>
      <c r="B1756" t="s">
        <v>12</v>
      </c>
      <c r="C1756">
        <v>1</v>
      </c>
      <c r="D1756">
        <v>52</v>
      </c>
      <c r="E1756" t="s">
        <v>19</v>
      </c>
      <c r="F1756" t="s">
        <v>173</v>
      </c>
      <c r="G1756">
        <v>29.87</v>
      </c>
      <c r="H1756" t="s">
        <v>14</v>
      </c>
      <c r="I1756" s="2">
        <v>45583</v>
      </c>
      <c r="J1756" s="2">
        <v>45638</v>
      </c>
      <c r="K1756" t="s">
        <v>172</v>
      </c>
    </row>
    <row r="1757" spans="1:11" x14ac:dyDescent="0.25">
      <c r="A1757" t="s">
        <v>143</v>
      </c>
      <c r="B1757" t="s">
        <v>12</v>
      </c>
      <c r="C1757">
        <v>32</v>
      </c>
      <c r="D1757">
        <v>43</v>
      </c>
      <c r="E1757" t="s">
        <v>19</v>
      </c>
      <c r="F1757" t="s">
        <v>170</v>
      </c>
      <c r="G1757">
        <v>22.28</v>
      </c>
      <c r="H1757" t="s">
        <v>20</v>
      </c>
      <c r="I1757" s="2">
        <v>45547</v>
      </c>
      <c r="J1757" s="2">
        <v>45633</v>
      </c>
      <c r="K1757" t="s">
        <v>172</v>
      </c>
    </row>
    <row r="1758" spans="1:11" x14ac:dyDescent="0.25">
      <c r="A1758" t="s">
        <v>72</v>
      </c>
      <c r="B1758" t="s">
        <v>28</v>
      </c>
      <c r="C1758">
        <v>157</v>
      </c>
      <c r="D1758">
        <v>80</v>
      </c>
      <c r="E1758" t="s">
        <v>13</v>
      </c>
      <c r="F1758" t="s">
        <v>173</v>
      </c>
      <c r="G1758">
        <v>277.82</v>
      </c>
      <c r="H1758" t="s">
        <v>14</v>
      </c>
      <c r="I1758" s="2">
        <v>45477</v>
      </c>
      <c r="J1758" s="2">
        <v>45565</v>
      </c>
      <c r="K1758" t="s">
        <v>21</v>
      </c>
    </row>
    <row r="1759" spans="1:11" x14ac:dyDescent="0.25">
      <c r="A1759" t="s">
        <v>118</v>
      </c>
      <c r="B1759" t="s">
        <v>16</v>
      </c>
      <c r="C1759">
        <v>160</v>
      </c>
      <c r="D1759">
        <v>80</v>
      </c>
      <c r="E1759" t="s">
        <v>13</v>
      </c>
      <c r="F1759" t="s">
        <v>173</v>
      </c>
      <c r="G1759">
        <v>221.9</v>
      </c>
      <c r="H1759" t="s">
        <v>14</v>
      </c>
      <c r="I1759" s="2">
        <v>45625</v>
      </c>
      <c r="J1759" s="2">
        <v>45656</v>
      </c>
      <c r="K1759" t="s">
        <v>172</v>
      </c>
    </row>
    <row r="1760" spans="1:11" x14ac:dyDescent="0.25">
      <c r="A1760" t="s">
        <v>138</v>
      </c>
      <c r="B1760" t="s">
        <v>28</v>
      </c>
      <c r="C1760">
        <v>76</v>
      </c>
      <c r="D1760">
        <v>47</v>
      </c>
      <c r="E1760" t="s">
        <v>13</v>
      </c>
      <c r="F1760" t="s">
        <v>170</v>
      </c>
      <c r="G1760">
        <v>420.39</v>
      </c>
      <c r="H1760" t="s">
        <v>14</v>
      </c>
      <c r="I1760" s="2">
        <v>45423</v>
      </c>
      <c r="J1760" s="2">
        <v>45499</v>
      </c>
    </row>
    <row r="1761" spans="1:11" x14ac:dyDescent="0.25">
      <c r="A1761" t="s">
        <v>109</v>
      </c>
      <c r="B1761" t="s">
        <v>16</v>
      </c>
      <c r="C1761">
        <v>115</v>
      </c>
      <c r="D1761">
        <v>77</v>
      </c>
      <c r="E1761" t="s">
        <v>13</v>
      </c>
      <c r="F1761" t="s">
        <v>170</v>
      </c>
      <c r="G1761">
        <v>84.54</v>
      </c>
      <c r="H1761" t="s">
        <v>20</v>
      </c>
      <c r="I1761" s="2">
        <v>45375</v>
      </c>
      <c r="J1761" s="2">
        <v>45418</v>
      </c>
      <c r="K1761" t="s">
        <v>172</v>
      </c>
    </row>
    <row r="1762" spans="1:11" x14ac:dyDescent="0.25">
      <c r="A1762" t="s">
        <v>161</v>
      </c>
      <c r="B1762" t="s">
        <v>12</v>
      </c>
      <c r="C1762">
        <v>153</v>
      </c>
      <c r="D1762">
        <v>62</v>
      </c>
      <c r="E1762" t="s">
        <v>13</v>
      </c>
      <c r="F1762" t="s">
        <v>173</v>
      </c>
      <c r="G1762">
        <v>17.36</v>
      </c>
      <c r="H1762" t="s">
        <v>20</v>
      </c>
      <c r="I1762" s="2">
        <v>45632</v>
      </c>
      <c r="J1762" s="2">
        <v>45704</v>
      </c>
      <c r="K1762" t="s">
        <v>17</v>
      </c>
    </row>
    <row r="1763" spans="1:11" x14ac:dyDescent="0.25">
      <c r="A1763" t="s">
        <v>105</v>
      </c>
      <c r="B1763" t="s">
        <v>12</v>
      </c>
      <c r="C1763">
        <v>149</v>
      </c>
      <c r="D1763">
        <v>60</v>
      </c>
      <c r="E1763" t="s">
        <v>13</v>
      </c>
      <c r="F1763" t="s">
        <v>173</v>
      </c>
      <c r="G1763">
        <v>227.27</v>
      </c>
      <c r="H1763" t="s">
        <v>26</v>
      </c>
      <c r="I1763" s="2">
        <v>45326</v>
      </c>
      <c r="J1763" s="2">
        <v>45410</v>
      </c>
      <c r="K1763" t="s">
        <v>17</v>
      </c>
    </row>
    <row r="1764" spans="1:11" x14ac:dyDescent="0.25">
      <c r="A1764" t="s">
        <v>129</v>
      </c>
      <c r="B1764" t="s">
        <v>28</v>
      </c>
      <c r="C1764">
        <v>102</v>
      </c>
      <c r="D1764">
        <v>58</v>
      </c>
      <c r="E1764" t="s">
        <v>13</v>
      </c>
      <c r="F1764" t="s">
        <v>173</v>
      </c>
      <c r="G1764">
        <v>122.55</v>
      </c>
      <c r="H1764" t="s">
        <v>20</v>
      </c>
      <c r="I1764" s="2">
        <v>45378</v>
      </c>
      <c r="J1764" s="2">
        <v>45414</v>
      </c>
      <c r="K1764" t="s">
        <v>21</v>
      </c>
    </row>
    <row r="1765" spans="1:11" x14ac:dyDescent="0.25">
      <c r="A1765" t="s">
        <v>99</v>
      </c>
      <c r="B1765" t="s">
        <v>28</v>
      </c>
      <c r="C1765">
        <v>193</v>
      </c>
      <c r="D1765">
        <v>68</v>
      </c>
      <c r="E1765" t="s">
        <v>13</v>
      </c>
      <c r="F1765" t="s">
        <v>173</v>
      </c>
      <c r="G1765">
        <v>29.56</v>
      </c>
      <c r="H1765" t="s">
        <v>26</v>
      </c>
      <c r="I1765" s="2">
        <v>45431</v>
      </c>
      <c r="J1765" s="2">
        <v>45451</v>
      </c>
    </row>
    <row r="1766" spans="1:11" x14ac:dyDescent="0.25">
      <c r="A1766" t="s">
        <v>160</v>
      </c>
      <c r="B1766" t="s">
        <v>16</v>
      </c>
      <c r="C1766">
        <v>165</v>
      </c>
      <c r="D1766">
        <v>36</v>
      </c>
      <c r="E1766" t="s">
        <v>13</v>
      </c>
      <c r="F1766" t="s">
        <v>170</v>
      </c>
      <c r="G1766">
        <v>363.68</v>
      </c>
      <c r="H1766" t="s">
        <v>14</v>
      </c>
      <c r="I1766" s="2">
        <v>45600</v>
      </c>
      <c r="J1766" s="2">
        <v>45640</v>
      </c>
      <c r="K1766" t="s">
        <v>17</v>
      </c>
    </row>
    <row r="1767" spans="1:11" x14ac:dyDescent="0.25">
      <c r="A1767" t="s">
        <v>54</v>
      </c>
      <c r="B1767" t="s">
        <v>23</v>
      </c>
      <c r="C1767">
        <v>102</v>
      </c>
      <c r="D1767">
        <v>89</v>
      </c>
      <c r="E1767" t="s">
        <v>13</v>
      </c>
      <c r="F1767" t="s">
        <v>170</v>
      </c>
      <c r="G1767">
        <v>60.24</v>
      </c>
      <c r="H1767" t="s">
        <v>26</v>
      </c>
      <c r="I1767" s="2">
        <v>45477</v>
      </c>
      <c r="J1767" s="2">
        <v>45530</v>
      </c>
      <c r="K1767" t="s">
        <v>172</v>
      </c>
    </row>
    <row r="1768" spans="1:11" x14ac:dyDescent="0.25">
      <c r="A1768" t="s">
        <v>75</v>
      </c>
      <c r="B1768" t="s">
        <v>16</v>
      </c>
      <c r="C1768">
        <v>89</v>
      </c>
      <c r="D1768">
        <v>89</v>
      </c>
      <c r="E1768" t="s">
        <v>13</v>
      </c>
      <c r="F1768" t="s">
        <v>173</v>
      </c>
      <c r="G1768">
        <v>306.12</v>
      </c>
      <c r="H1768" t="s">
        <v>26</v>
      </c>
      <c r="I1768" s="2">
        <v>45425</v>
      </c>
      <c r="J1768" s="2">
        <v>45451</v>
      </c>
      <c r="K1768" t="s">
        <v>17</v>
      </c>
    </row>
    <row r="1769" spans="1:11" x14ac:dyDescent="0.25">
      <c r="A1769" t="s">
        <v>125</v>
      </c>
      <c r="B1769" t="s">
        <v>28</v>
      </c>
      <c r="C1769">
        <v>173</v>
      </c>
      <c r="D1769">
        <v>84</v>
      </c>
      <c r="E1769" t="s">
        <v>13</v>
      </c>
      <c r="F1769" t="s">
        <v>171</v>
      </c>
      <c r="G1769">
        <v>144.12</v>
      </c>
      <c r="H1769" t="s">
        <v>14</v>
      </c>
      <c r="I1769" s="2">
        <v>45314</v>
      </c>
      <c r="J1769" s="2">
        <v>45342</v>
      </c>
      <c r="K1769" t="s">
        <v>17</v>
      </c>
    </row>
    <row r="1770" spans="1:11" x14ac:dyDescent="0.25">
      <c r="A1770" t="s">
        <v>140</v>
      </c>
      <c r="B1770" t="s">
        <v>28</v>
      </c>
      <c r="C1770">
        <v>121</v>
      </c>
      <c r="D1770">
        <v>93</v>
      </c>
      <c r="E1770" t="s">
        <v>13</v>
      </c>
      <c r="F1770" t="s">
        <v>171</v>
      </c>
      <c r="G1770">
        <v>90.88</v>
      </c>
      <c r="H1770" t="s">
        <v>26</v>
      </c>
      <c r="I1770" s="2">
        <v>45370</v>
      </c>
      <c r="J1770" s="2">
        <v>45406</v>
      </c>
      <c r="K1770" t="s">
        <v>21</v>
      </c>
    </row>
    <row r="1771" spans="1:11" x14ac:dyDescent="0.25">
      <c r="A1771" t="s">
        <v>122</v>
      </c>
      <c r="B1771" t="s">
        <v>30</v>
      </c>
      <c r="C1771">
        <v>142</v>
      </c>
      <c r="D1771">
        <v>24</v>
      </c>
      <c r="E1771" t="s">
        <v>13</v>
      </c>
      <c r="F1771" t="s">
        <v>170</v>
      </c>
      <c r="G1771">
        <v>192.98</v>
      </c>
      <c r="H1771" t="s">
        <v>20</v>
      </c>
      <c r="I1771" s="2">
        <v>45593</v>
      </c>
      <c r="J1771" s="2">
        <v>45658</v>
      </c>
      <c r="K1771" t="s">
        <v>172</v>
      </c>
    </row>
    <row r="1772" spans="1:11" x14ac:dyDescent="0.25">
      <c r="A1772" t="s">
        <v>151</v>
      </c>
      <c r="B1772" t="s">
        <v>28</v>
      </c>
      <c r="C1772">
        <v>105</v>
      </c>
      <c r="D1772">
        <v>21</v>
      </c>
      <c r="E1772" t="s">
        <v>13</v>
      </c>
      <c r="F1772" t="s">
        <v>173</v>
      </c>
      <c r="G1772">
        <v>401.72</v>
      </c>
      <c r="H1772" t="s">
        <v>20</v>
      </c>
      <c r="I1772" s="2">
        <v>45425</v>
      </c>
      <c r="J1772" s="2">
        <v>45462</v>
      </c>
      <c r="K1772" t="s">
        <v>172</v>
      </c>
    </row>
    <row r="1773" spans="1:11" x14ac:dyDescent="0.25">
      <c r="A1773" t="s">
        <v>157</v>
      </c>
      <c r="B1773" t="s">
        <v>30</v>
      </c>
      <c r="C1773">
        <v>118</v>
      </c>
      <c r="D1773">
        <v>41</v>
      </c>
      <c r="E1773" t="s">
        <v>13</v>
      </c>
      <c r="F1773" t="s">
        <v>173</v>
      </c>
      <c r="G1773">
        <v>199.09</v>
      </c>
      <c r="H1773" t="s">
        <v>20</v>
      </c>
      <c r="I1773" s="2">
        <v>45368</v>
      </c>
      <c r="J1773" s="2">
        <v>45430</v>
      </c>
      <c r="K1773" t="s">
        <v>172</v>
      </c>
    </row>
    <row r="1774" spans="1:11" x14ac:dyDescent="0.25">
      <c r="A1774" t="s">
        <v>118</v>
      </c>
      <c r="B1774" t="s">
        <v>23</v>
      </c>
      <c r="C1774">
        <v>171</v>
      </c>
      <c r="D1774">
        <v>76</v>
      </c>
      <c r="E1774" t="s">
        <v>13</v>
      </c>
      <c r="F1774" t="s">
        <v>170</v>
      </c>
      <c r="G1774">
        <v>376.63</v>
      </c>
      <c r="H1774" t="s">
        <v>20</v>
      </c>
      <c r="I1774" s="2">
        <v>45444</v>
      </c>
      <c r="J1774" s="2">
        <v>45529</v>
      </c>
      <c r="K1774" t="s">
        <v>21</v>
      </c>
    </row>
    <row r="1775" spans="1:11" x14ac:dyDescent="0.25">
      <c r="A1775" t="s">
        <v>27</v>
      </c>
      <c r="B1775" t="s">
        <v>16</v>
      </c>
      <c r="C1775">
        <v>48</v>
      </c>
      <c r="D1775">
        <v>85</v>
      </c>
      <c r="E1775" t="s">
        <v>19</v>
      </c>
      <c r="F1775" t="s">
        <v>171</v>
      </c>
      <c r="G1775">
        <v>67.12</v>
      </c>
      <c r="H1775" t="s">
        <v>26</v>
      </c>
      <c r="I1775" s="2">
        <v>45399</v>
      </c>
      <c r="J1775" s="2">
        <v>45463</v>
      </c>
      <c r="K1775" t="s">
        <v>172</v>
      </c>
    </row>
    <row r="1776" spans="1:11" x14ac:dyDescent="0.25">
      <c r="A1776" t="s">
        <v>72</v>
      </c>
      <c r="B1776" t="s">
        <v>16</v>
      </c>
      <c r="C1776">
        <v>103</v>
      </c>
      <c r="D1776">
        <v>93</v>
      </c>
      <c r="E1776" t="s">
        <v>13</v>
      </c>
      <c r="F1776" t="s">
        <v>171</v>
      </c>
      <c r="G1776">
        <v>387.52</v>
      </c>
      <c r="H1776" t="s">
        <v>26</v>
      </c>
      <c r="I1776" s="2">
        <v>45639</v>
      </c>
      <c r="J1776" s="2">
        <v>45666</v>
      </c>
      <c r="K1776" t="s">
        <v>172</v>
      </c>
    </row>
    <row r="1777" spans="1:11" x14ac:dyDescent="0.25">
      <c r="A1777" t="s">
        <v>154</v>
      </c>
      <c r="B1777" t="s">
        <v>30</v>
      </c>
      <c r="C1777">
        <v>60</v>
      </c>
      <c r="D1777">
        <v>35</v>
      </c>
      <c r="E1777" t="s">
        <v>13</v>
      </c>
      <c r="F1777" t="s">
        <v>171</v>
      </c>
      <c r="G1777">
        <v>122.28</v>
      </c>
      <c r="H1777" t="s">
        <v>14</v>
      </c>
      <c r="I1777" s="2">
        <v>45482</v>
      </c>
      <c r="J1777" s="2">
        <v>45506</v>
      </c>
      <c r="K1777" t="s">
        <v>17</v>
      </c>
    </row>
    <row r="1778" spans="1:11" x14ac:dyDescent="0.25">
      <c r="A1778" t="s">
        <v>83</v>
      </c>
      <c r="B1778" t="s">
        <v>16</v>
      </c>
      <c r="C1778">
        <v>194</v>
      </c>
      <c r="D1778">
        <v>70</v>
      </c>
      <c r="E1778" t="s">
        <v>13</v>
      </c>
      <c r="F1778" t="s">
        <v>170</v>
      </c>
      <c r="G1778">
        <v>340.31</v>
      </c>
      <c r="H1778" t="s">
        <v>26</v>
      </c>
      <c r="I1778" s="2">
        <v>45428</v>
      </c>
      <c r="J1778" s="2">
        <v>45497</v>
      </c>
      <c r="K1778" t="s">
        <v>17</v>
      </c>
    </row>
    <row r="1779" spans="1:11" x14ac:dyDescent="0.25">
      <c r="A1779" t="s">
        <v>93</v>
      </c>
      <c r="B1779" t="s">
        <v>28</v>
      </c>
      <c r="C1779">
        <v>122</v>
      </c>
      <c r="D1779">
        <v>58</v>
      </c>
      <c r="E1779" t="s">
        <v>13</v>
      </c>
      <c r="F1779" t="s">
        <v>171</v>
      </c>
      <c r="G1779">
        <v>285.06</v>
      </c>
      <c r="H1779" t="s">
        <v>26</v>
      </c>
      <c r="I1779" s="2">
        <v>45431</v>
      </c>
      <c r="J1779" s="2">
        <v>45454</v>
      </c>
      <c r="K1779" t="s">
        <v>172</v>
      </c>
    </row>
    <row r="1780" spans="1:11" x14ac:dyDescent="0.25">
      <c r="A1780" t="s">
        <v>126</v>
      </c>
      <c r="B1780" t="s">
        <v>12</v>
      </c>
      <c r="C1780">
        <v>133</v>
      </c>
      <c r="D1780">
        <v>95</v>
      </c>
      <c r="E1780" t="s">
        <v>13</v>
      </c>
      <c r="F1780" t="s">
        <v>170</v>
      </c>
      <c r="G1780">
        <v>464.93</v>
      </c>
      <c r="H1780" t="s">
        <v>26</v>
      </c>
      <c r="I1780" s="2">
        <v>45573</v>
      </c>
      <c r="J1780" s="2">
        <v>45639</v>
      </c>
    </row>
    <row r="1781" spans="1:11" x14ac:dyDescent="0.25">
      <c r="A1781" t="s">
        <v>74</v>
      </c>
      <c r="B1781" t="s">
        <v>30</v>
      </c>
      <c r="C1781">
        <v>8</v>
      </c>
      <c r="D1781">
        <v>59</v>
      </c>
      <c r="E1781" t="s">
        <v>19</v>
      </c>
      <c r="F1781" t="s">
        <v>170</v>
      </c>
      <c r="G1781">
        <v>196.72</v>
      </c>
      <c r="H1781" t="s">
        <v>14</v>
      </c>
      <c r="I1781" s="2">
        <v>45366</v>
      </c>
      <c r="J1781" s="2">
        <v>45382</v>
      </c>
    </row>
    <row r="1782" spans="1:11" x14ac:dyDescent="0.25">
      <c r="A1782" t="s">
        <v>154</v>
      </c>
      <c r="B1782" t="s">
        <v>16</v>
      </c>
      <c r="C1782">
        <v>5</v>
      </c>
      <c r="D1782">
        <v>57</v>
      </c>
      <c r="E1782" t="s">
        <v>19</v>
      </c>
      <c r="F1782" t="s">
        <v>173</v>
      </c>
      <c r="G1782">
        <v>37.75</v>
      </c>
      <c r="H1782" t="s">
        <v>20</v>
      </c>
      <c r="I1782" s="2">
        <v>45411</v>
      </c>
      <c r="J1782" s="2">
        <v>45450</v>
      </c>
      <c r="K1782" t="s">
        <v>172</v>
      </c>
    </row>
    <row r="1783" spans="1:11" x14ac:dyDescent="0.25">
      <c r="A1783" t="s">
        <v>131</v>
      </c>
      <c r="B1783" t="s">
        <v>30</v>
      </c>
      <c r="C1783">
        <v>72</v>
      </c>
      <c r="D1783">
        <v>79</v>
      </c>
      <c r="E1783" t="s">
        <v>19</v>
      </c>
      <c r="F1783" t="s">
        <v>171</v>
      </c>
      <c r="G1783">
        <v>14.48</v>
      </c>
      <c r="H1783" t="s">
        <v>26</v>
      </c>
      <c r="I1783" s="2">
        <v>45547</v>
      </c>
      <c r="J1783" s="2">
        <v>45574</v>
      </c>
    </row>
    <row r="1784" spans="1:11" x14ac:dyDescent="0.25">
      <c r="A1784" t="s">
        <v>120</v>
      </c>
      <c r="B1784" t="s">
        <v>30</v>
      </c>
      <c r="C1784">
        <v>102</v>
      </c>
      <c r="D1784">
        <v>78</v>
      </c>
      <c r="E1784" t="s">
        <v>13</v>
      </c>
      <c r="F1784" t="s">
        <v>170</v>
      </c>
      <c r="G1784">
        <v>414.29</v>
      </c>
      <c r="H1784" t="s">
        <v>14</v>
      </c>
      <c r="I1784" s="2">
        <v>45403</v>
      </c>
      <c r="J1784" s="2">
        <v>45468</v>
      </c>
      <c r="K1784" t="s">
        <v>21</v>
      </c>
    </row>
    <row r="1785" spans="1:11" x14ac:dyDescent="0.25">
      <c r="A1785" t="s">
        <v>85</v>
      </c>
      <c r="B1785" t="s">
        <v>12</v>
      </c>
      <c r="C1785">
        <v>159</v>
      </c>
      <c r="D1785">
        <v>29</v>
      </c>
      <c r="E1785" t="s">
        <v>13</v>
      </c>
      <c r="F1785" t="s">
        <v>171</v>
      </c>
      <c r="G1785">
        <v>264.74</v>
      </c>
      <c r="H1785" t="s">
        <v>14</v>
      </c>
      <c r="I1785" s="2">
        <v>45569</v>
      </c>
      <c r="J1785" s="2">
        <v>45641</v>
      </c>
      <c r="K1785" t="s">
        <v>17</v>
      </c>
    </row>
    <row r="1786" spans="1:11" x14ac:dyDescent="0.25">
      <c r="A1786" t="s">
        <v>80</v>
      </c>
      <c r="B1786" t="s">
        <v>28</v>
      </c>
      <c r="C1786">
        <v>40</v>
      </c>
      <c r="D1786">
        <v>83</v>
      </c>
      <c r="E1786" t="s">
        <v>19</v>
      </c>
      <c r="F1786" t="s">
        <v>171</v>
      </c>
      <c r="G1786">
        <v>388.75</v>
      </c>
      <c r="H1786" t="s">
        <v>14</v>
      </c>
      <c r="I1786" s="2">
        <v>45585</v>
      </c>
      <c r="J1786" s="2">
        <v>45633</v>
      </c>
      <c r="K1786" t="s">
        <v>21</v>
      </c>
    </row>
    <row r="1787" spans="1:11" x14ac:dyDescent="0.25">
      <c r="A1787" t="s">
        <v>86</v>
      </c>
      <c r="B1787" t="s">
        <v>30</v>
      </c>
      <c r="C1787">
        <v>113</v>
      </c>
      <c r="D1787">
        <v>82</v>
      </c>
      <c r="E1787" t="s">
        <v>13</v>
      </c>
      <c r="F1787" t="s">
        <v>173</v>
      </c>
      <c r="G1787">
        <v>121.04</v>
      </c>
      <c r="H1787" t="s">
        <v>20</v>
      </c>
      <c r="I1787" s="2">
        <v>45627</v>
      </c>
      <c r="J1787" s="2">
        <v>45676</v>
      </c>
      <c r="K1787" t="s">
        <v>17</v>
      </c>
    </row>
    <row r="1788" spans="1:11" x14ac:dyDescent="0.25">
      <c r="A1788" t="s">
        <v>117</v>
      </c>
      <c r="B1788" t="s">
        <v>16</v>
      </c>
      <c r="C1788">
        <v>7</v>
      </c>
      <c r="D1788">
        <v>68</v>
      </c>
      <c r="E1788" t="s">
        <v>19</v>
      </c>
      <c r="F1788" t="s">
        <v>171</v>
      </c>
      <c r="G1788">
        <v>175.82</v>
      </c>
      <c r="H1788" t="s">
        <v>26</v>
      </c>
      <c r="I1788" s="2">
        <v>45485</v>
      </c>
      <c r="J1788" s="2">
        <v>45502</v>
      </c>
    </row>
    <row r="1789" spans="1:11" x14ac:dyDescent="0.25">
      <c r="A1789" t="s">
        <v>97</v>
      </c>
      <c r="B1789" t="s">
        <v>23</v>
      </c>
      <c r="C1789">
        <v>71</v>
      </c>
      <c r="D1789">
        <v>83</v>
      </c>
      <c r="E1789" t="s">
        <v>19</v>
      </c>
      <c r="F1789" t="s">
        <v>173</v>
      </c>
      <c r="G1789">
        <v>19.899999999999999</v>
      </c>
      <c r="H1789" t="s">
        <v>14</v>
      </c>
      <c r="I1789" s="2">
        <v>45348</v>
      </c>
      <c r="J1789" s="2">
        <v>45421</v>
      </c>
    </row>
    <row r="1790" spans="1:11" x14ac:dyDescent="0.25">
      <c r="A1790" t="s">
        <v>148</v>
      </c>
      <c r="B1790" t="s">
        <v>30</v>
      </c>
      <c r="C1790">
        <v>177</v>
      </c>
      <c r="D1790">
        <v>51</v>
      </c>
      <c r="E1790" t="s">
        <v>13</v>
      </c>
      <c r="F1790" t="s">
        <v>170</v>
      </c>
      <c r="G1790">
        <v>480.94</v>
      </c>
      <c r="H1790" t="s">
        <v>20</v>
      </c>
      <c r="I1790" s="2">
        <v>45314</v>
      </c>
      <c r="J1790" s="2">
        <v>45398</v>
      </c>
      <c r="K1790" t="s">
        <v>172</v>
      </c>
    </row>
    <row r="1791" spans="1:11" x14ac:dyDescent="0.25">
      <c r="A1791" t="s">
        <v>74</v>
      </c>
      <c r="B1791" t="s">
        <v>30</v>
      </c>
      <c r="C1791">
        <v>91</v>
      </c>
      <c r="D1791">
        <v>26</v>
      </c>
      <c r="E1791" t="s">
        <v>13</v>
      </c>
      <c r="F1791" t="s">
        <v>171</v>
      </c>
      <c r="G1791">
        <v>335.59</v>
      </c>
      <c r="H1791" t="s">
        <v>14</v>
      </c>
      <c r="I1791" s="2">
        <v>45480</v>
      </c>
      <c r="J1791" s="2">
        <v>45542</v>
      </c>
    </row>
    <row r="1792" spans="1:11" x14ac:dyDescent="0.25">
      <c r="A1792" t="s">
        <v>127</v>
      </c>
      <c r="B1792" t="s">
        <v>12</v>
      </c>
      <c r="C1792">
        <v>61</v>
      </c>
      <c r="D1792">
        <v>40</v>
      </c>
      <c r="E1792" t="s">
        <v>13</v>
      </c>
      <c r="F1792" t="s">
        <v>170</v>
      </c>
      <c r="G1792">
        <v>466.94</v>
      </c>
      <c r="H1792" t="s">
        <v>14</v>
      </c>
      <c r="I1792" s="2">
        <v>45518</v>
      </c>
      <c r="J1792" s="2">
        <v>45596</v>
      </c>
    </row>
    <row r="1793" spans="1:11" x14ac:dyDescent="0.25">
      <c r="A1793" t="s">
        <v>96</v>
      </c>
      <c r="B1793" t="s">
        <v>28</v>
      </c>
      <c r="C1793">
        <v>83</v>
      </c>
      <c r="D1793">
        <v>39</v>
      </c>
      <c r="E1793" t="s">
        <v>13</v>
      </c>
      <c r="F1793" t="s">
        <v>171</v>
      </c>
      <c r="G1793">
        <v>136.41999999999999</v>
      </c>
      <c r="H1793" t="s">
        <v>14</v>
      </c>
      <c r="I1793" s="2">
        <v>45463</v>
      </c>
      <c r="J1793" s="2">
        <v>45496</v>
      </c>
      <c r="K1793" t="s">
        <v>172</v>
      </c>
    </row>
    <row r="1794" spans="1:11" x14ac:dyDescent="0.25">
      <c r="A1794" t="s">
        <v>154</v>
      </c>
      <c r="B1794" t="s">
        <v>23</v>
      </c>
      <c r="C1794">
        <v>61</v>
      </c>
      <c r="D1794">
        <v>45</v>
      </c>
      <c r="E1794" t="s">
        <v>13</v>
      </c>
      <c r="F1794" t="s">
        <v>170</v>
      </c>
      <c r="G1794">
        <v>307.67</v>
      </c>
      <c r="H1794" t="s">
        <v>14</v>
      </c>
      <c r="I1794" s="2">
        <v>45471</v>
      </c>
      <c r="J1794" s="2">
        <v>45552</v>
      </c>
      <c r="K1794" t="s">
        <v>172</v>
      </c>
    </row>
    <row r="1795" spans="1:11" x14ac:dyDescent="0.25">
      <c r="A1795" t="s">
        <v>105</v>
      </c>
      <c r="B1795" t="s">
        <v>16</v>
      </c>
      <c r="C1795">
        <v>110</v>
      </c>
      <c r="D1795">
        <v>87</v>
      </c>
      <c r="E1795" t="s">
        <v>13</v>
      </c>
      <c r="F1795" t="s">
        <v>171</v>
      </c>
      <c r="G1795">
        <v>340.86</v>
      </c>
      <c r="H1795" t="s">
        <v>14</v>
      </c>
      <c r="I1795" s="2">
        <v>45439</v>
      </c>
      <c r="J1795" s="2">
        <v>45526</v>
      </c>
      <c r="K1795" t="s">
        <v>17</v>
      </c>
    </row>
    <row r="1796" spans="1:11" x14ac:dyDescent="0.25">
      <c r="A1796" t="s">
        <v>148</v>
      </c>
      <c r="B1796" t="s">
        <v>23</v>
      </c>
      <c r="C1796">
        <v>126</v>
      </c>
      <c r="D1796">
        <v>34</v>
      </c>
      <c r="E1796" t="s">
        <v>13</v>
      </c>
      <c r="F1796" t="s">
        <v>171</v>
      </c>
      <c r="G1796">
        <v>162.19</v>
      </c>
      <c r="H1796" t="s">
        <v>20</v>
      </c>
      <c r="I1796" s="2">
        <v>45493</v>
      </c>
      <c r="J1796" s="2">
        <v>45512</v>
      </c>
    </row>
    <row r="1797" spans="1:11" x14ac:dyDescent="0.25">
      <c r="A1797" t="s">
        <v>78</v>
      </c>
      <c r="B1797" t="s">
        <v>16</v>
      </c>
      <c r="C1797">
        <v>6</v>
      </c>
      <c r="D1797">
        <v>98</v>
      </c>
      <c r="E1797" t="s">
        <v>19</v>
      </c>
      <c r="F1797" t="s">
        <v>171</v>
      </c>
      <c r="G1797">
        <v>424.81</v>
      </c>
      <c r="H1797" t="s">
        <v>26</v>
      </c>
      <c r="I1797" s="2">
        <v>45496</v>
      </c>
      <c r="J1797" s="2">
        <v>45577</v>
      </c>
      <c r="K1797" t="s">
        <v>17</v>
      </c>
    </row>
    <row r="1798" spans="1:11" x14ac:dyDescent="0.25">
      <c r="A1798" t="s">
        <v>146</v>
      </c>
      <c r="B1798" t="s">
        <v>28</v>
      </c>
      <c r="C1798">
        <v>83</v>
      </c>
      <c r="D1798">
        <v>33</v>
      </c>
      <c r="E1798" t="s">
        <v>13</v>
      </c>
      <c r="F1798" t="s">
        <v>171</v>
      </c>
      <c r="G1798">
        <v>473.84</v>
      </c>
      <c r="H1798" t="s">
        <v>26</v>
      </c>
      <c r="I1798" s="2">
        <v>45644</v>
      </c>
      <c r="J1798" s="2">
        <v>45669</v>
      </c>
      <c r="K1798" t="s">
        <v>17</v>
      </c>
    </row>
    <row r="1799" spans="1:11" x14ac:dyDescent="0.25">
      <c r="A1799" t="s">
        <v>87</v>
      </c>
      <c r="B1799" t="s">
        <v>16</v>
      </c>
      <c r="C1799">
        <v>131</v>
      </c>
      <c r="D1799">
        <v>46</v>
      </c>
      <c r="E1799" t="s">
        <v>13</v>
      </c>
      <c r="F1799" t="s">
        <v>171</v>
      </c>
      <c r="G1799">
        <v>443</v>
      </c>
      <c r="H1799" t="s">
        <v>26</v>
      </c>
      <c r="I1799" s="2">
        <v>45361</v>
      </c>
      <c r="J1799" s="2">
        <v>45443</v>
      </c>
      <c r="K1799" t="s">
        <v>21</v>
      </c>
    </row>
    <row r="1800" spans="1:11" x14ac:dyDescent="0.25">
      <c r="A1800" t="s">
        <v>77</v>
      </c>
      <c r="B1800" t="s">
        <v>12</v>
      </c>
      <c r="C1800">
        <v>133</v>
      </c>
      <c r="D1800">
        <v>59</v>
      </c>
      <c r="E1800" t="s">
        <v>13</v>
      </c>
      <c r="F1800" t="s">
        <v>171</v>
      </c>
      <c r="G1800">
        <v>370.84</v>
      </c>
      <c r="H1800" t="s">
        <v>26</v>
      </c>
      <c r="I1800" s="2">
        <v>45568</v>
      </c>
      <c r="J1800" s="2">
        <v>45651</v>
      </c>
    </row>
    <row r="1801" spans="1:11" x14ac:dyDescent="0.25">
      <c r="A1801" t="s">
        <v>110</v>
      </c>
      <c r="B1801" t="s">
        <v>12</v>
      </c>
      <c r="C1801">
        <v>57</v>
      </c>
      <c r="D1801">
        <v>77</v>
      </c>
      <c r="E1801" t="s">
        <v>19</v>
      </c>
      <c r="F1801" t="s">
        <v>171</v>
      </c>
      <c r="G1801">
        <v>142.35</v>
      </c>
      <c r="H1801" t="s">
        <v>20</v>
      </c>
      <c r="I1801" s="2">
        <v>45333</v>
      </c>
      <c r="J1801" s="2">
        <v>45348</v>
      </c>
    </row>
    <row r="1802" spans="1:11" x14ac:dyDescent="0.25">
      <c r="A1802" t="s">
        <v>39</v>
      </c>
      <c r="B1802" t="s">
        <v>12</v>
      </c>
      <c r="C1802">
        <v>21</v>
      </c>
      <c r="D1802">
        <v>47</v>
      </c>
      <c r="E1802" t="s">
        <v>19</v>
      </c>
      <c r="F1802" t="s">
        <v>171</v>
      </c>
      <c r="G1802">
        <v>144.4</v>
      </c>
      <c r="H1802" t="s">
        <v>20</v>
      </c>
      <c r="I1802" s="2">
        <v>45615</v>
      </c>
      <c r="J1802" s="2">
        <v>45692</v>
      </c>
      <c r="K1802" t="s">
        <v>21</v>
      </c>
    </row>
    <row r="1803" spans="1:11" x14ac:dyDescent="0.25">
      <c r="A1803" t="s">
        <v>72</v>
      </c>
      <c r="B1803" t="s">
        <v>12</v>
      </c>
      <c r="C1803">
        <v>153</v>
      </c>
      <c r="D1803">
        <v>45</v>
      </c>
      <c r="E1803" t="s">
        <v>13</v>
      </c>
      <c r="F1803" t="s">
        <v>171</v>
      </c>
      <c r="G1803">
        <v>481.86</v>
      </c>
      <c r="H1803" t="s">
        <v>20</v>
      </c>
      <c r="I1803" s="2">
        <v>45447</v>
      </c>
      <c r="J1803" s="2">
        <v>45490</v>
      </c>
      <c r="K1803" t="s">
        <v>17</v>
      </c>
    </row>
    <row r="1804" spans="1:11" x14ac:dyDescent="0.25">
      <c r="A1804" t="s">
        <v>115</v>
      </c>
      <c r="B1804" t="s">
        <v>23</v>
      </c>
      <c r="C1804">
        <v>126</v>
      </c>
      <c r="D1804">
        <v>82</v>
      </c>
      <c r="E1804" t="s">
        <v>13</v>
      </c>
      <c r="F1804" t="s">
        <v>170</v>
      </c>
      <c r="G1804">
        <v>10.09</v>
      </c>
      <c r="H1804" t="s">
        <v>14</v>
      </c>
      <c r="I1804" s="2">
        <v>45428</v>
      </c>
      <c r="J1804" s="2">
        <v>45454</v>
      </c>
    </row>
    <row r="1805" spans="1:11" x14ac:dyDescent="0.25">
      <c r="A1805" t="s">
        <v>74</v>
      </c>
      <c r="B1805" t="s">
        <v>28</v>
      </c>
      <c r="C1805">
        <v>2</v>
      </c>
      <c r="D1805">
        <v>85</v>
      </c>
      <c r="E1805" t="s">
        <v>19</v>
      </c>
      <c r="F1805" t="s">
        <v>173</v>
      </c>
      <c r="G1805">
        <v>359.44</v>
      </c>
      <c r="H1805" t="s">
        <v>14</v>
      </c>
      <c r="I1805" s="2">
        <v>45307</v>
      </c>
      <c r="J1805" s="2">
        <v>45362</v>
      </c>
      <c r="K1805" t="s">
        <v>17</v>
      </c>
    </row>
    <row r="1806" spans="1:11" x14ac:dyDescent="0.25">
      <c r="A1806" t="s">
        <v>67</v>
      </c>
      <c r="B1806" t="s">
        <v>16</v>
      </c>
      <c r="C1806">
        <v>126</v>
      </c>
      <c r="D1806">
        <v>44</v>
      </c>
      <c r="E1806" t="s">
        <v>13</v>
      </c>
      <c r="F1806" t="s">
        <v>171</v>
      </c>
      <c r="G1806">
        <v>354.59</v>
      </c>
      <c r="H1806" t="s">
        <v>14</v>
      </c>
      <c r="I1806" s="2">
        <v>45382</v>
      </c>
      <c r="J1806" s="2">
        <v>45398</v>
      </c>
      <c r="K1806" t="s">
        <v>21</v>
      </c>
    </row>
    <row r="1807" spans="1:11" x14ac:dyDescent="0.25">
      <c r="A1807" t="s">
        <v>88</v>
      </c>
      <c r="B1807" t="s">
        <v>16</v>
      </c>
      <c r="C1807">
        <v>40</v>
      </c>
      <c r="D1807">
        <v>22</v>
      </c>
      <c r="E1807" t="s">
        <v>13</v>
      </c>
      <c r="F1807" t="s">
        <v>173</v>
      </c>
      <c r="G1807">
        <v>313.23</v>
      </c>
      <c r="H1807" t="s">
        <v>26</v>
      </c>
      <c r="I1807" s="2">
        <v>45378</v>
      </c>
      <c r="J1807" s="2">
        <v>45429</v>
      </c>
      <c r="K1807" t="s">
        <v>172</v>
      </c>
    </row>
    <row r="1808" spans="1:11" x14ac:dyDescent="0.25">
      <c r="A1808" t="s">
        <v>103</v>
      </c>
      <c r="B1808" t="s">
        <v>12</v>
      </c>
      <c r="C1808">
        <v>187</v>
      </c>
      <c r="D1808">
        <v>91</v>
      </c>
      <c r="E1808" t="s">
        <v>13</v>
      </c>
      <c r="F1808" t="s">
        <v>171</v>
      </c>
      <c r="G1808">
        <v>495.1</v>
      </c>
      <c r="H1808" t="s">
        <v>14</v>
      </c>
      <c r="I1808" s="2">
        <v>45406</v>
      </c>
      <c r="J1808" s="2">
        <v>45465</v>
      </c>
      <c r="K1808" t="s">
        <v>17</v>
      </c>
    </row>
    <row r="1809" spans="1:11" x14ac:dyDescent="0.25">
      <c r="A1809" t="s">
        <v>81</v>
      </c>
      <c r="B1809" t="s">
        <v>12</v>
      </c>
      <c r="C1809">
        <v>105</v>
      </c>
      <c r="D1809">
        <v>63</v>
      </c>
      <c r="E1809" t="s">
        <v>13</v>
      </c>
      <c r="F1809" t="s">
        <v>171</v>
      </c>
      <c r="G1809">
        <v>159.38</v>
      </c>
      <c r="H1809" t="s">
        <v>26</v>
      </c>
      <c r="I1809" s="2">
        <v>45347</v>
      </c>
      <c r="J1809" s="2">
        <v>45409</v>
      </c>
    </row>
    <row r="1810" spans="1:11" x14ac:dyDescent="0.25">
      <c r="A1810" t="s">
        <v>150</v>
      </c>
      <c r="B1810" t="s">
        <v>30</v>
      </c>
      <c r="C1810">
        <v>13</v>
      </c>
      <c r="D1810">
        <v>61</v>
      </c>
      <c r="E1810" t="s">
        <v>19</v>
      </c>
      <c r="F1810" t="s">
        <v>170</v>
      </c>
      <c r="G1810">
        <v>173.29</v>
      </c>
      <c r="H1810" t="s">
        <v>14</v>
      </c>
      <c r="I1810" s="2">
        <v>45449</v>
      </c>
      <c r="J1810" s="2">
        <v>45487</v>
      </c>
      <c r="K1810" t="s">
        <v>172</v>
      </c>
    </row>
    <row r="1811" spans="1:11" x14ac:dyDescent="0.25">
      <c r="A1811" t="s">
        <v>89</v>
      </c>
      <c r="B1811" t="s">
        <v>28</v>
      </c>
      <c r="C1811">
        <v>11</v>
      </c>
      <c r="D1811">
        <v>25</v>
      </c>
      <c r="E1811" t="s">
        <v>19</v>
      </c>
      <c r="F1811" t="s">
        <v>170</v>
      </c>
      <c r="G1811">
        <v>44.08</v>
      </c>
      <c r="H1811" t="s">
        <v>26</v>
      </c>
      <c r="I1811" s="2">
        <v>45336</v>
      </c>
      <c r="J1811" s="2">
        <v>45372</v>
      </c>
      <c r="K1811" t="s">
        <v>17</v>
      </c>
    </row>
    <row r="1812" spans="1:11" x14ac:dyDescent="0.25">
      <c r="A1812" t="s">
        <v>56</v>
      </c>
      <c r="B1812" t="s">
        <v>23</v>
      </c>
      <c r="C1812">
        <v>86</v>
      </c>
      <c r="D1812">
        <v>58</v>
      </c>
      <c r="E1812" t="s">
        <v>13</v>
      </c>
      <c r="F1812" t="s">
        <v>173</v>
      </c>
      <c r="G1812">
        <v>224.19</v>
      </c>
      <c r="H1812" t="s">
        <v>14</v>
      </c>
      <c r="I1812" s="2">
        <v>45517</v>
      </c>
      <c r="J1812" s="2">
        <v>45542</v>
      </c>
      <c r="K1812" t="s">
        <v>17</v>
      </c>
    </row>
    <row r="1813" spans="1:11" x14ac:dyDescent="0.25">
      <c r="A1813" t="s">
        <v>129</v>
      </c>
      <c r="B1813" t="s">
        <v>16</v>
      </c>
      <c r="C1813">
        <v>11</v>
      </c>
      <c r="D1813">
        <v>71</v>
      </c>
      <c r="E1813" t="s">
        <v>19</v>
      </c>
      <c r="F1813" t="s">
        <v>170</v>
      </c>
      <c r="G1813">
        <v>134.22</v>
      </c>
      <c r="H1813" t="s">
        <v>14</v>
      </c>
      <c r="I1813" s="2">
        <v>45377</v>
      </c>
      <c r="J1813" s="2">
        <v>45449</v>
      </c>
      <c r="K1813" t="s">
        <v>172</v>
      </c>
    </row>
    <row r="1814" spans="1:11" x14ac:dyDescent="0.25">
      <c r="A1814" t="s">
        <v>151</v>
      </c>
      <c r="B1814" t="s">
        <v>30</v>
      </c>
      <c r="C1814">
        <v>140</v>
      </c>
      <c r="D1814">
        <v>42</v>
      </c>
      <c r="E1814" t="s">
        <v>13</v>
      </c>
      <c r="F1814" t="s">
        <v>170</v>
      </c>
      <c r="G1814">
        <v>174.98</v>
      </c>
      <c r="H1814" t="s">
        <v>20</v>
      </c>
      <c r="I1814" s="2">
        <v>45623</v>
      </c>
      <c r="J1814" s="2">
        <v>45683</v>
      </c>
      <c r="K1814" t="s">
        <v>172</v>
      </c>
    </row>
    <row r="1815" spans="1:11" x14ac:dyDescent="0.25">
      <c r="A1815" t="s">
        <v>85</v>
      </c>
      <c r="B1815" t="s">
        <v>30</v>
      </c>
      <c r="C1815">
        <v>24</v>
      </c>
      <c r="D1815">
        <v>69</v>
      </c>
      <c r="E1815" t="s">
        <v>19</v>
      </c>
      <c r="F1815" t="s">
        <v>173</v>
      </c>
      <c r="G1815">
        <v>418.11</v>
      </c>
      <c r="H1815" t="s">
        <v>14</v>
      </c>
      <c r="I1815" s="2">
        <v>45348</v>
      </c>
      <c r="J1815" s="2">
        <v>45391</v>
      </c>
      <c r="K1815" t="s">
        <v>172</v>
      </c>
    </row>
    <row r="1816" spans="1:11" x14ac:dyDescent="0.25">
      <c r="A1816" t="s">
        <v>129</v>
      </c>
      <c r="B1816" t="s">
        <v>16</v>
      </c>
      <c r="C1816">
        <v>44</v>
      </c>
      <c r="D1816">
        <v>62</v>
      </c>
      <c r="E1816" t="s">
        <v>19</v>
      </c>
      <c r="F1816" t="s">
        <v>170</v>
      </c>
      <c r="G1816">
        <v>468.06</v>
      </c>
      <c r="H1816" t="s">
        <v>14</v>
      </c>
      <c r="I1816" s="2">
        <v>45639</v>
      </c>
      <c r="J1816" s="2">
        <v>45688</v>
      </c>
    </row>
    <row r="1817" spans="1:11" x14ac:dyDescent="0.25">
      <c r="A1817" t="s">
        <v>135</v>
      </c>
      <c r="B1817" t="s">
        <v>23</v>
      </c>
      <c r="C1817">
        <v>121</v>
      </c>
      <c r="D1817">
        <v>38</v>
      </c>
      <c r="E1817" t="s">
        <v>13</v>
      </c>
      <c r="F1817" t="s">
        <v>171</v>
      </c>
      <c r="G1817">
        <v>96.94</v>
      </c>
      <c r="H1817" t="s">
        <v>20</v>
      </c>
      <c r="I1817" s="2">
        <v>45600</v>
      </c>
      <c r="J1817" s="2">
        <v>45629</v>
      </c>
    </row>
    <row r="1818" spans="1:11" x14ac:dyDescent="0.25">
      <c r="A1818" t="s">
        <v>18</v>
      </c>
      <c r="B1818" t="s">
        <v>30</v>
      </c>
      <c r="C1818">
        <v>146</v>
      </c>
      <c r="D1818">
        <v>88</v>
      </c>
      <c r="E1818" t="s">
        <v>13</v>
      </c>
      <c r="F1818" t="s">
        <v>173</v>
      </c>
      <c r="G1818">
        <v>189.39</v>
      </c>
      <c r="H1818" t="s">
        <v>26</v>
      </c>
      <c r="I1818" s="2">
        <v>45545</v>
      </c>
      <c r="J1818" s="2">
        <v>45619</v>
      </c>
      <c r="K1818" t="s">
        <v>17</v>
      </c>
    </row>
    <row r="1819" spans="1:11" x14ac:dyDescent="0.25">
      <c r="A1819" t="s">
        <v>143</v>
      </c>
      <c r="B1819" t="s">
        <v>30</v>
      </c>
      <c r="C1819">
        <v>54</v>
      </c>
      <c r="D1819">
        <v>70</v>
      </c>
      <c r="E1819" t="s">
        <v>19</v>
      </c>
      <c r="F1819" t="s">
        <v>173</v>
      </c>
      <c r="G1819">
        <v>464.67</v>
      </c>
      <c r="H1819" t="s">
        <v>20</v>
      </c>
      <c r="I1819" s="2">
        <v>45652</v>
      </c>
      <c r="J1819" s="2">
        <v>45708</v>
      </c>
      <c r="K1819" t="s">
        <v>17</v>
      </c>
    </row>
    <row r="1820" spans="1:11" x14ac:dyDescent="0.25">
      <c r="A1820" t="s">
        <v>118</v>
      </c>
      <c r="B1820" t="s">
        <v>28</v>
      </c>
      <c r="C1820">
        <v>99</v>
      </c>
      <c r="D1820">
        <v>30</v>
      </c>
      <c r="E1820" t="s">
        <v>13</v>
      </c>
      <c r="F1820" t="s">
        <v>171</v>
      </c>
      <c r="G1820">
        <v>35.6</v>
      </c>
      <c r="H1820" t="s">
        <v>20</v>
      </c>
      <c r="I1820" s="2">
        <v>45475</v>
      </c>
      <c r="J1820" s="2">
        <v>45532</v>
      </c>
      <c r="K1820" t="s">
        <v>21</v>
      </c>
    </row>
    <row r="1821" spans="1:11" x14ac:dyDescent="0.25">
      <c r="A1821" t="s">
        <v>120</v>
      </c>
      <c r="B1821" t="s">
        <v>23</v>
      </c>
      <c r="C1821">
        <v>172</v>
      </c>
      <c r="D1821">
        <v>31</v>
      </c>
      <c r="E1821" t="s">
        <v>13</v>
      </c>
      <c r="F1821" t="s">
        <v>170</v>
      </c>
      <c r="G1821">
        <v>50.72</v>
      </c>
      <c r="H1821" t="s">
        <v>26</v>
      </c>
      <c r="I1821" s="2">
        <v>45644</v>
      </c>
      <c r="J1821" s="2">
        <v>45732</v>
      </c>
    </row>
    <row r="1822" spans="1:11" x14ac:dyDescent="0.25">
      <c r="A1822" t="s">
        <v>140</v>
      </c>
      <c r="B1822" t="s">
        <v>30</v>
      </c>
      <c r="C1822">
        <v>135</v>
      </c>
      <c r="D1822">
        <v>93</v>
      </c>
      <c r="E1822" t="s">
        <v>13</v>
      </c>
      <c r="F1822" t="s">
        <v>173</v>
      </c>
      <c r="G1822">
        <v>85.58</v>
      </c>
      <c r="H1822" t="s">
        <v>14</v>
      </c>
      <c r="I1822" s="2">
        <v>45318</v>
      </c>
      <c r="J1822" s="2">
        <v>45381</v>
      </c>
      <c r="K1822" t="s">
        <v>17</v>
      </c>
    </row>
    <row r="1823" spans="1:11" x14ac:dyDescent="0.25">
      <c r="A1823" t="s">
        <v>137</v>
      </c>
      <c r="B1823" t="s">
        <v>23</v>
      </c>
      <c r="C1823">
        <v>118</v>
      </c>
      <c r="D1823">
        <v>27</v>
      </c>
      <c r="E1823" t="s">
        <v>13</v>
      </c>
      <c r="F1823" t="s">
        <v>173</v>
      </c>
      <c r="G1823">
        <v>299.63</v>
      </c>
      <c r="H1823" t="s">
        <v>26</v>
      </c>
      <c r="I1823" s="2">
        <v>45372</v>
      </c>
      <c r="J1823" s="2">
        <v>45450</v>
      </c>
      <c r="K1823" t="s">
        <v>172</v>
      </c>
    </row>
    <row r="1824" spans="1:11" x14ac:dyDescent="0.25">
      <c r="A1824" t="s">
        <v>78</v>
      </c>
      <c r="B1824" t="s">
        <v>16</v>
      </c>
      <c r="C1824">
        <v>52</v>
      </c>
      <c r="D1824">
        <v>43</v>
      </c>
      <c r="E1824" t="s">
        <v>13</v>
      </c>
      <c r="F1824" t="s">
        <v>171</v>
      </c>
      <c r="G1824">
        <v>79.48</v>
      </c>
      <c r="H1824" t="s">
        <v>14</v>
      </c>
      <c r="I1824" s="2">
        <v>45398</v>
      </c>
      <c r="J1824" s="2">
        <v>45444</v>
      </c>
      <c r="K1824" t="s">
        <v>172</v>
      </c>
    </row>
    <row r="1825" spans="1:11" x14ac:dyDescent="0.25">
      <c r="A1825" t="s">
        <v>121</v>
      </c>
      <c r="B1825" t="s">
        <v>12</v>
      </c>
      <c r="C1825">
        <v>182</v>
      </c>
      <c r="D1825">
        <v>60</v>
      </c>
      <c r="E1825" t="s">
        <v>13</v>
      </c>
      <c r="F1825" t="s">
        <v>171</v>
      </c>
      <c r="G1825">
        <v>484.2</v>
      </c>
      <c r="H1825" t="s">
        <v>14</v>
      </c>
      <c r="I1825" s="2">
        <v>45567</v>
      </c>
      <c r="J1825" s="2">
        <v>45645</v>
      </c>
    </row>
    <row r="1826" spans="1:11" x14ac:dyDescent="0.25">
      <c r="A1826" t="s">
        <v>136</v>
      </c>
      <c r="B1826" t="s">
        <v>30</v>
      </c>
      <c r="C1826">
        <v>31</v>
      </c>
      <c r="D1826">
        <v>55</v>
      </c>
      <c r="E1826" t="s">
        <v>19</v>
      </c>
      <c r="F1826" t="s">
        <v>170</v>
      </c>
      <c r="G1826">
        <v>226.12</v>
      </c>
      <c r="H1826" t="s">
        <v>26</v>
      </c>
      <c r="I1826" s="2">
        <v>45553</v>
      </c>
      <c r="J1826" s="2">
        <v>45569</v>
      </c>
      <c r="K1826" t="s">
        <v>172</v>
      </c>
    </row>
    <row r="1827" spans="1:11" x14ac:dyDescent="0.25">
      <c r="A1827" t="s">
        <v>18</v>
      </c>
      <c r="B1827" t="s">
        <v>28</v>
      </c>
      <c r="C1827">
        <v>50</v>
      </c>
      <c r="D1827">
        <v>91</v>
      </c>
      <c r="E1827" t="s">
        <v>19</v>
      </c>
      <c r="F1827" t="s">
        <v>173</v>
      </c>
      <c r="G1827">
        <v>253.25</v>
      </c>
      <c r="H1827" t="s">
        <v>20</v>
      </c>
      <c r="I1827" s="2">
        <v>45471</v>
      </c>
      <c r="J1827" s="2">
        <v>45509</v>
      </c>
      <c r="K1827" t="s">
        <v>21</v>
      </c>
    </row>
    <row r="1828" spans="1:11" x14ac:dyDescent="0.25">
      <c r="A1828" t="s">
        <v>139</v>
      </c>
      <c r="B1828" t="s">
        <v>16</v>
      </c>
      <c r="C1828">
        <v>43</v>
      </c>
      <c r="D1828">
        <v>74</v>
      </c>
      <c r="E1828" t="s">
        <v>19</v>
      </c>
      <c r="F1828" t="s">
        <v>170</v>
      </c>
      <c r="G1828">
        <v>127.1</v>
      </c>
      <c r="H1828" t="s">
        <v>26</v>
      </c>
      <c r="I1828" s="2">
        <v>45407</v>
      </c>
      <c r="J1828" s="2">
        <v>45487</v>
      </c>
      <c r="K1828" t="s">
        <v>17</v>
      </c>
    </row>
    <row r="1829" spans="1:11" x14ac:dyDescent="0.25">
      <c r="A1829" t="s">
        <v>106</v>
      </c>
      <c r="B1829" t="s">
        <v>23</v>
      </c>
      <c r="C1829">
        <v>81</v>
      </c>
      <c r="D1829">
        <v>28</v>
      </c>
      <c r="E1829" t="s">
        <v>13</v>
      </c>
      <c r="F1829" t="s">
        <v>170</v>
      </c>
      <c r="G1829">
        <v>238.13</v>
      </c>
      <c r="H1829" t="s">
        <v>14</v>
      </c>
      <c r="I1829" s="2">
        <v>45402</v>
      </c>
      <c r="J1829" s="2">
        <v>45454</v>
      </c>
      <c r="K1829" t="s">
        <v>17</v>
      </c>
    </row>
    <row r="1830" spans="1:11" x14ac:dyDescent="0.25">
      <c r="A1830" t="s">
        <v>132</v>
      </c>
      <c r="B1830" t="s">
        <v>16</v>
      </c>
      <c r="C1830">
        <v>197</v>
      </c>
      <c r="D1830">
        <v>66</v>
      </c>
      <c r="E1830" t="s">
        <v>13</v>
      </c>
      <c r="F1830" t="s">
        <v>171</v>
      </c>
      <c r="G1830">
        <v>332.65</v>
      </c>
      <c r="H1830" t="s">
        <v>26</v>
      </c>
      <c r="I1830" s="2">
        <v>45581</v>
      </c>
      <c r="J1830" s="2">
        <v>45626</v>
      </c>
      <c r="K1830" t="s">
        <v>17</v>
      </c>
    </row>
    <row r="1831" spans="1:11" x14ac:dyDescent="0.25">
      <c r="A1831" t="s">
        <v>152</v>
      </c>
      <c r="B1831" t="s">
        <v>30</v>
      </c>
      <c r="C1831">
        <v>145</v>
      </c>
      <c r="D1831">
        <v>34</v>
      </c>
      <c r="E1831" t="s">
        <v>13</v>
      </c>
      <c r="F1831" t="s">
        <v>173</v>
      </c>
      <c r="G1831">
        <v>376.83</v>
      </c>
      <c r="H1831" t="s">
        <v>26</v>
      </c>
      <c r="I1831" s="2">
        <v>45549</v>
      </c>
      <c r="J1831" s="2">
        <v>45589</v>
      </c>
    </row>
    <row r="1832" spans="1:11" x14ac:dyDescent="0.25">
      <c r="A1832" t="s">
        <v>135</v>
      </c>
      <c r="B1832" t="s">
        <v>23</v>
      </c>
      <c r="C1832">
        <v>149</v>
      </c>
      <c r="D1832">
        <v>67</v>
      </c>
      <c r="E1832" t="s">
        <v>13</v>
      </c>
      <c r="F1832" t="s">
        <v>173</v>
      </c>
      <c r="G1832">
        <v>378.16</v>
      </c>
      <c r="H1832" t="s">
        <v>14</v>
      </c>
      <c r="I1832" s="2">
        <v>45501</v>
      </c>
      <c r="J1832" s="2">
        <v>45544</v>
      </c>
      <c r="K1832" t="s">
        <v>172</v>
      </c>
    </row>
    <row r="1833" spans="1:11" x14ac:dyDescent="0.25">
      <c r="A1833" t="s">
        <v>137</v>
      </c>
      <c r="B1833" t="s">
        <v>12</v>
      </c>
      <c r="C1833">
        <v>36</v>
      </c>
      <c r="D1833">
        <v>61</v>
      </c>
      <c r="E1833" t="s">
        <v>19</v>
      </c>
      <c r="F1833" t="s">
        <v>173</v>
      </c>
      <c r="G1833">
        <v>291.06</v>
      </c>
      <c r="H1833" t="s">
        <v>20</v>
      </c>
      <c r="I1833" s="2">
        <v>45575</v>
      </c>
      <c r="J1833" s="2">
        <v>45656</v>
      </c>
      <c r="K1833" t="s">
        <v>21</v>
      </c>
    </row>
    <row r="1834" spans="1:11" x14ac:dyDescent="0.25">
      <c r="A1834" t="s">
        <v>39</v>
      </c>
      <c r="B1834" t="s">
        <v>16</v>
      </c>
      <c r="C1834">
        <v>95</v>
      </c>
      <c r="D1834">
        <v>79</v>
      </c>
      <c r="E1834" t="s">
        <v>13</v>
      </c>
      <c r="F1834" t="s">
        <v>171</v>
      </c>
      <c r="G1834">
        <v>452.66</v>
      </c>
      <c r="H1834" t="s">
        <v>26</v>
      </c>
      <c r="I1834" s="2">
        <v>45580</v>
      </c>
      <c r="J1834" s="2">
        <v>45619</v>
      </c>
    </row>
    <row r="1835" spans="1:11" x14ac:dyDescent="0.25">
      <c r="A1835" t="s">
        <v>79</v>
      </c>
      <c r="B1835" t="s">
        <v>30</v>
      </c>
      <c r="C1835">
        <v>55</v>
      </c>
      <c r="D1835">
        <v>89</v>
      </c>
      <c r="E1835" t="s">
        <v>19</v>
      </c>
      <c r="F1835" t="s">
        <v>171</v>
      </c>
      <c r="G1835">
        <v>409.62</v>
      </c>
      <c r="H1835" t="s">
        <v>14</v>
      </c>
      <c r="I1835" s="2">
        <v>45399</v>
      </c>
      <c r="J1835" s="2">
        <v>45461</v>
      </c>
      <c r="K1835" t="s">
        <v>17</v>
      </c>
    </row>
    <row r="1836" spans="1:11" x14ac:dyDescent="0.25">
      <c r="A1836" t="s">
        <v>99</v>
      </c>
      <c r="B1836" t="s">
        <v>28</v>
      </c>
      <c r="C1836">
        <v>104</v>
      </c>
      <c r="D1836">
        <v>31</v>
      </c>
      <c r="E1836" t="s">
        <v>13</v>
      </c>
      <c r="F1836" t="s">
        <v>171</v>
      </c>
      <c r="G1836">
        <v>379.74</v>
      </c>
      <c r="H1836" t="s">
        <v>14</v>
      </c>
      <c r="I1836" s="2">
        <v>45530</v>
      </c>
      <c r="J1836" s="2">
        <v>45609</v>
      </c>
      <c r="K1836" t="s">
        <v>21</v>
      </c>
    </row>
    <row r="1837" spans="1:11" x14ac:dyDescent="0.25">
      <c r="A1837" t="s">
        <v>119</v>
      </c>
      <c r="B1837" t="s">
        <v>23</v>
      </c>
      <c r="C1837">
        <v>58</v>
      </c>
      <c r="D1837">
        <v>21</v>
      </c>
      <c r="E1837" t="s">
        <v>13</v>
      </c>
      <c r="F1837" t="s">
        <v>171</v>
      </c>
      <c r="G1837">
        <v>32.520000000000003</v>
      </c>
      <c r="H1837" t="s">
        <v>26</v>
      </c>
      <c r="I1837" s="2">
        <v>45375</v>
      </c>
      <c r="J1837" s="2">
        <v>45442</v>
      </c>
      <c r="K1837" t="s">
        <v>17</v>
      </c>
    </row>
    <row r="1838" spans="1:11" x14ac:dyDescent="0.25">
      <c r="A1838" t="s">
        <v>114</v>
      </c>
      <c r="B1838" t="s">
        <v>16</v>
      </c>
      <c r="C1838">
        <v>130</v>
      </c>
      <c r="D1838">
        <v>26</v>
      </c>
      <c r="E1838" t="s">
        <v>13</v>
      </c>
      <c r="F1838" t="s">
        <v>171</v>
      </c>
      <c r="G1838">
        <v>8.4</v>
      </c>
      <c r="H1838" t="s">
        <v>20</v>
      </c>
      <c r="I1838" s="2">
        <v>45569</v>
      </c>
      <c r="J1838" s="2">
        <v>45650</v>
      </c>
      <c r="K1838" t="s">
        <v>17</v>
      </c>
    </row>
    <row r="1839" spans="1:11" x14ac:dyDescent="0.25">
      <c r="A1839" t="s">
        <v>110</v>
      </c>
      <c r="B1839" t="s">
        <v>16</v>
      </c>
      <c r="C1839">
        <v>155</v>
      </c>
      <c r="D1839">
        <v>99</v>
      </c>
      <c r="E1839" t="s">
        <v>13</v>
      </c>
      <c r="F1839" t="s">
        <v>173</v>
      </c>
      <c r="G1839">
        <v>110.16</v>
      </c>
      <c r="H1839" t="s">
        <v>26</v>
      </c>
      <c r="I1839" s="2">
        <v>45453</v>
      </c>
      <c r="J1839" s="2">
        <v>45485</v>
      </c>
    </row>
    <row r="1840" spans="1:11" x14ac:dyDescent="0.25">
      <c r="A1840" t="s">
        <v>120</v>
      </c>
      <c r="B1840" t="s">
        <v>12</v>
      </c>
      <c r="C1840">
        <v>34</v>
      </c>
      <c r="D1840">
        <v>22</v>
      </c>
      <c r="E1840" t="s">
        <v>13</v>
      </c>
      <c r="F1840" t="s">
        <v>170</v>
      </c>
      <c r="G1840">
        <v>333.44</v>
      </c>
      <c r="H1840" t="s">
        <v>20</v>
      </c>
      <c r="I1840" s="2">
        <v>45641</v>
      </c>
      <c r="J1840" s="2">
        <v>45664</v>
      </c>
      <c r="K1840" t="s">
        <v>17</v>
      </c>
    </row>
    <row r="1841" spans="1:11" x14ac:dyDescent="0.25">
      <c r="A1841" t="s">
        <v>72</v>
      </c>
      <c r="B1841" t="s">
        <v>12</v>
      </c>
      <c r="C1841">
        <v>188</v>
      </c>
      <c r="D1841">
        <v>22</v>
      </c>
      <c r="E1841" t="s">
        <v>13</v>
      </c>
      <c r="F1841" t="s">
        <v>173</v>
      </c>
      <c r="G1841">
        <v>208.54</v>
      </c>
      <c r="H1841" t="s">
        <v>20</v>
      </c>
      <c r="I1841" s="2">
        <v>45506</v>
      </c>
      <c r="J1841" s="2">
        <v>45558</v>
      </c>
      <c r="K1841" t="s">
        <v>21</v>
      </c>
    </row>
    <row r="1842" spans="1:11" x14ac:dyDescent="0.25">
      <c r="A1842" t="s">
        <v>150</v>
      </c>
      <c r="B1842" t="s">
        <v>28</v>
      </c>
      <c r="C1842">
        <v>92</v>
      </c>
      <c r="D1842">
        <v>46</v>
      </c>
      <c r="E1842" t="s">
        <v>13</v>
      </c>
      <c r="F1842" t="s">
        <v>170</v>
      </c>
      <c r="G1842">
        <v>204.19</v>
      </c>
      <c r="H1842" t="s">
        <v>20</v>
      </c>
      <c r="I1842" s="2">
        <v>45403</v>
      </c>
      <c r="J1842" s="2">
        <v>45438</v>
      </c>
      <c r="K1842" t="s">
        <v>17</v>
      </c>
    </row>
    <row r="1843" spans="1:11" x14ac:dyDescent="0.25">
      <c r="A1843" t="s">
        <v>80</v>
      </c>
      <c r="B1843" t="s">
        <v>28</v>
      </c>
      <c r="C1843">
        <v>181</v>
      </c>
      <c r="D1843">
        <v>59</v>
      </c>
      <c r="E1843" t="s">
        <v>13</v>
      </c>
      <c r="F1843" t="s">
        <v>171</v>
      </c>
      <c r="G1843">
        <v>442.87</v>
      </c>
      <c r="H1843" t="s">
        <v>20</v>
      </c>
      <c r="I1843" s="2">
        <v>45469</v>
      </c>
      <c r="J1843" s="2">
        <v>45548</v>
      </c>
      <c r="K1843" t="s">
        <v>172</v>
      </c>
    </row>
    <row r="1844" spans="1:11" x14ac:dyDescent="0.25">
      <c r="A1844" t="s">
        <v>135</v>
      </c>
      <c r="B1844" t="s">
        <v>30</v>
      </c>
      <c r="C1844">
        <v>190</v>
      </c>
      <c r="D1844">
        <v>52</v>
      </c>
      <c r="E1844" t="s">
        <v>13</v>
      </c>
      <c r="F1844" t="s">
        <v>170</v>
      </c>
      <c r="G1844">
        <v>448.3</v>
      </c>
      <c r="H1844" t="s">
        <v>26</v>
      </c>
      <c r="I1844" s="2">
        <v>45328</v>
      </c>
      <c r="J1844" s="2">
        <v>45363</v>
      </c>
      <c r="K1844" t="s">
        <v>17</v>
      </c>
    </row>
    <row r="1845" spans="1:11" x14ac:dyDescent="0.25">
      <c r="A1845" t="s">
        <v>39</v>
      </c>
      <c r="B1845" t="s">
        <v>30</v>
      </c>
      <c r="C1845">
        <v>96</v>
      </c>
      <c r="D1845">
        <v>20</v>
      </c>
      <c r="E1845" t="s">
        <v>13</v>
      </c>
      <c r="F1845" t="s">
        <v>173</v>
      </c>
      <c r="G1845">
        <v>455.04</v>
      </c>
      <c r="H1845" t="s">
        <v>14</v>
      </c>
      <c r="I1845" s="2">
        <v>45625</v>
      </c>
      <c r="J1845" s="2">
        <v>45666</v>
      </c>
    </row>
    <row r="1846" spans="1:11" x14ac:dyDescent="0.25">
      <c r="A1846" t="s">
        <v>92</v>
      </c>
      <c r="B1846" t="s">
        <v>28</v>
      </c>
      <c r="C1846">
        <v>134</v>
      </c>
      <c r="D1846">
        <v>27</v>
      </c>
      <c r="E1846" t="s">
        <v>13</v>
      </c>
      <c r="F1846" t="s">
        <v>173</v>
      </c>
      <c r="G1846">
        <v>160.37</v>
      </c>
      <c r="H1846" t="s">
        <v>14</v>
      </c>
      <c r="I1846" s="2">
        <v>45386</v>
      </c>
      <c r="J1846" s="2">
        <v>45470</v>
      </c>
      <c r="K1846" t="s">
        <v>21</v>
      </c>
    </row>
    <row r="1847" spans="1:11" x14ac:dyDescent="0.25">
      <c r="A1847" t="s">
        <v>120</v>
      </c>
      <c r="B1847" t="s">
        <v>28</v>
      </c>
      <c r="C1847">
        <v>75</v>
      </c>
      <c r="D1847">
        <v>51</v>
      </c>
      <c r="E1847" t="s">
        <v>13</v>
      </c>
      <c r="F1847" t="s">
        <v>170</v>
      </c>
      <c r="G1847">
        <v>347.07</v>
      </c>
      <c r="H1847" t="s">
        <v>14</v>
      </c>
      <c r="I1847" s="2">
        <v>45652</v>
      </c>
      <c r="J1847" s="2">
        <v>45710</v>
      </c>
    </row>
    <row r="1848" spans="1:11" x14ac:dyDescent="0.25">
      <c r="A1848" t="s">
        <v>162</v>
      </c>
      <c r="B1848" t="s">
        <v>23</v>
      </c>
      <c r="C1848">
        <v>48</v>
      </c>
      <c r="D1848">
        <v>67</v>
      </c>
      <c r="E1848" t="s">
        <v>19</v>
      </c>
      <c r="F1848" t="s">
        <v>171</v>
      </c>
      <c r="G1848">
        <v>139.46</v>
      </c>
      <c r="H1848" t="s">
        <v>14</v>
      </c>
      <c r="I1848" s="2">
        <v>45327</v>
      </c>
      <c r="J1848" s="2">
        <v>45369</v>
      </c>
      <c r="K1848" t="s">
        <v>172</v>
      </c>
    </row>
    <row r="1849" spans="1:11" x14ac:dyDescent="0.25">
      <c r="A1849" t="s">
        <v>158</v>
      </c>
      <c r="B1849" t="s">
        <v>12</v>
      </c>
      <c r="C1849">
        <v>93</v>
      </c>
      <c r="D1849">
        <v>23</v>
      </c>
      <c r="E1849" t="s">
        <v>13</v>
      </c>
      <c r="F1849" t="s">
        <v>171</v>
      </c>
      <c r="G1849">
        <v>99.35</v>
      </c>
      <c r="H1849" t="s">
        <v>14</v>
      </c>
      <c r="I1849" s="2">
        <v>45349</v>
      </c>
      <c r="J1849" s="2">
        <v>45408</v>
      </c>
      <c r="K1849" t="s">
        <v>17</v>
      </c>
    </row>
    <row r="1850" spans="1:11" x14ac:dyDescent="0.25">
      <c r="A1850" t="s">
        <v>111</v>
      </c>
      <c r="B1850" t="s">
        <v>30</v>
      </c>
      <c r="C1850">
        <v>158</v>
      </c>
      <c r="D1850">
        <v>89</v>
      </c>
      <c r="E1850" t="s">
        <v>13</v>
      </c>
      <c r="F1850" t="s">
        <v>173</v>
      </c>
      <c r="G1850">
        <v>96.39</v>
      </c>
      <c r="H1850" t="s">
        <v>14</v>
      </c>
      <c r="I1850" s="2">
        <v>45324</v>
      </c>
      <c r="J1850" s="2">
        <v>45355</v>
      </c>
    </row>
    <row r="1851" spans="1:11" x14ac:dyDescent="0.25">
      <c r="A1851" t="s">
        <v>80</v>
      </c>
      <c r="B1851" t="s">
        <v>12</v>
      </c>
      <c r="C1851">
        <v>185</v>
      </c>
      <c r="D1851">
        <v>38</v>
      </c>
      <c r="E1851" t="s">
        <v>13</v>
      </c>
      <c r="F1851" t="s">
        <v>170</v>
      </c>
      <c r="G1851">
        <v>174.34</v>
      </c>
      <c r="H1851" t="s">
        <v>26</v>
      </c>
      <c r="I1851" s="2">
        <v>45488</v>
      </c>
      <c r="J1851" s="2">
        <v>45542</v>
      </c>
    </row>
    <row r="1852" spans="1:11" x14ac:dyDescent="0.25">
      <c r="A1852" t="s">
        <v>27</v>
      </c>
      <c r="B1852" t="s">
        <v>12</v>
      </c>
      <c r="C1852">
        <v>188</v>
      </c>
      <c r="D1852">
        <v>51</v>
      </c>
      <c r="E1852" t="s">
        <v>13</v>
      </c>
      <c r="F1852" t="s">
        <v>171</v>
      </c>
      <c r="G1852">
        <v>217.83</v>
      </c>
      <c r="H1852" t="s">
        <v>20</v>
      </c>
      <c r="I1852" s="2">
        <v>45476</v>
      </c>
      <c r="J1852" s="2">
        <v>45493</v>
      </c>
    </row>
    <row r="1853" spans="1:11" x14ac:dyDescent="0.25">
      <c r="A1853" t="s">
        <v>160</v>
      </c>
      <c r="B1853" t="s">
        <v>28</v>
      </c>
      <c r="C1853">
        <v>23</v>
      </c>
      <c r="D1853">
        <v>28</v>
      </c>
      <c r="E1853" t="s">
        <v>19</v>
      </c>
      <c r="F1853" t="s">
        <v>171</v>
      </c>
      <c r="G1853">
        <v>416.32</v>
      </c>
      <c r="H1853" t="s">
        <v>14</v>
      </c>
      <c r="I1853" s="2">
        <v>45479</v>
      </c>
      <c r="J1853" s="2">
        <v>45559</v>
      </c>
    </row>
    <row r="1854" spans="1:11" x14ac:dyDescent="0.25">
      <c r="A1854" t="s">
        <v>160</v>
      </c>
      <c r="B1854" t="s">
        <v>23</v>
      </c>
      <c r="C1854">
        <v>147</v>
      </c>
      <c r="D1854">
        <v>31</v>
      </c>
      <c r="E1854" t="s">
        <v>13</v>
      </c>
      <c r="F1854" t="s">
        <v>173</v>
      </c>
      <c r="G1854">
        <v>64.349999999999994</v>
      </c>
      <c r="H1854" t="s">
        <v>26</v>
      </c>
      <c r="I1854" s="2">
        <v>45514</v>
      </c>
      <c r="J1854" s="2">
        <v>45574</v>
      </c>
      <c r="K1854" t="s">
        <v>172</v>
      </c>
    </row>
    <row r="1855" spans="1:11" x14ac:dyDescent="0.25">
      <c r="A1855" t="s">
        <v>120</v>
      </c>
      <c r="B1855" t="s">
        <v>16</v>
      </c>
      <c r="C1855">
        <v>36</v>
      </c>
      <c r="D1855">
        <v>30</v>
      </c>
      <c r="E1855" t="s">
        <v>13</v>
      </c>
      <c r="F1855" t="s">
        <v>171</v>
      </c>
      <c r="G1855">
        <v>368.79</v>
      </c>
      <c r="H1855" t="s">
        <v>14</v>
      </c>
      <c r="I1855" s="2">
        <v>45295</v>
      </c>
      <c r="J1855" s="2">
        <v>45339</v>
      </c>
      <c r="K1855" t="s">
        <v>172</v>
      </c>
    </row>
    <row r="1856" spans="1:11" x14ac:dyDescent="0.25">
      <c r="A1856" t="s">
        <v>118</v>
      </c>
      <c r="B1856" t="s">
        <v>23</v>
      </c>
      <c r="C1856">
        <v>3</v>
      </c>
      <c r="D1856">
        <v>65</v>
      </c>
      <c r="E1856" t="s">
        <v>19</v>
      </c>
      <c r="F1856" t="s">
        <v>170</v>
      </c>
      <c r="G1856">
        <v>268.07</v>
      </c>
      <c r="H1856" t="s">
        <v>14</v>
      </c>
      <c r="I1856" s="2">
        <v>45409</v>
      </c>
      <c r="J1856" s="2">
        <v>45492</v>
      </c>
      <c r="K1856" t="s">
        <v>17</v>
      </c>
    </row>
    <row r="1857" spans="1:11" x14ac:dyDescent="0.25">
      <c r="A1857" t="s">
        <v>81</v>
      </c>
      <c r="B1857" t="s">
        <v>23</v>
      </c>
      <c r="C1857">
        <v>107</v>
      </c>
      <c r="D1857">
        <v>35</v>
      </c>
      <c r="E1857" t="s">
        <v>13</v>
      </c>
      <c r="F1857" t="s">
        <v>173</v>
      </c>
      <c r="G1857">
        <v>147.53</v>
      </c>
      <c r="H1857" t="s">
        <v>20</v>
      </c>
      <c r="I1857" s="2">
        <v>45530</v>
      </c>
      <c r="J1857" s="2">
        <v>45553</v>
      </c>
      <c r="K1857" t="s">
        <v>17</v>
      </c>
    </row>
    <row r="1858" spans="1:11" x14ac:dyDescent="0.25">
      <c r="A1858" t="s">
        <v>126</v>
      </c>
      <c r="B1858" t="s">
        <v>12</v>
      </c>
      <c r="C1858">
        <v>125</v>
      </c>
      <c r="D1858">
        <v>20</v>
      </c>
      <c r="E1858" t="s">
        <v>13</v>
      </c>
      <c r="F1858" t="s">
        <v>173</v>
      </c>
      <c r="G1858">
        <v>248.95</v>
      </c>
      <c r="H1858" t="s">
        <v>20</v>
      </c>
      <c r="I1858" s="2">
        <v>45394</v>
      </c>
      <c r="J1858" s="2">
        <v>45419</v>
      </c>
      <c r="K1858" t="s">
        <v>21</v>
      </c>
    </row>
    <row r="1859" spans="1:11" x14ac:dyDescent="0.25">
      <c r="A1859" t="s">
        <v>122</v>
      </c>
      <c r="B1859" t="s">
        <v>23</v>
      </c>
      <c r="C1859">
        <v>19</v>
      </c>
      <c r="D1859">
        <v>82</v>
      </c>
      <c r="E1859" t="s">
        <v>19</v>
      </c>
      <c r="F1859" t="s">
        <v>170</v>
      </c>
      <c r="G1859">
        <v>153.47</v>
      </c>
      <c r="H1859" t="s">
        <v>20</v>
      </c>
      <c r="I1859" s="2">
        <v>45617</v>
      </c>
      <c r="J1859" s="2">
        <v>45700</v>
      </c>
      <c r="K1859" t="s">
        <v>172</v>
      </c>
    </row>
    <row r="1860" spans="1:11" x14ac:dyDescent="0.25">
      <c r="A1860" t="s">
        <v>43</v>
      </c>
      <c r="B1860" t="s">
        <v>30</v>
      </c>
      <c r="C1860">
        <v>187</v>
      </c>
      <c r="D1860">
        <v>40</v>
      </c>
      <c r="E1860" t="s">
        <v>13</v>
      </c>
      <c r="F1860" t="s">
        <v>173</v>
      </c>
      <c r="G1860">
        <v>300.06</v>
      </c>
      <c r="H1860" t="s">
        <v>14</v>
      </c>
      <c r="I1860" s="2">
        <v>45302</v>
      </c>
      <c r="J1860" s="2">
        <v>45382</v>
      </c>
    </row>
    <row r="1861" spans="1:11" x14ac:dyDescent="0.25">
      <c r="A1861" t="s">
        <v>90</v>
      </c>
      <c r="B1861" t="s">
        <v>12</v>
      </c>
      <c r="C1861">
        <v>151</v>
      </c>
      <c r="D1861">
        <v>49</v>
      </c>
      <c r="E1861" t="s">
        <v>13</v>
      </c>
      <c r="F1861" t="s">
        <v>171</v>
      </c>
      <c r="G1861">
        <v>219.75</v>
      </c>
      <c r="H1861" t="s">
        <v>14</v>
      </c>
      <c r="I1861" s="2">
        <v>45402</v>
      </c>
      <c r="J1861" s="2">
        <v>45447</v>
      </c>
    </row>
    <row r="1862" spans="1:11" x14ac:dyDescent="0.25">
      <c r="A1862" t="s">
        <v>39</v>
      </c>
      <c r="B1862" t="s">
        <v>30</v>
      </c>
      <c r="C1862">
        <v>49</v>
      </c>
      <c r="D1862">
        <v>32</v>
      </c>
      <c r="E1862" t="s">
        <v>13</v>
      </c>
      <c r="F1862" t="s">
        <v>171</v>
      </c>
      <c r="G1862">
        <v>86.38</v>
      </c>
      <c r="H1862" t="s">
        <v>14</v>
      </c>
      <c r="I1862" s="2">
        <v>45514</v>
      </c>
      <c r="J1862" s="2">
        <v>45561</v>
      </c>
      <c r="K1862" t="s">
        <v>21</v>
      </c>
    </row>
    <row r="1863" spans="1:11" x14ac:dyDescent="0.25">
      <c r="A1863" t="s">
        <v>85</v>
      </c>
      <c r="B1863" t="s">
        <v>16</v>
      </c>
      <c r="C1863">
        <v>176</v>
      </c>
      <c r="D1863">
        <v>53</v>
      </c>
      <c r="E1863" t="s">
        <v>13</v>
      </c>
      <c r="F1863" t="s">
        <v>170</v>
      </c>
      <c r="G1863">
        <v>62.71</v>
      </c>
      <c r="H1863" t="s">
        <v>20</v>
      </c>
      <c r="I1863" s="2">
        <v>45417</v>
      </c>
      <c r="J1863" s="2">
        <v>45470</v>
      </c>
    </row>
    <row r="1864" spans="1:11" x14ac:dyDescent="0.25">
      <c r="A1864" t="s">
        <v>122</v>
      </c>
      <c r="B1864" t="s">
        <v>12</v>
      </c>
      <c r="C1864">
        <v>178</v>
      </c>
      <c r="D1864">
        <v>23</v>
      </c>
      <c r="E1864" t="s">
        <v>13</v>
      </c>
      <c r="F1864" t="s">
        <v>171</v>
      </c>
      <c r="G1864">
        <v>275.61</v>
      </c>
      <c r="H1864" t="s">
        <v>26</v>
      </c>
      <c r="I1864" s="2">
        <v>45429</v>
      </c>
      <c r="J1864" s="2">
        <v>45489</v>
      </c>
      <c r="K1864" t="s">
        <v>21</v>
      </c>
    </row>
    <row r="1865" spans="1:11" x14ac:dyDescent="0.25">
      <c r="A1865" t="s">
        <v>100</v>
      </c>
      <c r="B1865" t="s">
        <v>16</v>
      </c>
      <c r="C1865">
        <v>95</v>
      </c>
      <c r="D1865">
        <v>47</v>
      </c>
      <c r="E1865" t="s">
        <v>13</v>
      </c>
      <c r="F1865" t="s">
        <v>170</v>
      </c>
      <c r="G1865">
        <v>451.69</v>
      </c>
      <c r="H1865" t="s">
        <v>14</v>
      </c>
      <c r="I1865" s="2">
        <v>45316</v>
      </c>
      <c r="J1865" s="2">
        <v>45367</v>
      </c>
      <c r="K1865" t="s">
        <v>17</v>
      </c>
    </row>
    <row r="1866" spans="1:11" x14ac:dyDescent="0.25">
      <c r="A1866" t="s">
        <v>76</v>
      </c>
      <c r="B1866" t="s">
        <v>12</v>
      </c>
      <c r="C1866">
        <v>104</v>
      </c>
      <c r="D1866">
        <v>78</v>
      </c>
      <c r="E1866" t="s">
        <v>13</v>
      </c>
      <c r="F1866" t="s">
        <v>170</v>
      </c>
      <c r="G1866">
        <v>175.26</v>
      </c>
      <c r="H1866" t="s">
        <v>14</v>
      </c>
      <c r="I1866" s="2">
        <v>45459</v>
      </c>
      <c r="J1866" s="2">
        <v>45533</v>
      </c>
      <c r="K1866" t="s">
        <v>172</v>
      </c>
    </row>
    <row r="1867" spans="1:11" x14ac:dyDescent="0.25">
      <c r="A1867" t="s">
        <v>153</v>
      </c>
      <c r="B1867" t="s">
        <v>28</v>
      </c>
      <c r="C1867">
        <v>163</v>
      </c>
      <c r="D1867">
        <v>46</v>
      </c>
      <c r="E1867" t="s">
        <v>13</v>
      </c>
      <c r="F1867" t="s">
        <v>171</v>
      </c>
      <c r="G1867">
        <v>367.84</v>
      </c>
      <c r="H1867" t="s">
        <v>14</v>
      </c>
      <c r="I1867" s="2">
        <v>45592</v>
      </c>
      <c r="J1867" s="2">
        <v>45637</v>
      </c>
      <c r="K1867" t="s">
        <v>21</v>
      </c>
    </row>
    <row r="1868" spans="1:11" x14ac:dyDescent="0.25">
      <c r="A1868" t="s">
        <v>67</v>
      </c>
      <c r="B1868" t="s">
        <v>23</v>
      </c>
      <c r="C1868">
        <v>116</v>
      </c>
      <c r="D1868">
        <v>88</v>
      </c>
      <c r="E1868" t="s">
        <v>13</v>
      </c>
      <c r="F1868" t="s">
        <v>170</v>
      </c>
      <c r="G1868">
        <v>331.04</v>
      </c>
      <c r="H1868" t="s">
        <v>26</v>
      </c>
      <c r="I1868" s="2">
        <v>45646</v>
      </c>
      <c r="J1868" s="2">
        <v>45671</v>
      </c>
    </row>
    <row r="1869" spans="1:11" x14ac:dyDescent="0.25">
      <c r="A1869" t="s">
        <v>96</v>
      </c>
      <c r="B1869" t="s">
        <v>28</v>
      </c>
      <c r="C1869">
        <v>97</v>
      </c>
      <c r="D1869">
        <v>44</v>
      </c>
      <c r="E1869" t="s">
        <v>13</v>
      </c>
      <c r="F1869" t="s">
        <v>171</v>
      </c>
      <c r="G1869">
        <v>466.12</v>
      </c>
      <c r="H1869" t="s">
        <v>14</v>
      </c>
      <c r="I1869" s="2">
        <v>45549</v>
      </c>
      <c r="J1869" s="2">
        <v>45565</v>
      </c>
      <c r="K1869" t="s">
        <v>21</v>
      </c>
    </row>
    <row r="1870" spans="1:11" x14ac:dyDescent="0.25">
      <c r="A1870" t="s">
        <v>148</v>
      </c>
      <c r="B1870" t="s">
        <v>16</v>
      </c>
      <c r="C1870">
        <v>65</v>
      </c>
      <c r="D1870">
        <v>22</v>
      </c>
      <c r="E1870" t="s">
        <v>13</v>
      </c>
      <c r="F1870" t="s">
        <v>173</v>
      </c>
      <c r="G1870">
        <v>411.39</v>
      </c>
      <c r="H1870" t="s">
        <v>26</v>
      </c>
      <c r="I1870" s="2">
        <v>45631</v>
      </c>
      <c r="J1870" s="2">
        <v>45672</v>
      </c>
      <c r="K1870" t="s">
        <v>17</v>
      </c>
    </row>
    <row r="1871" spans="1:11" x14ac:dyDescent="0.25">
      <c r="A1871" t="s">
        <v>76</v>
      </c>
      <c r="B1871" t="s">
        <v>23</v>
      </c>
      <c r="C1871">
        <v>78</v>
      </c>
      <c r="D1871">
        <v>87</v>
      </c>
      <c r="E1871" t="s">
        <v>19</v>
      </c>
      <c r="F1871" t="s">
        <v>173</v>
      </c>
      <c r="G1871">
        <v>285.47000000000003</v>
      </c>
      <c r="H1871" t="s">
        <v>14</v>
      </c>
      <c r="I1871" s="2">
        <v>45506</v>
      </c>
      <c r="J1871" s="2">
        <v>45522</v>
      </c>
    </row>
    <row r="1872" spans="1:11" x14ac:dyDescent="0.25">
      <c r="A1872" t="s">
        <v>89</v>
      </c>
      <c r="B1872" t="s">
        <v>12</v>
      </c>
      <c r="C1872">
        <v>161</v>
      </c>
      <c r="D1872">
        <v>44</v>
      </c>
      <c r="E1872" t="s">
        <v>13</v>
      </c>
      <c r="F1872" t="s">
        <v>170</v>
      </c>
      <c r="G1872">
        <v>330.23</v>
      </c>
      <c r="H1872" t="s">
        <v>26</v>
      </c>
      <c r="I1872" s="2">
        <v>45436</v>
      </c>
      <c r="J1872" s="2">
        <v>45471</v>
      </c>
      <c r="K1872" t="s">
        <v>17</v>
      </c>
    </row>
    <row r="1873" spans="1:11" x14ac:dyDescent="0.25">
      <c r="A1873" t="s">
        <v>86</v>
      </c>
      <c r="B1873" t="s">
        <v>23</v>
      </c>
      <c r="C1873">
        <v>163</v>
      </c>
      <c r="D1873">
        <v>39</v>
      </c>
      <c r="E1873" t="s">
        <v>13</v>
      </c>
      <c r="F1873" t="s">
        <v>171</v>
      </c>
      <c r="G1873">
        <v>449.7</v>
      </c>
      <c r="H1873" t="s">
        <v>14</v>
      </c>
      <c r="I1873" s="2">
        <v>45316</v>
      </c>
      <c r="J1873" s="2">
        <v>45388</v>
      </c>
      <c r="K1873" t="s">
        <v>17</v>
      </c>
    </row>
    <row r="1874" spans="1:11" x14ac:dyDescent="0.25">
      <c r="A1874" t="s">
        <v>74</v>
      </c>
      <c r="B1874" t="s">
        <v>30</v>
      </c>
      <c r="C1874">
        <v>5</v>
      </c>
      <c r="D1874">
        <v>53</v>
      </c>
      <c r="E1874" t="s">
        <v>19</v>
      </c>
      <c r="F1874" t="s">
        <v>171</v>
      </c>
      <c r="G1874">
        <v>202.76</v>
      </c>
      <c r="H1874" t="s">
        <v>20</v>
      </c>
      <c r="I1874" s="2">
        <v>45420</v>
      </c>
      <c r="J1874" s="2">
        <v>45439</v>
      </c>
      <c r="K1874" t="s">
        <v>21</v>
      </c>
    </row>
    <row r="1875" spans="1:11" x14ac:dyDescent="0.25">
      <c r="A1875" t="s">
        <v>98</v>
      </c>
      <c r="B1875" t="s">
        <v>23</v>
      </c>
      <c r="C1875">
        <v>38</v>
      </c>
      <c r="D1875">
        <v>45</v>
      </c>
      <c r="E1875" t="s">
        <v>19</v>
      </c>
      <c r="F1875" t="s">
        <v>173</v>
      </c>
      <c r="G1875">
        <v>166.76</v>
      </c>
      <c r="H1875" t="s">
        <v>20</v>
      </c>
      <c r="I1875" s="2">
        <v>45420</v>
      </c>
      <c r="J1875" s="2">
        <v>45486</v>
      </c>
      <c r="K1875" t="s">
        <v>17</v>
      </c>
    </row>
    <row r="1876" spans="1:11" x14ac:dyDescent="0.25">
      <c r="A1876" t="s">
        <v>125</v>
      </c>
      <c r="B1876" t="s">
        <v>30</v>
      </c>
      <c r="C1876">
        <v>169</v>
      </c>
      <c r="D1876">
        <v>24</v>
      </c>
      <c r="E1876" t="s">
        <v>13</v>
      </c>
      <c r="F1876" t="s">
        <v>173</v>
      </c>
      <c r="G1876">
        <v>10.35</v>
      </c>
      <c r="H1876" t="s">
        <v>20</v>
      </c>
      <c r="I1876" s="2">
        <v>45438</v>
      </c>
      <c r="J1876" s="2">
        <v>45497</v>
      </c>
    </row>
    <row r="1877" spans="1:11" x14ac:dyDescent="0.25">
      <c r="A1877" t="s">
        <v>101</v>
      </c>
      <c r="B1877" t="s">
        <v>23</v>
      </c>
      <c r="C1877">
        <v>114</v>
      </c>
      <c r="D1877">
        <v>80</v>
      </c>
      <c r="E1877" t="s">
        <v>13</v>
      </c>
      <c r="F1877" t="s">
        <v>171</v>
      </c>
      <c r="G1877">
        <v>414.14</v>
      </c>
      <c r="H1877" t="s">
        <v>20</v>
      </c>
      <c r="I1877" s="2">
        <v>45506</v>
      </c>
      <c r="J1877" s="2">
        <v>45540</v>
      </c>
      <c r="K1877" t="s">
        <v>17</v>
      </c>
    </row>
    <row r="1878" spans="1:11" x14ac:dyDescent="0.25">
      <c r="A1878" t="s">
        <v>146</v>
      </c>
      <c r="B1878" t="s">
        <v>30</v>
      </c>
      <c r="C1878">
        <v>185</v>
      </c>
      <c r="D1878">
        <v>28</v>
      </c>
      <c r="E1878" t="s">
        <v>13</v>
      </c>
      <c r="F1878" t="s">
        <v>170</v>
      </c>
      <c r="G1878">
        <v>401.49</v>
      </c>
      <c r="H1878" t="s">
        <v>14</v>
      </c>
      <c r="I1878" s="2">
        <v>45534</v>
      </c>
      <c r="J1878" s="2">
        <v>45609</v>
      </c>
      <c r="K1878" t="s">
        <v>17</v>
      </c>
    </row>
    <row r="1879" spans="1:11" x14ac:dyDescent="0.25">
      <c r="A1879" t="s">
        <v>136</v>
      </c>
      <c r="B1879" t="s">
        <v>16</v>
      </c>
      <c r="C1879">
        <v>124</v>
      </c>
      <c r="D1879">
        <v>69</v>
      </c>
      <c r="E1879" t="s">
        <v>13</v>
      </c>
      <c r="F1879" t="s">
        <v>173</v>
      </c>
      <c r="G1879">
        <v>56.7</v>
      </c>
      <c r="H1879" t="s">
        <v>20</v>
      </c>
      <c r="I1879" s="2">
        <v>45513</v>
      </c>
      <c r="J1879" s="2">
        <v>45565</v>
      </c>
      <c r="K1879" t="s">
        <v>21</v>
      </c>
    </row>
    <row r="1880" spans="1:11" x14ac:dyDescent="0.25">
      <c r="A1880" t="s">
        <v>39</v>
      </c>
      <c r="B1880" t="s">
        <v>28</v>
      </c>
      <c r="C1880">
        <v>11</v>
      </c>
      <c r="D1880">
        <v>25</v>
      </c>
      <c r="E1880" t="s">
        <v>19</v>
      </c>
      <c r="F1880" t="s">
        <v>170</v>
      </c>
      <c r="G1880">
        <v>290.54000000000002</v>
      </c>
      <c r="H1880" t="s">
        <v>26</v>
      </c>
      <c r="I1880" s="2">
        <v>45468</v>
      </c>
      <c r="J1880" s="2">
        <v>45502</v>
      </c>
      <c r="K1880" t="s">
        <v>17</v>
      </c>
    </row>
    <row r="1881" spans="1:11" x14ac:dyDescent="0.25">
      <c r="A1881" t="s">
        <v>156</v>
      </c>
      <c r="B1881" t="s">
        <v>12</v>
      </c>
      <c r="C1881">
        <v>130</v>
      </c>
      <c r="D1881">
        <v>79</v>
      </c>
      <c r="E1881" t="s">
        <v>13</v>
      </c>
      <c r="F1881" t="s">
        <v>170</v>
      </c>
      <c r="G1881">
        <v>234.67</v>
      </c>
      <c r="H1881" t="s">
        <v>20</v>
      </c>
      <c r="I1881" s="2">
        <v>45402</v>
      </c>
      <c r="J1881" s="2">
        <v>45441</v>
      </c>
      <c r="K1881" t="s">
        <v>172</v>
      </c>
    </row>
    <row r="1882" spans="1:11" x14ac:dyDescent="0.25">
      <c r="A1882" t="s">
        <v>113</v>
      </c>
      <c r="B1882" t="s">
        <v>23</v>
      </c>
      <c r="C1882">
        <v>17</v>
      </c>
      <c r="D1882">
        <v>63</v>
      </c>
      <c r="E1882" t="s">
        <v>19</v>
      </c>
      <c r="F1882" t="s">
        <v>173</v>
      </c>
      <c r="G1882">
        <v>63.76</v>
      </c>
      <c r="H1882" t="s">
        <v>20</v>
      </c>
      <c r="I1882" s="2">
        <v>45589</v>
      </c>
      <c r="J1882" s="2">
        <v>45605</v>
      </c>
      <c r="K1882" t="s">
        <v>21</v>
      </c>
    </row>
    <row r="1883" spans="1:11" x14ac:dyDescent="0.25">
      <c r="A1883" t="s">
        <v>91</v>
      </c>
      <c r="B1883" t="s">
        <v>28</v>
      </c>
      <c r="C1883">
        <v>39</v>
      </c>
      <c r="D1883">
        <v>30</v>
      </c>
      <c r="E1883" t="s">
        <v>13</v>
      </c>
      <c r="F1883" t="s">
        <v>170</v>
      </c>
      <c r="G1883">
        <v>490.38</v>
      </c>
      <c r="H1883" t="s">
        <v>20</v>
      </c>
      <c r="I1883" s="2">
        <v>45553</v>
      </c>
      <c r="J1883" s="2">
        <v>45599</v>
      </c>
      <c r="K1883" t="s">
        <v>21</v>
      </c>
    </row>
    <row r="1884" spans="1:11" x14ac:dyDescent="0.25">
      <c r="A1884" t="s">
        <v>159</v>
      </c>
      <c r="B1884" t="s">
        <v>12</v>
      </c>
      <c r="C1884">
        <v>20</v>
      </c>
      <c r="D1884">
        <v>85</v>
      </c>
      <c r="E1884" t="s">
        <v>19</v>
      </c>
      <c r="F1884" t="s">
        <v>170</v>
      </c>
      <c r="G1884">
        <v>111.27</v>
      </c>
      <c r="H1884" t="s">
        <v>14</v>
      </c>
      <c r="I1884" s="2">
        <v>45321</v>
      </c>
      <c r="J1884" s="2">
        <v>45361</v>
      </c>
    </row>
    <row r="1885" spans="1:11" x14ac:dyDescent="0.25">
      <c r="A1885" t="s">
        <v>120</v>
      </c>
      <c r="B1885" t="s">
        <v>12</v>
      </c>
      <c r="C1885">
        <v>142</v>
      </c>
      <c r="D1885">
        <v>66</v>
      </c>
      <c r="E1885" t="s">
        <v>13</v>
      </c>
      <c r="F1885" t="s">
        <v>171</v>
      </c>
      <c r="G1885">
        <v>38.28</v>
      </c>
      <c r="H1885" t="s">
        <v>20</v>
      </c>
      <c r="I1885" s="2">
        <v>45498</v>
      </c>
      <c r="J1885" s="2">
        <v>45582</v>
      </c>
    </row>
    <row r="1886" spans="1:11" x14ac:dyDescent="0.25">
      <c r="A1886" t="s">
        <v>67</v>
      </c>
      <c r="B1886" t="s">
        <v>30</v>
      </c>
      <c r="C1886">
        <v>98</v>
      </c>
      <c r="D1886">
        <v>92</v>
      </c>
      <c r="E1886" t="s">
        <v>13</v>
      </c>
      <c r="F1886" t="s">
        <v>170</v>
      </c>
      <c r="G1886">
        <v>299.45</v>
      </c>
      <c r="H1886" t="s">
        <v>26</v>
      </c>
      <c r="I1886" s="2">
        <v>45348</v>
      </c>
      <c r="J1886" s="2">
        <v>45403</v>
      </c>
    </row>
    <row r="1887" spans="1:11" x14ac:dyDescent="0.25">
      <c r="A1887" t="s">
        <v>141</v>
      </c>
      <c r="B1887" t="s">
        <v>16</v>
      </c>
      <c r="C1887">
        <v>25</v>
      </c>
      <c r="D1887">
        <v>22</v>
      </c>
      <c r="E1887" t="s">
        <v>13</v>
      </c>
      <c r="F1887" t="s">
        <v>171</v>
      </c>
      <c r="G1887">
        <v>370.74</v>
      </c>
      <c r="H1887" t="s">
        <v>20</v>
      </c>
      <c r="I1887" s="2">
        <v>45295</v>
      </c>
      <c r="J1887" s="2">
        <v>45376</v>
      </c>
    </row>
    <row r="1888" spans="1:11" x14ac:dyDescent="0.25">
      <c r="A1888" t="s">
        <v>150</v>
      </c>
      <c r="B1888" t="s">
        <v>16</v>
      </c>
      <c r="C1888">
        <v>7</v>
      </c>
      <c r="D1888">
        <v>95</v>
      </c>
      <c r="E1888" t="s">
        <v>19</v>
      </c>
      <c r="F1888" t="s">
        <v>173</v>
      </c>
      <c r="G1888">
        <v>21.06</v>
      </c>
      <c r="H1888" t="s">
        <v>20</v>
      </c>
      <c r="I1888" s="2">
        <v>45357</v>
      </c>
      <c r="J1888" s="2">
        <v>45372</v>
      </c>
      <c r="K1888" t="s">
        <v>172</v>
      </c>
    </row>
    <row r="1889" spans="1:11" x14ac:dyDescent="0.25">
      <c r="A1889" t="s">
        <v>139</v>
      </c>
      <c r="B1889" t="s">
        <v>28</v>
      </c>
      <c r="C1889">
        <v>99</v>
      </c>
      <c r="D1889">
        <v>49</v>
      </c>
      <c r="E1889" t="s">
        <v>13</v>
      </c>
      <c r="F1889" t="s">
        <v>173</v>
      </c>
      <c r="G1889">
        <v>331.07</v>
      </c>
      <c r="H1889" t="s">
        <v>20</v>
      </c>
      <c r="I1889" s="2">
        <v>45567</v>
      </c>
      <c r="J1889" s="2">
        <v>45632</v>
      </c>
      <c r="K1889" t="s">
        <v>21</v>
      </c>
    </row>
    <row r="1890" spans="1:11" x14ac:dyDescent="0.25">
      <c r="A1890" t="s">
        <v>162</v>
      </c>
      <c r="B1890" t="s">
        <v>16</v>
      </c>
      <c r="C1890">
        <v>86</v>
      </c>
      <c r="D1890">
        <v>40</v>
      </c>
      <c r="E1890" t="s">
        <v>13</v>
      </c>
      <c r="F1890" t="s">
        <v>171</v>
      </c>
      <c r="G1890">
        <v>268.48</v>
      </c>
      <c r="H1890" t="s">
        <v>26</v>
      </c>
      <c r="I1890" s="2">
        <v>45300</v>
      </c>
      <c r="J1890" s="2">
        <v>45319</v>
      </c>
      <c r="K1890" t="s">
        <v>17</v>
      </c>
    </row>
    <row r="1891" spans="1:11" x14ac:dyDescent="0.25">
      <c r="A1891" t="s">
        <v>103</v>
      </c>
      <c r="B1891" t="s">
        <v>23</v>
      </c>
      <c r="C1891">
        <v>41</v>
      </c>
      <c r="D1891">
        <v>47</v>
      </c>
      <c r="E1891" t="s">
        <v>19</v>
      </c>
      <c r="F1891" t="s">
        <v>173</v>
      </c>
      <c r="G1891">
        <v>56.12</v>
      </c>
      <c r="H1891" t="s">
        <v>20</v>
      </c>
      <c r="I1891" s="2">
        <v>45401</v>
      </c>
      <c r="J1891" s="2">
        <v>45428</v>
      </c>
    </row>
    <row r="1892" spans="1:11" x14ac:dyDescent="0.25">
      <c r="A1892" t="s">
        <v>153</v>
      </c>
      <c r="B1892" t="s">
        <v>16</v>
      </c>
      <c r="C1892">
        <v>171</v>
      </c>
      <c r="D1892">
        <v>81</v>
      </c>
      <c r="E1892" t="s">
        <v>13</v>
      </c>
      <c r="F1892" t="s">
        <v>170</v>
      </c>
      <c r="G1892">
        <v>90.4</v>
      </c>
      <c r="H1892" t="s">
        <v>26</v>
      </c>
      <c r="I1892" s="2">
        <v>45304</v>
      </c>
      <c r="J1892" s="2">
        <v>45337</v>
      </c>
    </row>
    <row r="1893" spans="1:11" x14ac:dyDescent="0.25">
      <c r="A1893" t="s">
        <v>141</v>
      </c>
      <c r="B1893" t="s">
        <v>28</v>
      </c>
      <c r="C1893">
        <v>13</v>
      </c>
      <c r="D1893">
        <v>52</v>
      </c>
      <c r="E1893" t="s">
        <v>19</v>
      </c>
      <c r="F1893" t="s">
        <v>170</v>
      </c>
      <c r="G1893">
        <v>286.14999999999998</v>
      </c>
      <c r="H1893" t="s">
        <v>26</v>
      </c>
      <c r="I1893" s="2">
        <v>45437</v>
      </c>
      <c r="J1893" s="2">
        <v>45463</v>
      </c>
    </row>
    <row r="1894" spans="1:11" x14ac:dyDescent="0.25">
      <c r="A1894" t="s">
        <v>81</v>
      </c>
      <c r="B1894" t="s">
        <v>16</v>
      </c>
      <c r="C1894">
        <v>77</v>
      </c>
      <c r="D1894">
        <v>54</v>
      </c>
      <c r="E1894" t="s">
        <v>13</v>
      </c>
      <c r="F1894" t="s">
        <v>170</v>
      </c>
      <c r="G1894">
        <v>151.69999999999999</v>
      </c>
      <c r="H1894" t="s">
        <v>20</v>
      </c>
      <c r="I1894" s="2">
        <v>45648</v>
      </c>
      <c r="J1894" s="2">
        <v>45710</v>
      </c>
      <c r="K1894" t="s">
        <v>17</v>
      </c>
    </row>
    <row r="1895" spans="1:11" x14ac:dyDescent="0.25">
      <c r="A1895" t="s">
        <v>72</v>
      </c>
      <c r="B1895" t="s">
        <v>23</v>
      </c>
      <c r="C1895">
        <v>1</v>
      </c>
      <c r="D1895">
        <v>71</v>
      </c>
      <c r="E1895" t="s">
        <v>19</v>
      </c>
      <c r="F1895" t="s">
        <v>173</v>
      </c>
      <c r="G1895">
        <v>469.47</v>
      </c>
      <c r="H1895" t="s">
        <v>26</v>
      </c>
      <c r="I1895" s="2">
        <v>45645</v>
      </c>
      <c r="J1895" s="2">
        <v>45684</v>
      </c>
    </row>
    <row r="1896" spans="1:11" x14ac:dyDescent="0.25">
      <c r="A1896" t="s">
        <v>135</v>
      </c>
      <c r="B1896" t="s">
        <v>30</v>
      </c>
      <c r="C1896">
        <v>118</v>
      </c>
      <c r="D1896">
        <v>53</v>
      </c>
      <c r="E1896" t="s">
        <v>13</v>
      </c>
      <c r="F1896" t="s">
        <v>170</v>
      </c>
      <c r="G1896">
        <v>410.28</v>
      </c>
      <c r="H1896" t="s">
        <v>14</v>
      </c>
      <c r="I1896" s="2">
        <v>45332</v>
      </c>
      <c r="J1896" s="2">
        <v>45403</v>
      </c>
      <c r="K1896" t="s">
        <v>17</v>
      </c>
    </row>
    <row r="1897" spans="1:11" x14ac:dyDescent="0.25">
      <c r="A1897" t="s">
        <v>120</v>
      </c>
      <c r="B1897" t="s">
        <v>28</v>
      </c>
      <c r="C1897">
        <v>36</v>
      </c>
      <c r="D1897">
        <v>60</v>
      </c>
      <c r="E1897" t="s">
        <v>19</v>
      </c>
      <c r="F1897" t="s">
        <v>173</v>
      </c>
      <c r="G1897">
        <v>491.87</v>
      </c>
      <c r="H1897" t="s">
        <v>20</v>
      </c>
      <c r="I1897" s="2">
        <v>45413</v>
      </c>
      <c r="J1897" s="2">
        <v>45462</v>
      </c>
      <c r="K1897" t="s">
        <v>21</v>
      </c>
    </row>
    <row r="1898" spans="1:11" x14ac:dyDescent="0.25">
      <c r="A1898" t="s">
        <v>114</v>
      </c>
      <c r="B1898" t="s">
        <v>30</v>
      </c>
      <c r="C1898">
        <v>68</v>
      </c>
      <c r="D1898">
        <v>70</v>
      </c>
      <c r="E1898" t="s">
        <v>19</v>
      </c>
      <c r="F1898" t="s">
        <v>170</v>
      </c>
      <c r="G1898">
        <v>133.54</v>
      </c>
      <c r="H1898" t="s">
        <v>20</v>
      </c>
      <c r="I1898" s="2">
        <v>45475</v>
      </c>
      <c r="J1898" s="2">
        <v>45494</v>
      </c>
      <c r="K1898" t="s">
        <v>21</v>
      </c>
    </row>
    <row r="1899" spans="1:11" x14ac:dyDescent="0.25">
      <c r="A1899" t="s">
        <v>97</v>
      </c>
      <c r="B1899" t="s">
        <v>30</v>
      </c>
      <c r="C1899">
        <v>165</v>
      </c>
      <c r="D1899">
        <v>66</v>
      </c>
      <c r="E1899" t="s">
        <v>13</v>
      </c>
      <c r="F1899" t="s">
        <v>171</v>
      </c>
      <c r="G1899">
        <v>485.01</v>
      </c>
      <c r="H1899" t="s">
        <v>26</v>
      </c>
      <c r="I1899" s="2">
        <v>45373</v>
      </c>
      <c r="J1899" s="2">
        <v>45409</v>
      </c>
      <c r="K1899" t="s">
        <v>21</v>
      </c>
    </row>
    <row r="1900" spans="1:11" x14ac:dyDescent="0.25">
      <c r="A1900" t="s">
        <v>116</v>
      </c>
      <c r="B1900" t="s">
        <v>30</v>
      </c>
      <c r="C1900">
        <v>40</v>
      </c>
      <c r="D1900">
        <v>77</v>
      </c>
      <c r="E1900" t="s">
        <v>19</v>
      </c>
      <c r="F1900" t="s">
        <v>173</v>
      </c>
      <c r="G1900">
        <v>218.46</v>
      </c>
      <c r="H1900" t="s">
        <v>26</v>
      </c>
      <c r="I1900" s="2">
        <v>45345</v>
      </c>
      <c r="J1900" s="2">
        <v>45416</v>
      </c>
      <c r="K1900" t="s">
        <v>172</v>
      </c>
    </row>
    <row r="1901" spans="1:11" x14ac:dyDescent="0.25">
      <c r="A1901" t="s">
        <v>73</v>
      </c>
      <c r="B1901" t="s">
        <v>12</v>
      </c>
      <c r="C1901">
        <v>61</v>
      </c>
      <c r="D1901">
        <v>94</v>
      </c>
      <c r="E1901" t="s">
        <v>19</v>
      </c>
      <c r="F1901" t="s">
        <v>173</v>
      </c>
      <c r="G1901">
        <v>177.02</v>
      </c>
      <c r="H1901" t="s">
        <v>20</v>
      </c>
      <c r="I1901" s="2">
        <v>45558</v>
      </c>
      <c r="J1901" s="2">
        <v>45619</v>
      </c>
      <c r="K1901" t="s">
        <v>17</v>
      </c>
    </row>
    <row r="1902" spans="1:11" x14ac:dyDescent="0.25">
      <c r="A1902" t="s">
        <v>18</v>
      </c>
      <c r="B1902" t="s">
        <v>12</v>
      </c>
      <c r="C1902">
        <v>59</v>
      </c>
      <c r="D1902">
        <v>76</v>
      </c>
      <c r="E1902" t="s">
        <v>19</v>
      </c>
      <c r="F1902" t="s">
        <v>170</v>
      </c>
      <c r="G1902">
        <v>29.92</v>
      </c>
      <c r="H1902" t="s">
        <v>14</v>
      </c>
      <c r="I1902" s="2">
        <v>45460</v>
      </c>
      <c r="J1902" s="2">
        <v>45528</v>
      </c>
    </row>
    <row r="1903" spans="1:11" x14ac:dyDescent="0.25">
      <c r="A1903" t="s">
        <v>135</v>
      </c>
      <c r="B1903" t="s">
        <v>30</v>
      </c>
      <c r="C1903">
        <v>124</v>
      </c>
      <c r="D1903">
        <v>42</v>
      </c>
      <c r="E1903" t="s">
        <v>13</v>
      </c>
      <c r="F1903" t="s">
        <v>173</v>
      </c>
      <c r="G1903">
        <v>31.12</v>
      </c>
      <c r="H1903" t="s">
        <v>26</v>
      </c>
      <c r="I1903" s="2">
        <v>45431</v>
      </c>
      <c r="J1903" s="2">
        <v>45448</v>
      </c>
    </row>
    <row r="1904" spans="1:11" x14ac:dyDescent="0.25">
      <c r="A1904" t="s">
        <v>128</v>
      </c>
      <c r="B1904" t="s">
        <v>28</v>
      </c>
      <c r="C1904">
        <v>110</v>
      </c>
      <c r="D1904">
        <v>67</v>
      </c>
      <c r="E1904" t="s">
        <v>13</v>
      </c>
      <c r="F1904" t="s">
        <v>173</v>
      </c>
      <c r="G1904">
        <v>347.55</v>
      </c>
      <c r="H1904" t="s">
        <v>26</v>
      </c>
      <c r="I1904" s="2">
        <v>45324</v>
      </c>
      <c r="J1904" s="2">
        <v>45391</v>
      </c>
    </row>
    <row r="1905" spans="1:11" x14ac:dyDescent="0.25">
      <c r="A1905" t="s">
        <v>119</v>
      </c>
      <c r="B1905" t="s">
        <v>23</v>
      </c>
      <c r="C1905">
        <v>13</v>
      </c>
      <c r="D1905">
        <v>41</v>
      </c>
      <c r="E1905" t="s">
        <v>19</v>
      </c>
      <c r="F1905" t="s">
        <v>171</v>
      </c>
      <c r="G1905">
        <v>231.67</v>
      </c>
      <c r="H1905" t="s">
        <v>14</v>
      </c>
      <c r="I1905" s="2">
        <v>45554</v>
      </c>
      <c r="J1905" s="2">
        <v>45599</v>
      </c>
    </row>
    <row r="1906" spans="1:11" x14ac:dyDescent="0.25">
      <c r="A1906" t="s">
        <v>151</v>
      </c>
      <c r="B1906" t="s">
        <v>23</v>
      </c>
      <c r="C1906">
        <v>83</v>
      </c>
      <c r="D1906">
        <v>36</v>
      </c>
      <c r="E1906" t="s">
        <v>13</v>
      </c>
      <c r="F1906" t="s">
        <v>171</v>
      </c>
      <c r="G1906">
        <v>117.13</v>
      </c>
      <c r="H1906" t="s">
        <v>14</v>
      </c>
      <c r="I1906" s="2">
        <v>45551</v>
      </c>
      <c r="J1906" s="2">
        <v>45634</v>
      </c>
      <c r="K1906" t="s">
        <v>172</v>
      </c>
    </row>
    <row r="1907" spans="1:11" x14ac:dyDescent="0.25">
      <c r="A1907" t="s">
        <v>124</v>
      </c>
      <c r="B1907" t="s">
        <v>16</v>
      </c>
      <c r="C1907">
        <v>129</v>
      </c>
      <c r="D1907">
        <v>88</v>
      </c>
      <c r="E1907" t="s">
        <v>13</v>
      </c>
      <c r="F1907" t="s">
        <v>170</v>
      </c>
      <c r="G1907">
        <v>308.92</v>
      </c>
      <c r="H1907" t="s">
        <v>20</v>
      </c>
      <c r="I1907" s="2">
        <v>45599</v>
      </c>
      <c r="J1907" s="2">
        <v>45646</v>
      </c>
    </row>
    <row r="1908" spans="1:11" x14ac:dyDescent="0.25">
      <c r="A1908" t="s">
        <v>111</v>
      </c>
      <c r="B1908" t="s">
        <v>28</v>
      </c>
      <c r="C1908">
        <v>69</v>
      </c>
      <c r="D1908">
        <v>30</v>
      </c>
      <c r="E1908" t="s">
        <v>13</v>
      </c>
      <c r="F1908" t="s">
        <v>171</v>
      </c>
      <c r="G1908">
        <v>130.16</v>
      </c>
      <c r="H1908" t="s">
        <v>14</v>
      </c>
      <c r="I1908" s="2">
        <v>45579</v>
      </c>
      <c r="J1908" s="2">
        <v>45665</v>
      </c>
      <c r="K1908" t="s">
        <v>172</v>
      </c>
    </row>
    <row r="1909" spans="1:11" x14ac:dyDescent="0.25">
      <c r="A1909" t="s">
        <v>117</v>
      </c>
      <c r="B1909" t="s">
        <v>12</v>
      </c>
      <c r="C1909">
        <v>144</v>
      </c>
      <c r="D1909">
        <v>34</v>
      </c>
      <c r="E1909" t="s">
        <v>13</v>
      </c>
      <c r="F1909" t="s">
        <v>170</v>
      </c>
      <c r="G1909">
        <v>290.93</v>
      </c>
      <c r="H1909" t="s">
        <v>20</v>
      </c>
      <c r="I1909" s="2">
        <v>45582</v>
      </c>
      <c r="J1909" s="2">
        <v>45646</v>
      </c>
      <c r="K1909" t="s">
        <v>17</v>
      </c>
    </row>
    <row r="1910" spans="1:11" x14ac:dyDescent="0.25">
      <c r="A1910" t="s">
        <v>129</v>
      </c>
      <c r="B1910" t="s">
        <v>30</v>
      </c>
      <c r="C1910">
        <v>122</v>
      </c>
      <c r="D1910">
        <v>54</v>
      </c>
      <c r="E1910" t="s">
        <v>13</v>
      </c>
      <c r="F1910" t="s">
        <v>170</v>
      </c>
      <c r="G1910">
        <v>182.81</v>
      </c>
      <c r="H1910" t="s">
        <v>14</v>
      </c>
      <c r="I1910" s="2">
        <v>45615</v>
      </c>
      <c r="J1910" s="2">
        <v>45645</v>
      </c>
      <c r="K1910" t="s">
        <v>21</v>
      </c>
    </row>
    <row r="1911" spans="1:11" x14ac:dyDescent="0.25">
      <c r="A1911" t="s">
        <v>132</v>
      </c>
      <c r="B1911" t="s">
        <v>16</v>
      </c>
      <c r="C1911">
        <v>88</v>
      </c>
      <c r="D1911">
        <v>52</v>
      </c>
      <c r="E1911" t="s">
        <v>13</v>
      </c>
      <c r="F1911" t="s">
        <v>170</v>
      </c>
      <c r="G1911">
        <v>412.66</v>
      </c>
      <c r="H1911" t="s">
        <v>26</v>
      </c>
      <c r="I1911" s="2">
        <v>45333</v>
      </c>
      <c r="J1911" s="2">
        <v>45386</v>
      </c>
    </row>
    <row r="1912" spans="1:11" x14ac:dyDescent="0.25">
      <c r="A1912" t="s">
        <v>111</v>
      </c>
      <c r="B1912" t="s">
        <v>23</v>
      </c>
      <c r="C1912">
        <v>27</v>
      </c>
      <c r="D1912">
        <v>35</v>
      </c>
      <c r="E1912" t="s">
        <v>19</v>
      </c>
      <c r="F1912" t="s">
        <v>173</v>
      </c>
      <c r="G1912">
        <v>411.24</v>
      </c>
      <c r="H1912" t="s">
        <v>20</v>
      </c>
      <c r="I1912" s="2">
        <v>45476</v>
      </c>
      <c r="J1912" s="2">
        <v>45536</v>
      </c>
      <c r="K1912" t="s">
        <v>21</v>
      </c>
    </row>
    <row r="1913" spans="1:11" x14ac:dyDescent="0.25">
      <c r="A1913" t="s">
        <v>133</v>
      </c>
      <c r="B1913" t="s">
        <v>12</v>
      </c>
      <c r="C1913">
        <v>65</v>
      </c>
      <c r="D1913">
        <v>53</v>
      </c>
      <c r="E1913" t="s">
        <v>13</v>
      </c>
      <c r="F1913" t="s">
        <v>171</v>
      </c>
      <c r="G1913">
        <v>241.29</v>
      </c>
      <c r="H1913" t="s">
        <v>20</v>
      </c>
      <c r="I1913" s="2">
        <v>45624</v>
      </c>
      <c r="J1913" s="2">
        <v>45685</v>
      </c>
      <c r="K1913" t="s">
        <v>17</v>
      </c>
    </row>
    <row r="1914" spans="1:11" x14ac:dyDescent="0.25">
      <c r="A1914" t="s">
        <v>76</v>
      </c>
      <c r="B1914" t="s">
        <v>12</v>
      </c>
      <c r="C1914">
        <v>162</v>
      </c>
      <c r="D1914">
        <v>85</v>
      </c>
      <c r="E1914" t="s">
        <v>13</v>
      </c>
      <c r="F1914" t="s">
        <v>170</v>
      </c>
      <c r="G1914">
        <v>178.66</v>
      </c>
      <c r="H1914" t="s">
        <v>20</v>
      </c>
      <c r="I1914" s="2">
        <v>45586</v>
      </c>
      <c r="J1914" s="2">
        <v>45644</v>
      </c>
      <c r="K1914" t="s">
        <v>17</v>
      </c>
    </row>
    <row r="1915" spans="1:11" x14ac:dyDescent="0.25">
      <c r="A1915" t="s">
        <v>143</v>
      </c>
      <c r="B1915" t="s">
        <v>30</v>
      </c>
      <c r="C1915">
        <v>4</v>
      </c>
      <c r="D1915">
        <v>59</v>
      </c>
      <c r="E1915" t="s">
        <v>19</v>
      </c>
      <c r="F1915" t="s">
        <v>171</v>
      </c>
      <c r="G1915">
        <v>184.47</v>
      </c>
      <c r="H1915" t="s">
        <v>14</v>
      </c>
      <c r="I1915" s="2">
        <v>45601</v>
      </c>
      <c r="J1915" s="2">
        <v>45624</v>
      </c>
    </row>
    <row r="1916" spans="1:11" x14ac:dyDescent="0.25">
      <c r="A1916" t="s">
        <v>136</v>
      </c>
      <c r="B1916" t="s">
        <v>23</v>
      </c>
      <c r="C1916">
        <v>192</v>
      </c>
      <c r="D1916">
        <v>47</v>
      </c>
      <c r="E1916" t="s">
        <v>13</v>
      </c>
      <c r="F1916" t="s">
        <v>170</v>
      </c>
      <c r="G1916">
        <v>403.83</v>
      </c>
      <c r="H1916" t="s">
        <v>26</v>
      </c>
      <c r="I1916" s="2">
        <v>45552</v>
      </c>
      <c r="J1916" s="2">
        <v>45616</v>
      </c>
      <c r="K1916" t="s">
        <v>17</v>
      </c>
    </row>
    <row r="1917" spans="1:11" x14ac:dyDescent="0.25">
      <c r="A1917" t="s">
        <v>120</v>
      </c>
      <c r="B1917" t="s">
        <v>28</v>
      </c>
      <c r="C1917">
        <v>167</v>
      </c>
      <c r="D1917">
        <v>66</v>
      </c>
      <c r="E1917" t="s">
        <v>13</v>
      </c>
      <c r="F1917" t="s">
        <v>171</v>
      </c>
      <c r="G1917">
        <v>167.45</v>
      </c>
      <c r="H1917" t="s">
        <v>20</v>
      </c>
      <c r="I1917" s="2">
        <v>45457</v>
      </c>
      <c r="J1917" s="2">
        <v>45531</v>
      </c>
      <c r="K1917" t="s">
        <v>21</v>
      </c>
    </row>
    <row r="1918" spans="1:11" x14ac:dyDescent="0.25">
      <c r="A1918" t="s">
        <v>100</v>
      </c>
      <c r="B1918" t="s">
        <v>12</v>
      </c>
      <c r="C1918">
        <v>183</v>
      </c>
      <c r="D1918">
        <v>58</v>
      </c>
      <c r="E1918" t="s">
        <v>13</v>
      </c>
      <c r="F1918" t="s">
        <v>171</v>
      </c>
      <c r="G1918">
        <v>108.48</v>
      </c>
      <c r="H1918" t="s">
        <v>20</v>
      </c>
      <c r="I1918" s="2">
        <v>45556</v>
      </c>
      <c r="J1918" s="2">
        <v>45585</v>
      </c>
    </row>
    <row r="1919" spans="1:11" x14ac:dyDescent="0.25">
      <c r="A1919" t="s">
        <v>123</v>
      </c>
      <c r="B1919" t="s">
        <v>30</v>
      </c>
      <c r="C1919">
        <v>163</v>
      </c>
      <c r="D1919">
        <v>89</v>
      </c>
      <c r="E1919" t="s">
        <v>13</v>
      </c>
      <c r="F1919" t="s">
        <v>170</v>
      </c>
      <c r="G1919">
        <v>46.92</v>
      </c>
      <c r="H1919" t="s">
        <v>20</v>
      </c>
      <c r="I1919" s="2">
        <v>45401</v>
      </c>
      <c r="J1919" s="2">
        <v>45451</v>
      </c>
      <c r="K1919" t="s">
        <v>172</v>
      </c>
    </row>
    <row r="1920" spans="1:11" x14ac:dyDescent="0.25">
      <c r="A1920" t="s">
        <v>92</v>
      </c>
      <c r="B1920" t="s">
        <v>28</v>
      </c>
      <c r="C1920">
        <v>44</v>
      </c>
      <c r="D1920">
        <v>92</v>
      </c>
      <c r="E1920" t="s">
        <v>19</v>
      </c>
      <c r="F1920" t="s">
        <v>173</v>
      </c>
      <c r="G1920">
        <v>236.01</v>
      </c>
      <c r="H1920" t="s">
        <v>20</v>
      </c>
      <c r="I1920" s="2">
        <v>45350</v>
      </c>
      <c r="J1920" s="2">
        <v>45427</v>
      </c>
    </row>
    <row r="1921" spans="1:11" x14ac:dyDescent="0.25">
      <c r="A1921" t="s">
        <v>117</v>
      </c>
      <c r="B1921" t="s">
        <v>23</v>
      </c>
      <c r="C1921">
        <v>150</v>
      </c>
      <c r="D1921">
        <v>39</v>
      </c>
      <c r="E1921" t="s">
        <v>13</v>
      </c>
      <c r="F1921" t="s">
        <v>171</v>
      </c>
      <c r="G1921">
        <v>243.66</v>
      </c>
      <c r="H1921" t="s">
        <v>26</v>
      </c>
      <c r="I1921" s="2">
        <v>45583</v>
      </c>
      <c r="J1921" s="2">
        <v>45666</v>
      </c>
      <c r="K1921" t="s">
        <v>21</v>
      </c>
    </row>
    <row r="1922" spans="1:11" x14ac:dyDescent="0.25">
      <c r="A1922" t="s">
        <v>97</v>
      </c>
      <c r="B1922" t="s">
        <v>12</v>
      </c>
      <c r="C1922">
        <v>46</v>
      </c>
      <c r="D1922">
        <v>20</v>
      </c>
      <c r="E1922" t="s">
        <v>13</v>
      </c>
      <c r="F1922" t="s">
        <v>173</v>
      </c>
      <c r="G1922">
        <v>421.25</v>
      </c>
      <c r="H1922" t="s">
        <v>14</v>
      </c>
      <c r="I1922" s="2">
        <v>45486</v>
      </c>
      <c r="J1922" s="2">
        <v>45541</v>
      </c>
    </row>
    <row r="1923" spans="1:11" x14ac:dyDescent="0.25">
      <c r="A1923" t="s">
        <v>77</v>
      </c>
      <c r="B1923" t="s">
        <v>28</v>
      </c>
      <c r="C1923">
        <v>30</v>
      </c>
      <c r="D1923">
        <v>91</v>
      </c>
      <c r="E1923" t="s">
        <v>19</v>
      </c>
      <c r="F1923" t="s">
        <v>173</v>
      </c>
      <c r="G1923">
        <v>114.51</v>
      </c>
      <c r="H1923" t="s">
        <v>26</v>
      </c>
      <c r="I1923" s="2">
        <v>45514</v>
      </c>
      <c r="J1923" s="2">
        <v>45602</v>
      </c>
    </row>
    <row r="1924" spans="1:11" x14ac:dyDescent="0.25">
      <c r="A1924" t="s">
        <v>74</v>
      </c>
      <c r="B1924" t="s">
        <v>28</v>
      </c>
      <c r="C1924">
        <v>138</v>
      </c>
      <c r="D1924">
        <v>82</v>
      </c>
      <c r="E1924" t="s">
        <v>13</v>
      </c>
      <c r="F1924" t="s">
        <v>170</v>
      </c>
      <c r="G1924">
        <v>193.59</v>
      </c>
      <c r="H1924" t="s">
        <v>20</v>
      </c>
      <c r="I1924" s="2">
        <v>45491</v>
      </c>
      <c r="J1924" s="2">
        <v>45529</v>
      </c>
      <c r="K1924" t="s">
        <v>21</v>
      </c>
    </row>
    <row r="1925" spans="1:11" x14ac:dyDescent="0.25">
      <c r="A1925" t="s">
        <v>118</v>
      </c>
      <c r="B1925" t="s">
        <v>28</v>
      </c>
      <c r="C1925">
        <v>9</v>
      </c>
      <c r="D1925">
        <v>86</v>
      </c>
      <c r="E1925" t="s">
        <v>19</v>
      </c>
      <c r="F1925" t="s">
        <v>170</v>
      </c>
      <c r="G1925">
        <v>405.16</v>
      </c>
      <c r="H1925" t="s">
        <v>26</v>
      </c>
      <c r="I1925" s="2">
        <v>45396</v>
      </c>
      <c r="J1925" s="2">
        <v>45459</v>
      </c>
    </row>
    <row r="1926" spans="1:11" x14ac:dyDescent="0.25">
      <c r="A1926" t="s">
        <v>148</v>
      </c>
      <c r="B1926" t="s">
        <v>12</v>
      </c>
      <c r="C1926">
        <v>194</v>
      </c>
      <c r="D1926">
        <v>23</v>
      </c>
      <c r="E1926" t="s">
        <v>13</v>
      </c>
      <c r="F1926" t="s">
        <v>170</v>
      </c>
      <c r="G1926">
        <v>412.69</v>
      </c>
      <c r="H1926" t="s">
        <v>20</v>
      </c>
      <c r="I1926" s="2">
        <v>45436</v>
      </c>
      <c r="J1926" s="2">
        <v>45468</v>
      </c>
    </row>
    <row r="1927" spans="1:11" x14ac:dyDescent="0.25">
      <c r="A1927" t="s">
        <v>146</v>
      </c>
      <c r="B1927" t="s">
        <v>12</v>
      </c>
      <c r="C1927">
        <v>117</v>
      </c>
      <c r="D1927">
        <v>77</v>
      </c>
      <c r="E1927" t="s">
        <v>13</v>
      </c>
      <c r="F1927" t="s">
        <v>171</v>
      </c>
      <c r="G1927">
        <v>195.38</v>
      </c>
      <c r="H1927" t="s">
        <v>14</v>
      </c>
      <c r="I1927" s="2">
        <v>45574</v>
      </c>
      <c r="J1927" s="2">
        <v>45595</v>
      </c>
      <c r="K1927" t="s">
        <v>21</v>
      </c>
    </row>
    <row r="1928" spans="1:11" x14ac:dyDescent="0.25">
      <c r="A1928" t="s">
        <v>18</v>
      </c>
      <c r="B1928" t="s">
        <v>16</v>
      </c>
      <c r="C1928">
        <v>13</v>
      </c>
      <c r="D1928">
        <v>44</v>
      </c>
      <c r="E1928" t="s">
        <v>19</v>
      </c>
      <c r="F1928" t="s">
        <v>170</v>
      </c>
      <c r="G1928">
        <v>232.27</v>
      </c>
      <c r="H1928" t="s">
        <v>14</v>
      </c>
      <c r="I1928" s="2">
        <v>45475</v>
      </c>
      <c r="J1928" s="2">
        <v>45493</v>
      </c>
      <c r="K1928" t="s">
        <v>17</v>
      </c>
    </row>
    <row r="1929" spans="1:11" x14ac:dyDescent="0.25">
      <c r="A1929" t="s">
        <v>103</v>
      </c>
      <c r="B1929" t="s">
        <v>23</v>
      </c>
      <c r="C1929">
        <v>79</v>
      </c>
      <c r="D1929">
        <v>66</v>
      </c>
      <c r="E1929" t="s">
        <v>13</v>
      </c>
      <c r="F1929" t="s">
        <v>170</v>
      </c>
      <c r="G1929">
        <v>155.13</v>
      </c>
      <c r="H1929" t="s">
        <v>14</v>
      </c>
      <c r="I1929" s="2">
        <v>45350</v>
      </c>
      <c r="J1929" s="2">
        <v>45433</v>
      </c>
      <c r="K1929" t="s">
        <v>21</v>
      </c>
    </row>
    <row r="1930" spans="1:11" x14ac:dyDescent="0.25">
      <c r="A1930" t="s">
        <v>134</v>
      </c>
      <c r="B1930" t="s">
        <v>30</v>
      </c>
      <c r="C1930">
        <v>92</v>
      </c>
      <c r="D1930">
        <v>57</v>
      </c>
      <c r="E1930" t="s">
        <v>13</v>
      </c>
      <c r="F1930" t="s">
        <v>171</v>
      </c>
      <c r="G1930">
        <v>466.61</v>
      </c>
      <c r="H1930" t="s">
        <v>20</v>
      </c>
      <c r="I1930" s="2">
        <v>45647</v>
      </c>
      <c r="J1930" s="2">
        <v>45721</v>
      </c>
    </row>
    <row r="1931" spans="1:11" x14ac:dyDescent="0.25">
      <c r="A1931" t="s">
        <v>87</v>
      </c>
      <c r="B1931" t="s">
        <v>28</v>
      </c>
      <c r="C1931">
        <v>9</v>
      </c>
      <c r="D1931">
        <v>34</v>
      </c>
      <c r="E1931" t="s">
        <v>19</v>
      </c>
      <c r="F1931" t="s">
        <v>171</v>
      </c>
      <c r="G1931">
        <v>63.73</v>
      </c>
      <c r="H1931" t="s">
        <v>26</v>
      </c>
      <c r="I1931" s="2">
        <v>45653</v>
      </c>
      <c r="J1931" s="2">
        <v>45722</v>
      </c>
      <c r="K1931" t="s">
        <v>172</v>
      </c>
    </row>
    <row r="1932" spans="1:11" x14ac:dyDescent="0.25">
      <c r="A1932" t="s">
        <v>140</v>
      </c>
      <c r="B1932" t="s">
        <v>16</v>
      </c>
      <c r="C1932">
        <v>75</v>
      </c>
      <c r="D1932">
        <v>82</v>
      </c>
      <c r="E1932" t="s">
        <v>19</v>
      </c>
      <c r="F1932" t="s">
        <v>170</v>
      </c>
      <c r="G1932">
        <v>467.21</v>
      </c>
      <c r="H1932" t="s">
        <v>14</v>
      </c>
      <c r="I1932" s="2">
        <v>45306</v>
      </c>
      <c r="J1932" s="2">
        <v>45336</v>
      </c>
      <c r="K1932" t="s">
        <v>172</v>
      </c>
    </row>
    <row r="1933" spans="1:11" x14ac:dyDescent="0.25">
      <c r="A1933" t="s">
        <v>86</v>
      </c>
      <c r="B1933" t="s">
        <v>30</v>
      </c>
      <c r="C1933">
        <v>93</v>
      </c>
      <c r="D1933">
        <v>40</v>
      </c>
      <c r="E1933" t="s">
        <v>13</v>
      </c>
      <c r="F1933" t="s">
        <v>170</v>
      </c>
      <c r="G1933">
        <v>343.51</v>
      </c>
      <c r="H1933" t="s">
        <v>20</v>
      </c>
      <c r="I1933" s="2">
        <v>45321</v>
      </c>
      <c r="J1933" s="2">
        <v>45364</v>
      </c>
      <c r="K1933" t="s">
        <v>21</v>
      </c>
    </row>
    <row r="1934" spans="1:11" x14ac:dyDescent="0.25">
      <c r="A1934" t="s">
        <v>67</v>
      </c>
      <c r="B1934" t="s">
        <v>16</v>
      </c>
      <c r="C1934">
        <v>104</v>
      </c>
      <c r="D1934">
        <v>76</v>
      </c>
      <c r="E1934" t="s">
        <v>13</v>
      </c>
      <c r="F1934" t="s">
        <v>170</v>
      </c>
      <c r="G1934">
        <v>268.13</v>
      </c>
      <c r="H1934" t="s">
        <v>20</v>
      </c>
      <c r="I1934" s="2">
        <v>45365</v>
      </c>
      <c r="J1934" s="2">
        <v>45402</v>
      </c>
      <c r="K1934" t="s">
        <v>172</v>
      </c>
    </row>
    <row r="1935" spans="1:11" x14ac:dyDescent="0.25">
      <c r="A1935" t="s">
        <v>89</v>
      </c>
      <c r="B1935" t="s">
        <v>12</v>
      </c>
      <c r="C1935">
        <v>0</v>
      </c>
      <c r="D1935">
        <v>72</v>
      </c>
      <c r="E1935" t="s">
        <v>19</v>
      </c>
      <c r="F1935" t="s">
        <v>170</v>
      </c>
      <c r="G1935">
        <v>21.17</v>
      </c>
      <c r="H1935" t="s">
        <v>26</v>
      </c>
      <c r="I1935" s="2">
        <v>45376</v>
      </c>
      <c r="J1935" s="2">
        <v>45404</v>
      </c>
    </row>
    <row r="1936" spans="1:11" x14ac:dyDescent="0.25">
      <c r="A1936" t="s">
        <v>90</v>
      </c>
      <c r="B1936" t="s">
        <v>28</v>
      </c>
      <c r="C1936">
        <v>132</v>
      </c>
      <c r="D1936">
        <v>65</v>
      </c>
      <c r="E1936" t="s">
        <v>13</v>
      </c>
      <c r="F1936" t="s">
        <v>173</v>
      </c>
      <c r="G1936">
        <v>240.42</v>
      </c>
      <c r="H1936" t="s">
        <v>14</v>
      </c>
      <c r="I1936" s="2">
        <v>45442</v>
      </c>
      <c r="J1936" s="2">
        <v>45505</v>
      </c>
    </row>
    <row r="1937" spans="1:11" x14ac:dyDescent="0.25">
      <c r="A1937" t="s">
        <v>141</v>
      </c>
      <c r="B1937" t="s">
        <v>30</v>
      </c>
      <c r="C1937">
        <v>19</v>
      </c>
      <c r="D1937">
        <v>33</v>
      </c>
      <c r="E1937" t="s">
        <v>19</v>
      </c>
      <c r="F1937" t="s">
        <v>173</v>
      </c>
      <c r="G1937">
        <v>206.84</v>
      </c>
      <c r="H1937" t="s">
        <v>20</v>
      </c>
      <c r="I1937" s="2">
        <v>45559</v>
      </c>
      <c r="J1937" s="2">
        <v>45606</v>
      </c>
      <c r="K1937" t="s">
        <v>21</v>
      </c>
    </row>
    <row r="1938" spans="1:11" x14ac:dyDescent="0.25">
      <c r="A1938" t="s">
        <v>98</v>
      </c>
      <c r="B1938" t="s">
        <v>30</v>
      </c>
      <c r="C1938">
        <v>7</v>
      </c>
      <c r="D1938">
        <v>95</v>
      </c>
      <c r="E1938" t="s">
        <v>19</v>
      </c>
      <c r="F1938" t="s">
        <v>170</v>
      </c>
      <c r="G1938">
        <v>84.8</v>
      </c>
      <c r="H1938" t="s">
        <v>26</v>
      </c>
      <c r="I1938" s="2">
        <v>45556</v>
      </c>
      <c r="J1938" s="2">
        <v>45595</v>
      </c>
    </row>
    <row r="1939" spans="1:11" x14ac:dyDescent="0.25">
      <c r="A1939" t="s">
        <v>80</v>
      </c>
      <c r="B1939" t="s">
        <v>30</v>
      </c>
      <c r="C1939">
        <v>170</v>
      </c>
      <c r="D1939">
        <v>36</v>
      </c>
      <c r="E1939" t="s">
        <v>13</v>
      </c>
      <c r="F1939" t="s">
        <v>173</v>
      </c>
      <c r="G1939">
        <v>329.92</v>
      </c>
      <c r="H1939" t="s">
        <v>14</v>
      </c>
      <c r="I1939" s="2">
        <v>45648</v>
      </c>
      <c r="J1939" s="2">
        <v>45683</v>
      </c>
      <c r="K1939" t="s">
        <v>17</v>
      </c>
    </row>
    <row r="1940" spans="1:11" x14ac:dyDescent="0.25">
      <c r="A1940" t="s">
        <v>54</v>
      </c>
      <c r="B1940" t="s">
        <v>30</v>
      </c>
      <c r="C1940">
        <v>0</v>
      </c>
      <c r="D1940">
        <v>58</v>
      </c>
      <c r="E1940" t="s">
        <v>19</v>
      </c>
      <c r="F1940" t="s">
        <v>171</v>
      </c>
      <c r="G1940">
        <v>485.72</v>
      </c>
      <c r="H1940" t="s">
        <v>26</v>
      </c>
      <c r="I1940" s="2">
        <v>45596</v>
      </c>
      <c r="J1940" s="2">
        <v>45627</v>
      </c>
    </row>
    <row r="1941" spans="1:11" x14ac:dyDescent="0.25">
      <c r="A1941" t="s">
        <v>134</v>
      </c>
      <c r="B1941" t="s">
        <v>30</v>
      </c>
      <c r="C1941">
        <v>56</v>
      </c>
      <c r="D1941">
        <v>28</v>
      </c>
      <c r="E1941" t="s">
        <v>13</v>
      </c>
      <c r="F1941" t="s">
        <v>173</v>
      </c>
      <c r="G1941">
        <v>283.27999999999997</v>
      </c>
      <c r="H1941" t="s">
        <v>26</v>
      </c>
      <c r="I1941" s="2">
        <v>45348</v>
      </c>
      <c r="J1941" s="2">
        <v>45385</v>
      </c>
      <c r="K1941" t="s">
        <v>21</v>
      </c>
    </row>
    <row r="1942" spans="1:11" x14ac:dyDescent="0.25">
      <c r="A1942" t="s">
        <v>102</v>
      </c>
      <c r="B1942" t="s">
        <v>16</v>
      </c>
      <c r="C1942">
        <v>63</v>
      </c>
      <c r="D1942">
        <v>96</v>
      </c>
      <c r="E1942" t="s">
        <v>19</v>
      </c>
      <c r="F1942" t="s">
        <v>173</v>
      </c>
      <c r="G1942">
        <v>358.8</v>
      </c>
      <c r="H1942" t="s">
        <v>20</v>
      </c>
      <c r="I1942" s="2">
        <v>45511</v>
      </c>
      <c r="J1942" s="2">
        <v>45582</v>
      </c>
      <c r="K1942" t="s">
        <v>17</v>
      </c>
    </row>
    <row r="1943" spans="1:11" x14ac:dyDescent="0.25">
      <c r="A1943" t="s">
        <v>131</v>
      </c>
      <c r="B1943" t="s">
        <v>28</v>
      </c>
      <c r="C1943">
        <v>117</v>
      </c>
      <c r="D1943">
        <v>98</v>
      </c>
      <c r="E1943" t="s">
        <v>13</v>
      </c>
      <c r="F1943" t="s">
        <v>170</v>
      </c>
      <c r="G1943">
        <v>38.880000000000003</v>
      </c>
      <c r="H1943" t="s">
        <v>20</v>
      </c>
      <c r="I1943" s="2">
        <v>45594</v>
      </c>
      <c r="J1943" s="2">
        <v>45666</v>
      </c>
      <c r="K1943" t="s">
        <v>17</v>
      </c>
    </row>
    <row r="1944" spans="1:11" x14ac:dyDescent="0.25">
      <c r="A1944" t="s">
        <v>99</v>
      </c>
      <c r="B1944" t="s">
        <v>12</v>
      </c>
      <c r="C1944">
        <v>27</v>
      </c>
      <c r="D1944">
        <v>25</v>
      </c>
      <c r="E1944" t="s">
        <v>13</v>
      </c>
      <c r="F1944" t="s">
        <v>173</v>
      </c>
      <c r="G1944">
        <v>211.75</v>
      </c>
      <c r="H1944" t="s">
        <v>20</v>
      </c>
      <c r="I1944" s="2">
        <v>45536</v>
      </c>
      <c r="J1944" s="2">
        <v>45564</v>
      </c>
      <c r="K1944" t="s">
        <v>172</v>
      </c>
    </row>
    <row r="1945" spans="1:11" x14ac:dyDescent="0.25">
      <c r="A1945" t="s">
        <v>89</v>
      </c>
      <c r="B1945" t="s">
        <v>12</v>
      </c>
      <c r="C1945">
        <v>120</v>
      </c>
      <c r="D1945">
        <v>42</v>
      </c>
      <c r="E1945" t="s">
        <v>13</v>
      </c>
      <c r="F1945" t="s">
        <v>173</v>
      </c>
      <c r="G1945">
        <v>62.6</v>
      </c>
      <c r="H1945" t="s">
        <v>26</v>
      </c>
      <c r="I1945" s="2">
        <v>45431</v>
      </c>
      <c r="J1945" s="2">
        <v>45465</v>
      </c>
    </row>
    <row r="1946" spans="1:11" x14ac:dyDescent="0.25">
      <c r="A1946" t="s">
        <v>78</v>
      </c>
      <c r="B1946" t="s">
        <v>12</v>
      </c>
      <c r="C1946">
        <v>106</v>
      </c>
      <c r="D1946">
        <v>78</v>
      </c>
      <c r="E1946" t="s">
        <v>13</v>
      </c>
      <c r="F1946" t="s">
        <v>173</v>
      </c>
      <c r="G1946">
        <v>308.33</v>
      </c>
      <c r="H1946" t="s">
        <v>20</v>
      </c>
      <c r="I1946" s="2">
        <v>45552</v>
      </c>
      <c r="J1946" s="2">
        <v>45596</v>
      </c>
      <c r="K1946" t="s">
        <v>21</v>
      </c>
    </row>
    <row r="1947" spans="1:11" x14ac:dyDescent="0.25">
      <c r="A1947" t="s">
        <v>72</v>
      </c>
      <c r="B1947" t="s">
        <v>12</v>
      </c>
      <c r="C1947">
        <v>164</v>
      </c>
      <c r="D1947">
        <v>65</v>
      </c>
      <c r="E1947" t="s">
        <v>13</v>
      </c>
      <c r="F1947" t="s">
        <v>173</v>
      </c>
      <c r="G1947">
        <v>469.55</v>
      </c>
      <c r="H1947" t="s">
        <v>26</v>
      </c>
      <c r="I1947" s="2">
        <v>45397</v>
      </c>
      <c r="J1947" s="2">
        <v>45430</v>
      </c>
      <c r="K1947" t="s">
        <v>172</v>
      </c>
    </row>
    <row r="1948" spans="1:11" x14ac:dyDescent="0.25">
      <c r="A1948" t="s">
        <v>96</v>
      </c>
      <c r="B1948" t="s">
        <v>16</v>
      </c>
      <c r="C1948">
        <v>174</v>
      </c>
      <c r="D1948">
        <v>57</v>
      </c>
      <c r="E1948" t="s">
        <v>13</v>
      </c>
      <c r="F1948" t="s">
        <v>171</v>
      </c>
      <c r="G1948">
        <v>332.58</v>
      </c>
      <c r="H1948" t="s">
        <v>26</v>
      </c>
      <c r="I1948" s="2">
        <v>45308</v>
      </c>
      <c r="J1948" s="2">
        <v>45375</v>
      </c>
      <c r="K1948" t="s">
        <v>172</v>
      </c>
    </row>
    <row r="1949" spans="1:11" x14ac:dyDescent="0.25">
      <c r="A1949" t="s">
        <v>39</v>
      </c>
      <c r="B1949" t="s">
        <v>23</v>
      </c>
      <c r="C1949">
        <v>164</v>
      </c>
      <c r="D1949">
        <v>33</v>
      </c>
      <c r="E1949" t="s">
        <v>13</v>
      </c>
      <c r="F1949" t="s">
        <v>170</v>
      </c>
      <c r="G1949">
        <v>43.02</v>
      </c>
      <c r="H1949" t="s">
        <v>20</v>
      </c>
      <c r="I1949" s="2">
        <v>45402</v>
      </c>
      <c r="J1949" s="2">
        <v>45472</v>
      </c>
    </row>
    <row r="1950" spans="1:11" x14ac:dyDescent="0.25">
      <c r="A1950" t="s">
        <v>76</v>
      </c>
      <c r="B1950" t="s">
        <v>28</v>
      </c>
      <c r="C1950">
        <v>48</v>
      </c>
      <c r="D1950">
        <v>91</v>
      </c>
      <c r="E1950" t="s">
        <v>19</v>
      </c>
      <c r="F1950" t="s">
        <v>170</v>
      </c>
      <c r="G1950">
        <v>180.56</v>
      </c>
      <c r="H1950" t="s">
        <v>14</v>
      </c>
      <c r="I1950" s="2">
        <v>45450</v>
      </c>
      <c r="J1950" s="2">
        <v>45487</v>
      </c>
    </row>
    <row r="1951" spans="1:11" x14ac:dyDescent="0.25">
      <c r="A1951" t="s">
        <v>108</v>
      </c>
      <c r="B1951" t="s">
        <v>30</v>
      </c>
      <c r="C1951">
        <v>119</v>
      </c>
      <c r="D1951">
        <v>81</v>
      </c>
      <c r="E1951" t="s">
        <v>13</v>
      </c>
      <c r="F1951" t="s">
        <v>171</v>
      </c>
      <c r="G1951">
        <v>277.58</v>
      </c>
      <c r="H1951" t="s">
        <v>14</v>
      </c>
      <c r="I1951" s="2">
        <v>45629</v>
      </c>
      <c r="J1951" s="2">
        <v>45705</v>
      </c>
      <c r="K1951" t="s">
        <v>21</v>
      </c>
    </row>
    <row r="1952" spans="1:11" x14ac:dyDescent="0.25">
      <c r="A1952" t="s">
        <v>152</v>
      </c>
      <c r="B1952" t="s">
        <v>23</v>
      </c>
      <c r="C1952">
        <v>43</v>
      </c>
      <c r="D1952">
        <v>54</v>
      </c>
      <c r="E1952" t="s">
        <v>19</v>
      </c>
      <c r="F1952" t="s">
        <v>173</v>
      </c>
      <c r="G1952">
        <v>204.59</v>
      </c>
      <c r="H1952" t="s">
        <v>14</v>
      </c>
      <c r="I1952" s="2">
        <v>45487</v>
      </c>
      <c r="J1952" s="2">
        <v>45534</v>
      </c>
      <c r="K1952" t="s">
        <v>172</v>
      </c>
    </row>
    <row r="1953" spans="1:11" x14ac:dyDescent="0.25">
      <c r="A1953" t="s">
        <v>146</v>
      </c>
      <c r="B1953" t="s">
        <v>12</v>
      </c>
      <c r="C1953">
        <v>55</v>
      </c>
      <c r="D1953">
        <v>38</v>
      </c>
      <c r="E1953" t="s">
        <v>13</v>
      </c>
      <c r="F1953" t="s">
        <v>171</v>
      </c>
      <c r="G1953">
        <v>417.65</v>
      </c>
      <c r="H1953" t="s">
        <v>26</v>
      </c>
      <c r="I1953" s="2">
        <v>45321</v>
      </c>
      <c r="J1953" s="2">
        <v>45353</v>
      </c>
      <c r="K1953" t="s">
        <v>21</v>
      </c>
    </row>
    <row r="1954" spans="1:11" x14ac:dyDescent="0.25">
      <c r="A1954" t="s">
        <v>126</v>
      </c>
      <c r="B1954" t="s">
        <v>23</v>
      </c>
      <c r="C1954">
        <v>155</v>
      </c>
      <c r="D1954">
        <v>49</v>
      </c>
      <c r="E1954" t="s">
        <v>13</v>
      </c>
      <c r="F1954" t="s">
        <v>173</v>
      </c>
      <c r="G1954">
        <v>408.26</v>
      </c>
      <c r="H1954" t="s">
        <v>26</v>
      </c>
      <c r="I1954" s="2">
        <v>45581</v>
      </c>
      <c r="J1954" s="2">
        <v>45668</v>
      </c>
      <c r="K1954" t="s">
        <v>172</v>
      </c>
    </row>
    <row r="1955" spans="1:11" x14ac:dyDescent="0.25">
      <c r="A1955" t="s">
        <v>146</v>
      </c>
      <c r="B1955" t="s">
        <v>28</v>
      </c>
      <c r="C1955">
        <v>110</v>
      </c>
      <c r="D1955">
        <v>97</v>
      </c>
      <c r="E1955" t="s">
        <v>13</v>
      </c>
      <c r="F1955" t="s">
        <v>171</v>
      </c>
      <c r="G1955">
        <v>307.86</v>
      </c>
      <c r="H1955" t="s">
        <v>26</v>
      </c>
      <c r="I1955" s="2">
        <v>45541</v>
      </c>
      <c r="J1955" s="2">
        <v>45588</v>
      </c>
      <c r="K1955" t="s">
        <v>172</v>
      </c>
    </row>
    <row r="1956" spans="1:11" x14ac:dyDescent="0.25">
      <c r="A1956" t="s">
        <v>72</v>
      </c>
      <c r="B1956" t="s">
        <v>30</v>
      </c>
      <c r="C1956">
        <v>133</v>
      </c>
      <c r="D1956">
        <v>44</v>
      </c>
      <c r="E1956" t="s">
        <v>13</v>
      </c>
      <c r="F1956" t="s">
        <v>170</v>
      </c>
      <c r="G1956">
        <v>189.86</v>
      </c>
      <c r="H1956" t="s">
        <v>20</v>
      </c>
      <c r="I1956" s="2">
        <v>45588</v>
      </c>
      <c r="J1956" s="2">
        <v>45634</v>
      </c>
      <c r="K1956" t="s">
        <v>172</v>
      </c>
    </row>
    <row r="1957" spans="1:11" x14ac:dyDescent="0.25">
      <c r="A1957" t="s">
        <v>76</v>
      </c>
      <c r="B1957" t="s">
        <v>30</v>
      </c>
      <c r="C1957">
        <v>107</v>
      </c>
      <c r="D1957">
        <v>59</v>
      </c>
      <c r="E1957" t="s">
        <v>13</v>
      </c>
      <c r="F1957" t="s">
        <v>170</v>
      </c>
      <c r="G1957">
        <v>131.38999999999999</v>
      </c>
      <c r="H1957" t="s">
        <v>26</v>
      </c>
      <c r="I1957" s="2">
        <v>45303</v>
      </c>
      <c r="J1957" s="2">
        <v>45378</v>
      </c>
    </row>
    <row r="1958" spans="1:11" x14ac:dyDescent="0.25">
      <c r="A1958" t="s">
        <v>122</v>
      </c>
      <c r="B1958" t="s">
        <v>28</v>
      </c>
      <c r="C1958">
        <v>188</v>
      </c>
      <c r="D1958">
        <v>33</v>
      </c>
      <c r="E1958" t="s">
        <v>13</v>
      </c>
      <c r="F1958" t="s">
        <v>170</v>
      </c>
      <c r="G1958">
        <v>57.41</v>
      </c>
      <c r="H1958" t="s">
        <v>20</v>
      </c>
      <c r="I1958" s="2">
        <v>45423</v>
      </c>
      <c r="J1958" s="2">
        <v>45491</v>
      </c>
      <c r="K1958" t="s">
        <v>172</v>
      </c>
    </row>
    <row r="1959" spans="1:11" x14ac:dyDescent="0.25">
      <c r="A1959" t="s">
        <v>107</v>
      </c>
      <c r="B1959" t="s">
        <v>28</v>
      </c>
      <c r="C1959">
        <v>147</v>
      </c>
      <c r="D1959">
        <v>45</v>
      </c>
      <c r="E1959" t="s">
        <v>13</v>
      </c>
      <c r="F1959" t="s">
        <v>173</v>
      </c>
      <c r="G1959">
        <v>180.67</v>
      </c>
      <c r="H1959" t="s">
        <v>20</v>
      </c>
      <c r="I1959" s="2">
        <v>45656</v>
      </c>
      <c r="J1959" s="2">
        <v>45687</v>
      </c>
      <c r="K1959" t="s">
        <v>172</v>
      </c>
    </row>
    <row r="1960" spans="1:11" x14ac:dyDescent="0.25">
      <c r="A1960" t="s">
        <v>122</v>
      </c>
      <c r="B1960" t="s">
        <v>12</v>
      </c>
      <c r="C1960">
        <v>113</v>
      </c>
      <c r="D1960">
        <v>41</v>
      </c>
      <c r="E1960" t="s">
        <v>13</v>
      </c>
      <c r="F1960" t="s">
        <v>173</v>
      </c>
      <c r="G1960">
        <v>209.52</v>
      </c>
      <c r="H1960" t="s">
        <v>14</v>
      </c>
      <c r="I1960" s="2">
        <v>45490</v>
      </c>
      <c r="J1960" s="2">
        <v>45523</v>
      </c>
      <c r="K1960" t="s">
        <v>172</v>
      </c>
    </row>
    <row r="1961" spans="1:11" x14ac:dyDescent="0.25">
      <c r="A1961" t="s">
        <v>75</v>
      </c>
      <c r="B1961" t="s">
        <v>30</v>
      </c>
      <c r="C1961">
        <v>77</v>
      </c>
      <c r="D1961">
        <v>67</v>
      </c>
      <c r="E1961" t="s">
        <v>13</v>
      </c>
      <c r="F1961" t="s">
        <v>171</v>
      </c>
      <c r="G1961">
        <v>339.53</v>
      </c>
      <c r="H1961" t="s">
        <v>14</v>
      </c>
      <c r="I1961" s="2">
        <v>45305</v>
      </c>
      <c r="J1961" s="2">
        <v>45389</v>
      </c>
      <c r="K1961" t="s">
        <v>17</v>
      </c>
    </row>
    <row r="1962" spans="1:11" x14ac:dyDescent="0.25">
      <c r="A1962" t="s">
        <v>91</v>
      </c>
      <c r="B1962" t="s">
        <v>23</v>
      </c>
      <c r="C1962">
        <v>129</v>
      </c>
      <c r="D1962">
        <v>70</v>
      </c>
      <c r="E1962" t="s">
        <v>13</v>
      </c>
      <c r="F1962" t="s">
        <v>171</v>
      </c>
      <c r="G1962">
        <v>330.79</v>
      </c>
      <c r="H1962" t="s">
        <v>14</v>
      </c>
      <c r="I1962" s="2">
        <v>45439</v>
      </c>
      <c r="J1962" s="2">
        <v>45487</v>
      </c>
    </row>
    <row r="1963" spans="1:11" x14ac:dyDescent="0.25">
      <c r="A1963" t="s">
        <v>77</v>
      </c>
      <c r="B1963" t="s">
        <v>16</v>
      </c>
      <c r="C1963">
        <v>36</v>
      </c>
      <c r="D1963">
        <v>22</v>
      </c>
      <c r="E1963" t="s">
        <v>13</v>
      </c>
      <c r="F1963" t="s">
        <v>170</v>
      </c>
      <c r="G1963">
        <v>39.700000000000003</v>
      </c>
      <c r="H1963" t="s">
        <v>20</v>
      </c>
      <c r="I1963" s="2">
        <v>45384</v>
      </c>
      <c r="J1963" s="2">
        <v>45423</v>
      </c>
      <c r="K1963" t="s">
        <v>17</v>
      </c>
    </row>
    <row r="1964" spans="1:11" x14ac:dyDescent="0.25">
      <c r="A1964" t="s">
        <v>27</v>
      </c>
      <c r="B1964" t="s">
        <v>16</v>
      </c>
      <c r="C1964">
        <v>19</v>
      </c>
      <c r="D1964">
        <v>61</v>
      </c>
      <c r="E1964" t="s">
        <v>19</v>
      </c>
      <c r="F1964" t="s">
        <v>173</v>
      </c>
      <c r="G1964">
        <v>200.65</v>
      </c>
      <c r="H1964" t="s">
        <v>20</v>
      </c>
      <c r="I1964" s="2">
        <v>45406</v>
      </c>
      <c r="J1964" s="2">
        <v>45488</v>
      </c>
    </row>
    <row r="1965" spans="1:11" x14ac:dyDescent="0.25">
      <c r="A1965" t="s">
        <v>82</v>
      </c>
      <c r="B1965" t="s">
        <v>28</v>
      </c>
      <c r="C1965">
        <v>25</v>
      </c>
      <c r="D1965">
        <v>38</v>
      </c>
      <c r="E1965" t="s">
        <v>19</v>
      </c>
      <c r="F1965" t="s">
        <v>171</v>
      </c>
      <c r="G1965">
        <v>94.98</v>
      </c>
      <c r="H1965" t="s">
        <v>20</v>
      </c>
      <c r="I1965" s="2">
        <v>45310</v>
      </c>
      <c r="J1965" s="2">
        <v>45398</v>
      </c>
      <c r="K1965" t="s">
        <v>21</v>
      </c>
    </row>
    <row r="1966" spans="1:11" x14ac:dyDescent="0.25">
      <c r="A1966" t="s">
        <v>159</v>
      </c>
      <c r="B1966" t="s">
        <v>12</v>
      </c>
      <c r="C1966">
        <v>28</v>
      </c>
      <c r="D1966">
        <v>92</v>
      </c>
      <c r="E1966" t="s">
        <v>19</v>
      </c>
      <c r="F1966" t="s">
        <v>173</v>
      </c>
      <c r="G1966">
        <v>82.62</v>
      </c>
      <c r="H1966" t="s">
        <v>26</v>
      </c>
      <c r="I1966" s="2">
        <v>45313</v>
      </c>
      <c r="J1966" s="2">
        <v>45401</v>
      </c>
      <c r="K1966" t="s">
        <v>17</v>
      </c>
    </row>
    <row r="1967" spans="1:11" x14ac:dyDescent="0.25">
      <c r="A1967" t="s">
        <v>124</v>
      </c>
      <c r="B1967" t="s">
        <v>16</v>
      </c>
      <c r="C1967">
        <v>0</v>
      </c>
      <c r="D1967">
        <v>47</v>
      </c>
      <c r="E1967" t="s">
        <v>19</v>
      </c>
      <c r="F1967" t="s">
        <v>173</v>
      </c>
      <c r="G1967">
        <v>414.51</v>
      </c>
      <c r="H1967" t="s">
        <v>20</v>
      </c>
      <c r="I1967" s="2">
        <v>45483</v>
      </c>
      <c r="J1967" s="2">
        <v>45508</v>
      </c>
      <c r="K1967" t="s">
        <v>21</v>
      </c>
    </row>
    <row r="1968" spans="1:11" x14ac:dyDescent="0.25">
      <c r="A1968" t="s">
        <v>128</v>
      </c>
      <c r="B1968" t="s">
        <v>30</v>
      </c>
      <c r="C1968">
        <v>118</v>
      </c>
      <c r="D1968">
        <v>64</v>
      </c>
      <c r="E1968" t="s">
        <v>13</v>
      </c>
      <c r="F1968" t="s">
        <v>170</v>
      </c>
      <c r="G1968">
        <v>25.75</v>
      </c>
      <c r="H1968" t="s">
        <v>14</v>
      </c>
      <c r="I1968" s="2">
        <v>45487</v>
      </c>
      <c r="J1968" s="2">
        <v>45517</v>
      </c>
      <c r="K1968" t="s">
        <v>172</v>
      </c>
    </row>
    <row r="1969" spans="1:11" x14ac:dyDescent="0.25">
      <c r="A1969" t="s">
        <v>148</v>
      </c>
      <c r="B1969" t="s">
        <v>28</v>
      </c>
      <c r="C1969">
        <v>34</v>
      </c>
      <c r="D1969">
        <v>90</v>
      </c>
      <c r="E1969" t="s">
        <v>19</v>
      </c>
      <c r="F1969" t="s">
        <v>170</v>
      </c>
      <c r="G1969">
        <v>212.5</v>
      </c>
      <c r="H1969" t="s">
        <v>14</v>
      </c>
      <c r="I1969" s="2">
        <v>45411</v>
      </c>
      <c r="J1969" s="2">
        <v>45486</v>
      </c>
      <c r="K1969" t="s">
        <v>21</v>
      </c>
    </row>
    <row r="1970" spans="1:11" x14ac:dyDescent="0.25">
      <c r="A1970" t="s">
        <v>112</v>
      </c>
      <c r="B1970" t="s">
        <v>23</v>
      </c>
      <c r="C1970">
        <v>197</v>
      </c>
      <c r="D1970">
        <v>97</v>
      </c>
      <c r="E1970" t="s">
        <v>13</v>
      </c>
      <c r="F1970" t="s">
        <v>173</v>
      </c>
      <c r="G1970">
        <v>88.26</v>
      </c>
      <c r="H1970" t="s">
        <v>20</v>
      </c>
      <c r="I1970" s="2">
        <v>45567</v>
      </c>
      <c r="J1970" s="2">
        <v>45588</v>
      </c>
      <c r="K1970" t="s">
        <v>21</v>
      </c>
    </row>
    <row r="1971" spans="1:11" x14ac:dyDescent="0.25">
      <c r="A1971" t="s">
        <v>67</v>
      </c>
      <c r="B1971" t="s">
        <v>28</v>
      </c>
      <c r="C1971">
        <v>58</v>
      </c>
      <c r="D1971">
        <v>82</v>
      </c>
      <c r="E1971" t="s">
        <v>19</v>
      </c>
      <c r="F1971" t="s">
        <v>173</v>
      </c>
      <c r="G1971">
        <v>440.27</v>
      </c>
      <c r="H1971" t="s">
        <v>20</v>
      </c>
      <c r="I1971" s="2">
        <v>45608</v>
      </c>
      <c r="J1971" s="2">
        <v>45638</v>
      </c>
      <c r="K1971" t="s">
        <v>21</v>
      </c>
    </row>
    <row r="1972" spans="1:11" x14ac:dyDescent="0.25">
      <c r="A1972" t="s">
        <v>27</v>
      </c>
      <c r="B1972" t="s">
        <v>23</v>
      </c>
      <c r="C1972">
        <v>68</v>
      </c>
      <c r="D1972">
        <v>92</v>
      </c>
      <c r="E1972" t="s">
        <v>19</v>
      </c>
      <c r="F1972" t="s">
        <v>173</v>
      </c>
      <c r="G1972">
        <v>280.74</v>
      </c>
      <c r="H1972" t="s">
        <v>14</v>
      </c>
      <c r="I1972" s="2">
        <v>45363</v>
      </c>
      <c r="J1972" s="2">
        <v>45393</v>
      </c>
      <c r="K1972" t="s">
        <v>21</v>
      </c>
    </row>
    <row r="1973" spans="1:11" x14ac:dyDescent="0.25">
      <c r="A1973" t="s">
        <v>148</v>
      </c>
      <c r="B1973" t="s">
        <v>28</v>
      </c>
      <c r="C1973">
        <v>160</v>
      </c>
      <c r="D1973">
        <v>38</v>
      </c>
      <c r="E1973" t="s">
        <v>13</v>
      </c>
      <c r="F1973" t="s">
        <v>173</v>
      </c>
      <c r="G1973">
        <v>119.53</v>
      </c>
      <c r="H1973" t="s">
        <v>20</v>
      </c>
      <c r="I1973" s="2">
        <v>45507</v>
      </c>
      <c r="J1973" s="2">
        <v>45561</v>
      </c>
    </row>
    <row r="1974" spans="1:11" x14ac:dyDescent="0.25">
      <c r="A1974" t="s">
        <v>122</v>
      </c>
      <c r="B1974" t="s">
        <v>28</v>
      </c>
      <c r="C1974">
        <v>178</v>
      </c>
      <c r="D1974">
        <v>66</v>
      </c>
      <c r="E1974" t="s">
        <v>13</v>
      </c>
      <c r="F1974" t="s">
        <v>170</v>
      </c>
      <c r="G1974">
        <v>253.7</v>
      </c>
      <c r="H1974" t="s">
        <v>14</v>
      </c>
      <c r="I1974" s="2">
        <v>45525</v>
      </c>
      <c r="J1974" s="2">
        <v>45551</v>
      </c>
      <c r="K1974" t="s">
        <v>17</v>
      </c>
    </row>
    <row r="1975" spans="1:11" x14ac:dyDescent="0.25">
      <c r="A1975" t="s">
        <v>72</v>
      </c>
      <c r="B1975" t="s">
        <v>28</v>
      </c>
      <c r="C1975">
        <v>11</v>
      </c>
      <c r="D1975">
        <v>33</v>
      </c>
      <c r="E1975" t="s">
        <v>19</v>
      </c>
      <c r="F1975" t="s">
        <v>171</v>
      </c>
      <c r="G1975">
        <v>367.09</v>
      </c>
      <c r="H1975" t="s">
        <v>26</v>
      </c>
      <c r="I1975" s="2">
        <v>45598</v>
      </c>
      <c r="J1975" s="2">
        <v>45647</v>
      </c>
    </row>
    <row r="1976" spans="1:11" x14ac:dyDescent="0.25">
      <c r="A1976" t="s">
        <v>147</v>
      </c>
      <c r="B1976" t="s">
        <v>23</v>
      </c>
      <c r="C1976">
        <v>19</v>
      </c>
      <c r="D1976">
        <v>57</v>
      </c>
      <c r="E1976" t="s">
        <v>19</v>
      </c>
      <c r="F1976" t="s">
        <v>170</v>
      </c>
      <c r="G1976">
        <v>479.27</v>
      </c>
      <c r="H1976" t="s">
        <v>14</v>
      </c>
      <c r="I1976" s="2">
        <v>45333</v>
      </c>
      <c r="J1976" s="2">
        <v>45368</v>
      </c>
    </row>
    <row r="1977" spans="1:11" x14ac:dyDescent="0.25">
      <c r="A1977" t="s">
        <v>147</v>
      </c>
      <c r="B1977" t="s">
        <v>23</v>
      </c>
      <c r="C1977">
        <v>180</v>
      </c>
      <c r="D1977">
        <v>72</v>
      </c>
      <c r="E1977" t="s">
        <v>13</v>
      </c>
      <c r="F1977" t="s">
        <v>171</v>
      </c>
      <c r="G1977">
        <v>114.12</v>
      </c>
      <c r="H1977" t="s">
        <v>26</v>
      </c>
      <c r="I1977" s="2">
        <v>45458</v>
      </c>
      <c r="J1977" s="2">
        <v>45522</v>
      </c>
    </row>
    <row r="1978" spans="1:11" x14ac:dyDescent="0.25">
      <c r="A1978" t="s">
        <v>103</v>
      </c>
      <c r="B1978" t="s">
        <v>28</v>
      </c>
      <c r="C1978">
        <v>42</v>
      </c>
      <c r="D1978">
        <v>80</v>
      </c>
      <c r="E1978" t="s">
        <v>19</v>
      </c>
      <c r="F1978" t="s">
        <v>173</v>
      </c>
      <c r="G1978">
        <v>443.66</v>
      </c>
      <c r="H1978" t="s">
        <v>20</v>
      </c>
      <c r="I1978" s="2">
        <v>45442</v>
      </c>
      <c r="J1978" s="2">
        <v>45499</v>
      </c>
      <c r="K1978" t="s">
        <v>21</v>
      </c>
    </row>
    <row r="1979" spans="1:11" x14ac:dyDescent="0.25">
      <c r="A1979" t="s">
        <v>121</v>
      </c>
      <c r="B1979" t="s">
        <v>16</v>
      </c>
      <c r="C1979">
        <v>125</v>
      </c>
      <c r="D1979">
        <v>55</v>
      </c>
      <c r="E1979" t="s">
        <v>13</v>
      </c>
      <c r="F1979" t="s">
        <v>171</v>
      </c>
      <c r="G1979">
        <v>467.48</v>
      </c>
      <c r="H1979" t="s">
        <v>20</v>
      </c>
      <c r="I1979" s="2">
        <v>45608</v>
      </c>
      <c r="J1979" s="2">
        <v>45639</v>
      </c>
    </row>
    <row r="1980" spans="1:11" x14ac:dyDescent="0.25">
      <c r="A1980" t="s">
        <v>18</v>
      </c>
      <c r="B1980" t="s">
        <v>12</v>
      </c>
      <c r="C1980">
        <v>49</v>
      </c>
      <c r="D1980">
        <v>59</v>
      </c>
      <c r="E1980" t="s">
        <v>19</v>
      </c>
      <c r="F1980" t="s">
        <v>170</v>
      </c>
      <c r="G1980">
        <v>458.63</v>
      </c>
      <c r="H1980" t="s">
        <v>26</v>
      </c>
      <c r="I1980" s="2">
        <v>45425</v>
      </c>
      <c r="J1980" s="2">
        <v>45471</v>
      </c>
      <c r="K1980" t="s">
        <v>17</v>
      </c>
    </row>
    <row r="1981" spans="1:11" x14ac:dyDescent="0.25">
      <c r="A1981" t="s">
        <v>125</v>
      </c>
      <c r="B1981" t="s">
        <v>12</v>
      </c>
      <c r="C1981">
        <v>28</v>
      </c>
      <c r="D1981">
        <v>49</v>
      </c>
      <c r="E1981" t="s">
        <v>19</v>
      </c>
      <c r="F1981" t="s">
        <v>170</v>
      </c>
      <c r="G1981">
        <v>319.52999999999997</v>
      </c>
      <c r="H1981" t="s">
        <v>20</v>
      </c>
      <c r="I1981" s="2">
        <v>45410</v>
      </c>
      <c r="J1981" s="2">
        <v>45465</v>
      </c>
    </row>
    <row r="1982" spans="1:11" x14ac:dyDescent="0.25">
      <c r="A1982" t="s">
        <v>86</v>
      </c>
      <c r="B1982" t="s">
        <v>12</v>
      </c>
      <c r="C1982">
        <v>184</v>
      </c>
      <c r="D1982">
        <v>28</v>
      </c>
      <c r="E1982" t="s">
        <v>13</v>
      </c>
      <c r="F1982" t="s">
        <v>173</v>
      </c>
      <c r="G1982">
        <v>316.76</v>
      </c>
      <c r="H1982" t="s">
        <v>26</v>
      </c>
      <c r="I1982" s="2">
        <v>45418</v>
      </c>
      <c r="J1982" s="2">
        <v>45438</v>
      </c>
      <c r="K1982" t="s">
        <v>172</v>
      </c>
    </row>
    <row r="1983" spans="1:11" x14ac:dyDescent="0.25">
      <c r="A1983" t="s">
        <v>66</v>
      </c>
      <c r="B1983" t="s">
        <v>23</v>
      </c>
      <c r="C1983">
        <v>38</v>
      </c>
      <c r="D1983">
        <v>83</v>
      </c>
      <c r="E1983" t="s">
        <v>19</v>
      </c>
      <c r="F1983" t="s">
        <v>170</v>
      </c>
      <c r="G1983">
        <v>204.59</v>
      </c>
      <c r="H1983" t="s">
        <v>20</v>
      </c>
      <c r="I1983" s="2">
        <v>45489</v>
      </c>
      <c r="J1983" s="2">
        <v>45530</v>
      </c>
      <c r="K1983" t="s">
        <v>21</v>
      </c>
    </row>
    <row r="1984" spans="1:11" x14ac:dyDescent="0.25">
      <c r="A1984" t="s">
        <v>96</v>
      </c>
      <c r="B1984" t="s">
        <v>23</v>
      </c>
      <c r="C1984">
        <v>183</v>
      </c>
      <c r="D1984">
        <v>52</v>
      </c>
      <c r="E1984" t="s">
        <v>13</v>
      </c>
      <c r="F1984" t="s">
        <v>173</v>
      </c>
      <c r="G1984">
        <v>377.44</v>
      </c>
      <c r="H1984" t="s">
        <v>14</v>
      </c>
      <c r="I1984" s="2">
        <v>45609</v>
      </c>
      <c r="J1984" s="2">
        <v>45643</v>
      </c>
      <c r="K1984" t="s">
        <v>172</v>
      </c>
    </row>
    <row r="1985" spans="1:11" x14ac:dyDescent="0.25">
      <c r="A1985" t="s">
        <v>82</v>
      </c>
      <c r="B1985" t="s">
        <v>16</v>
      </c>
      <c r="C1985">
        <v>170</v>
      </c>
      <c r="D1985">
        <v>71</v>
      </c>
      <c r="E1985" t="s">
        <v>13</v>
      </c>
      <c r="F1985" t="s">
        <v>170</v>
      </c>
      <c r="G1985">
        <v>267.99</v>
      </c>
      <c r="H1985" t="s">
        <v>20</v>
      </c>
      <c r="I1985" s="2">
        <v>45606</v>
      </c>
      <c r="J1985" s="2">
        <v>45645</v>
      </c>
      <c r="K1985" t="s">
        <v>17</v>
      </c>
    </row>
    <row r="1986" spans="1:11" x14ac:dyDescent="0.25">
      <c r="A1986" t="s">
        <v>106</v>
      </c>
      <c r="B1986" t="s">
        <v>12</v>
      </c>
      <c r="C1986">
        <v>177</v>
      </c>
      <c r="D1986">
        <v>33</v>
      </c>
      <c r="E1986" t="s">
        <v>13</v>
      </c>
      <c r="F1986" t="s">
        <v>170</v>
      </c>
      <c r="G1986">
        <v>340.33</v>
      </c>
      <c r="H1986" t="s">
        <v>14</v>
      </c>
      <c r="I1986" s="2">
        <v>45358</v>
      </c>
      <c r="J1986" s="2">
        <v>45438</v>
      </c>
      <c r="K1986" t="s">
        <v>17</v>
      </c>
    </row>
    <row r="1987" spans="1:11" x14ac:dyDescent="0.25">
      <c r="A1987" t="s">
        <v>42</v>
      </c>
      <c r="B1987" t="s">
        <v>12</v>
      </c>
      <c r="C1987">
        <v>150</v>
      </c>
      <c r="D1987">
        <v>94</v>
      </c>
      <c r="E1987" t="s">
        <v>13</v>
      </c>
      <c r="F1987" t="s">
        <v>173</v>
      </c>
      <c r="G1987">
        <v>217.09</v>
      </c>
      <c r="H1987" t="s">
        <v>14</v>
      </c>
      <c r="I1987" s="2">
        <v>45559</v>
      </c>
      <c r="J1987" s="2">
        <v>45582</v>
      </c>
      <c r="K1987" t="s">
        <v>17</v>
      </c>
    </row>
    <row r="1988" spans="1:11" x14ac:dyDescent="0.25">
      <c r="A1988" t="s">
        <v>85</v>
      </c>
      <c r="B1988" t="s">
        <v>28</v>
      </c>
      <c r="C1988">
        <v>171</v>
      </c>
      <c r="D1988">
        <v>72</v>
      </c>
      <c r="E1988" t="s">
        <v>13</v>
      </c>
      <c r="F1988" t="s">
        <v>171</v>
      </c>
      <c r="G1988">
        <v>367.09</v>
      </c>
      <c r="H1988" t="s">
        <v>26</v>
      </c>
      <c r="I1988" s="2">
        <v>45441</v>
      </c>
      <c r="J1988" s="2">
        <v>45508</v>
      </c>
      <c r="K1988" t="s">
        <v>17</v>
      </c>
    </row>
    <row r="1989" spans="1:11" x14ac:dyDescent="0.25">
      <c r="A1989" t="s">
        <v>96</v>
      </c>
      <c r="B1989" t="s">
        <v>23</v>
      </c>
      <c r="C1989">
        <v>37</v>
      </c>
      <c r="D1989">
        <v>78</v>
      </c>
      <c r="E1989" t="s">
        <v>19</v>
      </c>
      <c r="F1989" t="s">
        <v>170</v>
      </c>
      <c r="G1989">
        <v>413.11</v>
      </c>
      <c r="H1989" t="s">
        <v>20</v>
      </c>
      <c r="I1989" s="2">
        <v>45480</v>
      </c>
      <c r="J1989" s="2">
        <v>45555</v>
      </c>
    </row>
    <row r="1990" spans="1:11" x14ac:dyDescent="0.25">
      <c r="A1990" t="s">
        <v>42</v>
      </c>
      <c r="B1990" t="s">
        <v>12</v>
      </c>
      <c r="C1990">
        <v>83</v>
      </c>
      <c r="D1990">
        <v>97</v>
      </c>
      <c r="E1990" t="s">
        <v>19</v>
      </c>
      <c r="F1990" t="s">
        <v>171</v>
      </c>
      <c r="G1990">
        <v>77.489999999999995</v>
      </c>
      <c r="H1990" t="s">
        <v>26</v>
      </c>
      <c r="I1990" s="2">
        <v>45577</v>
      </c>
      <c r="J1990" s="2">
        <v>45629</v>
      </c>
      <c r="K1990" t="s">
        <v>21</v>
      </c>
    </row>
    <row r="1991" spans="1:11" x14ac:dyDescent="0.25">
      <c r="A1991" t="s">
        <v>86</v>
      </c>
      <c r="B1991" t="s">
        <v>16</v>
      </c>
      <c r="C1991">
        <v>150</v>
      </c>
      <c r="D1991">
        <v>60</v>
      </c>
      <c r="E1991" t="s">
        <v>13</v>
      </c>
      <c r="F1991" t="s">
        <v>170</v>
      </c>
      <c r="G1991">
        <v>417.3</v>
      </c>
      <c r="H1991" t="s">
        <v>20</v>
      </c>
      <c r="I1991" s="2">
        <v>45472</v>
      </c>
      <c r="J1991" s="2">
        <v>45489</v>
      </c>
      <c r="K1991" t="s">
        <v>17</v>
      </c>
    </row>
    <row r="1992" spans="1:11" x14ac:dyDescent="0.25">
      <c r="A1992" t="s">
        <v>110</v>
      </c>
      <c r="B1992" t="s">
        <v>16</v>
      </c>
      <c r="C1992">
        <v>127</v>
      </c>
      <c r="D1992">
        <v>87</v>
      </c>
      <c r="E1992" t="s">
        <v>13</v>
      </c>
      <c r="F1992" t="s">
        <v>170</v>
      </c>
      <c r="G1992">
        <v>272.45</v>
      </c>
      <c r="H1992" t="s">
        <v>14</v>
      </c>
      <c r="I1992" s="2">
        <v>45630</v>
      </c>
      <c r="J1992" s="2">
        <v>45714</v>
      </c>
      <c r="K1992" t="s">
        <v>172</v>
      </c>
    </row>
    <row r="1993" spans="1:11" x14ac:dyDescent="0.25">
      <c r="A1993" t="s">
        <v>143</v>
      </c>
      <c r="B1993" t="s">
        <v>12</v>
      </c>
      <c r="C1993">
        <v>125</v>
      </c>
      <c r="D1993">
        <v>87</v>
      </c>
      <c r="E1993" t="s">
        <v>13</v>
      </c>
      <c r="F1993" t="s">
        <v>170</v>
      </c>
      <c r="G1993">
        <v>423.11</v>
      </c>
      <c r="H1993" t="s">
        <v>14</v>
      </c>
      <c r="I1993" s="2">
        <v>45462</v>
      </c>
      <c r="J1993" s="2">
        <v>45531</v>
      </c>
      <c r="K1993" t="s">
        <v>17</v>
      </c>
    </row>
    <row r="1994" spans="1:11" x14ac:dyDescent="0.25">
      <c r="A1994" t="s">
        <v>77</v>
      </c>
      <c r="B1994" t="s">
        <v>23</v>
      </c>
      <c r="C1994">
        <v>44</v>
      </c>
      <c r="D1994">
        <v>27</v>
      </c>
      <c r="E1994" t="s">
        <v>13</v>
      </c>
      <c r="F1994" t="s">
        <v>170</v>
      </c>
      <c r="G1994">
        <v>218.49</v>
      </c>
      <c r="H1994" t="s">
        <v>20</v>
      </c>
      <c r="I1994" s="2">
        <v>45443</v>
      </c>
      <c r="J1994" s="2">
        <v>45458</v>
      </c>
      <c r="K1994" t="s">
        <v>21</v>
      </c>
    </row>
    <row r="1995" spans="1:11" x14ac:dyDescent="0.25">
      <c r="A1995" t="s">
        <v>82</v>
      </c>
      <c r="B1995" t="s">
        <v>16</v>
      </c>
      <c r="C1995">
        <v>51</v>
      </c>
      <c r="D1995">
        <v>21</v>
      </c>
      <c r="E1995" t="s">
        <v>13</v>
      </c>
      <c r="F1995" t="s">
        <v>171</v>
      </c>
      <c r="G1995">
        <v>192.63</v>
      </c>
      <c r="H1995" t="s">
        <v>20</v>
      </c>
      <c r="I1995" s="2">
        <v>45315</v>
      </c>
      <c r="J1995" s="2">
        <v>45399</v>
      </c>
      <c r="K1995" t="s">
        <v>172</v>
      </c>
    </row>
    <row r="1996" spans="1:11" x14ac:dyDescent="0.25">
      <c r="A1996" t="s">
        <v>139</v>
      </c>
      <c r="B1996" t="s">
        <v>28</v>
      </c>
      <c r="C1996">
        <v>79</v>
      </c>
      <c r="D1996">
        <v>60</v>
      </c>
      <c r="E1996" t="s">
        <v>13</v>
      </c>
      <c r="F1996" t="s">
        <v>171</v>
      </c>
      <c r="G1996">
        <v>457.96</v>
      </c>
      <c r="H1996" t="s">
        <v>26</v>
      </c>
      <c r="I1996" s="2">
        <v>45543</v>
      </c>
      <c r="J1996" s="2">
        <v>45602</v>
      </c>
      <c r="K1996" t="s">
        <v>172</v>
      </c>
    </row>
    <row r="1997" spans="1:11" x14ac:dyDescent="0.25">
      <c r="A1997" t="s">
        <v>102</v>
      </c>
      <c r="B1997" t="s">
        <v>16</v>
      </c>
      <c r="C1997">
        <v>177</v>
      </c>
      <c r="D1997">
        <v>74</v>
      </c>
      <c r="E1997" t="s">
        <v>13</v>
      </c>
      <c r="F1997" t="s">
        <v>170</v>
      </c>
      <c r="G1997">
        <v>129.33000000000001</v>
      </c>
      <c r="H1997" t="s">
        <v>20</v>
      </c>
      <c r="I1997" s="2">
        <v>45415</v>
      </c>
      <c r="J1997" s="2">
        <v>45476</v>
      </c>
      <c r="K1997" t="s">
        <v>172</v>
      </c>
    </row>
    <row r="1998" spans="1:11" x14ac:dyDescent="0.25">
      <c r="A1998" t="s">
        <v>144</v>
      </c>
      <c r="B1998" t="s">
        <v>30</v>
      </c>
      <c r="C1998">
        <v>123</v>
      </c>
      <c r="D1998">
        <v>35</v>
      </c>
      <c r="E1998" t="s">
        <v>13</v>
      </c>
      <c r="F1998" t="s">
        <v>170</v>
      </c>
      <c r="G1998">
        <v>422.89</v>
      </c>
      <c r="H1998" t="s">
        <v>20</v>
      </c>
      <c r="I1998" s="2">
        <v>45533</v>
      </c>
      <c r="J1998" s="2">
        <v>45573</v>
      </c>
    </row>
    <row r="1999" spans="1:11" x14ac:dyDescent="0.25">
      <c r="A1999" t="s">
        <v>112</v>
      </c>
      <c r="B1999" t="s">
        <v>30</v>
      </c>
      <c r="C1999">
        <v>118</v>
      </c>
      <c r="D1999">
        <v>81</v>
      </c>
      <c r="E1999" t="s">
        <v>13</v>
      </c>
      <c r="F1999" t="s">
        <v>171</v>
      </c>
      <c r="G1999">
        <v>244.59</v>
      </c>
      <c r="H1999" t="s">
        <v>20</v>
      </c>
      <c r="I1999" s="2">
        <v>45352</v>
      </c>
      <c r="J1999" s="2">
        <v>45380</v>
      </c>
      <c r="K1999" t="s">
        <v>17</v>
      </c>
    </row>
    <row r="2000" spans="1:11" x14ac:dyDescent="0.25">
      <c r="A2000" t="s">
        <v>135</v>
      </c>
      <c r="B2000" t="s">
        <v>23</v>
      </c>
      <c r="C2000">
        <v>7</v>
      </c>
      <c r="D2000">
        <v>67</v>
      </c>
      <c r="E2000" t="s">
        <v>19</v>
      </c>
      <c r="F2000" t="s">
        <v>173</v>
      </c>
      <c r="G2000">
        <v>259.48</v>
      </c>
      <c r="H2000" t="s">
        <v>26</v>
      </c>
      <c r="I2000" s="2">
        <v>45581</v>
      </c>
      <c r="J2000" s="2">
        <v>45649</v>
      </c>
    </row>
    <row r="2001" spans="1:11" x14ac:dyDescent="0.25">
      <c r="A2001" t="s">
        <v>18</v>
      </c>
      <c r="B2001" t="s">
        <v>12</v>
      </c>
      <c r="C2001">
        <v>84</v>
      </c>
      <c r="D2001">
        <v>49</v>
      </c>
      <c r="E2001" t="s">
        <v>13</v>
      </c>
      <c r="F2001" t="s">
        <v>173</v>
      </c>
      <c r="G2001">
        <v>157.69</v>
      </c>
      <c r="H2001" t="s">
        <v>20</v>
      </c>
      <c r="I2001" s="2">
        <v>45346</v>
      </c>
      <c r="J2001" s="2">
        <v>45431</v>
      </c>
      <c r="K2001" t="s">
        <v>172</v>
      </c>
    </row>
  </sheetData>
  <conditionalFormatting sqref="E2:E2001">
    <cfRule type="cellIs" dxfId="3" priority="1" stopIfTrue="1" operator="equal">
      <formula>"OK"</formula>
    </cfRule>
    <cfRule type="cellIs" dxfId="2" priority="2" stopIfTrue="1" operator="equal">
      <formula>"Reorder"</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C779F6-2511-4FCF-BF2C-2087197AC33A}">
  <sheetPr codeName="Sheet9"/>
  <dimension ref="A1:K596"/>
  <sheetViews>
    <sheetView workbookViewId="0">
      <selection activeCell="J14" sqref="J14"/>
    </sheetView>
  </sheetViews>
  <sheetFormatPr defaultRowHeight="15" x14ac:dyDescent="0.25"/>
  <cols>
    <col min="1" max="1" width="23.42578125" bestFit="1" customWidth="1"/>
    <col min="2" max="2" width="10.5703125" bestFit="1" customWidth="1"/>
    <col min="3" max="3" width="9.28515625" bestFit="1" customWidth="1"/>
    <col min="4" max="4" width="13.42578125" bestFit="1" customWidth="1"/>
    <col min="5" max="5" width="8.140625" bestFit="1" customWidth="1"/>
    <col min="6" max="6" width="23.5703125" bestFit="1" customWidth="1"/>
    <col min="7" max="7" width="12.5703125" bestFit="1" customWidth="1"/>
    <col min="8" max="8" width="12.85546875" bestFit="1" customWidth="1"/>
    <col min="9" max="9" width="18.28515625" bestFit="1" customWidth="1"/>
    <col min="10" max="10" width="22.140625" bestFit="1" customWidth="1"/>
    <col min="11" max="11" width="28.42578125" bestFit="1" customWidth="1"/>
  </cols>
  <sheetData>
    <row r="1" spans="1:11" x14ac:dyDescent="0.25">
      <c r="A1" s="1" t="s">
        <v>0</v>
      </c>
      <c r="B1" s="1" t="s">
        <v>1</v>
      </c>
      <c r="C1" s="1" t="s">
        <v>2</v>
      </c>
      <c r="D1" s="1" t="s">
        <v>3</v>
      </c>
      <c r="E1" t="s">
        <v>4</v>
      </c>
      <c r="F1" s="1" t="s">
        <v>5</v>
      </c>
      <c r="G1" s="1" t="s">
        <v>6</v>
      </c>
      <c r="H1" s="1" t="s">
        <v>7</v>
      </c>
      <c r="I1" s="1" t="s">
        <v>8</v>
      </c>
      <c r="J1" s="1" t="s">
        <v>9</v>
      </c>
      <c r="K1" s="1" t="s">
        <v>10</v>
      </c>
    </row>
    <row r="2" spans="1:11" x14ac:dyDescent="0.25">
      <c r="A2" t="s">
        <v>18</v>
      </c>
      <c r="B2" t="s">
        <v>16</v>
      </c>
      <c r="C2">
        <v>70</v>
      </c>
      <c r="D2">
        <v>97</v>
      </c>
      <c r="E2" t="s">
        <v>19</v>
      </c>
      <c r="F2" t="s">
        <v>173</v>
      </c>
      <c r="G2">
        <v>487.27</v>
      </c>
      <c r="H2" t="s">
        <v>20</v>
      </c>
      <c r="I2" s="2">
        <v>45250</v>
      </c>
      <c r="J2" s="2">
        <v>45315</v>
      </c>
      <c r="K2" t="s">
        <v>21</v>
      </c>
    </row>
    <row r="3" spans="1:11" x14ac:dyDescent="0.25">
      <c r="A3" t="s">
        <v>24</v>
      </c>
      <c r="B3" t="s">
        <v>12</v>
      </c>
      <c r="C3">
        <v>16</v>
      </c>
      <c r="D3">
        <v>97</v>
      </c>
      <c r="E3" t="s">
        <v>19</v>
      </c>
      <c r="F3" t="s">
        <v>173</v>
      </c>
      <c r="G3">
        <v>156.4</v>
      </c>
      <c r="H3" t="s">
        <v>14</v>
      </c>
      <c r="I3" s="2">
        <v>45282</v>
      </c>
      <c r="J3" s="2">
        <v>45360</v>
      </c>
      <c r="K3" t="s">
        <v>17</v>
      </c>
    </row>
    <row r="4" spans="1:11" x14ac:dyDescent="0.25">
      <c r="A4" t="s">
        <v>32</v>
      </c>
      <c r="B4" t="s">
        <v>23</v>
      </c>
      <c r="C4">
        <v>42</v>
      </c>
      <c r="D4">
        <v>72</v>
      </c>
      <c r="E4" t="s">
        <v>19</v>
      </c>
      <c r="F4" t="s">
        <v>174</v>
      </c>
      <c r="G4">
        <v>287.44</v>
      </c>
      <c r="H4" t="s">
        <v>20</v>
      </c>
      <c r="I4" s="2">
        <v>45191</v>
      </c>
      <c r="J4" s="2">
        <v>45211</v>
      </c>
      <c r="K4" t="s">
        <v>21</v>
      </c>
    </row>
    <row r="5" spans="1:11" x14ac:dyDescent="0.25">
      <c r="A5" t="s">
        <v>34</v>
      </c>
      <c r="B5" t="s">
        <v>16</v>
      </c>
      <c r="C5">
        <v>10</v>
      </c>
      <c r="D5">
        <v>71</v>
      </c>
      <c r="E5" t="s">
        <v>19</v>
      </c>
      <c r="F5" t="s">
        <v>173</v>
      </c>
      <c r="G5">
        <v>201.76</v>
      </c>
      <c r="H5" t="s">
        <v>26</v>
      </c>
      <c r="I5" s="2">
        <v>45233</v>
      </c>
      <c r="J5" s="2">
        <v>45321</v>
      </c>
      <c r="K5" t="s">
        <v>17</v>
      </c>
    </row>
    <row r="6" spans="1:11" x14ac:dyDescent="0.25">
      <c r="A6" t="s">
        <v>18</v>
      </c>
      <c r="B6" t="s">
        <v>12</v>
      </c>
      <c r="C6">
        <v>18</v>
      </c>
      <c r="D6">
        <v>55</v>
      </c>
      <c r="E6" t="s">
        <v>19</v>
      </c>
      <c r="F6" t="s">
        <v>173</v>
      </c>
      <c r="G6">
        <v>21.19</v>
      </c>
      <c r="H6" t="s">
        <v>26</v>
      </c>
      <c r="I6" s="2">
        <v>45152</v>
      </c>
      <c r="J6" s="2">
        <v>45187</v>
      </c>
      <c r="K6" t="s">
        <v>172</v>
      </c>
    </row>
    <row r="7" spans="1:11" x14ac:dyDescent="0.25">
      <c r="A7" t="s">
        <v>34</v>
      </c>
      <c r="B7" t="s">
        <v>28</v>
      </c>
      <c r="C7">
        <v>54</v>
      </c>
      <c r="D7">
        <v>62</v>
      </c>
      <c r="E7" t="s">
        <v>19</v>
      </c>
      <c r="F7" t="s">
        <v>174</v>
      </c>
      <c r="G7">
        <v>203.75</v>
      </c>
      <c r="H7" t="s">
        <v>20</v>
      </c>
      <c r="I7" s="2">
        <v>45118</v>
      </c>
      <c r="J7" s="2">
        <v>45145</v>
      </c>
      <c r="K7" t="s">
        <v>17</v>
      </c>
    </row>
    <row r="8" spans="1:11" x14ac:dyDescent="0.25">
      <c r="A8" t="s">
        <v>41</v>
      </c>
      <c r="B8" t="s">
        <v>16</v>
      </c>
      <c r="C8">
        <v>76</v>
      </c>
      <c r="D8">
        <v>92</v>
      </c>
      <c r="E8" t="s">
        <v>19</v>
      </c>
      <c r="F8" t="s">
        <v>174</v>
      </c>
      <c r="G8">
        <v>316.94</v>
      </c>
      <c r="H8" t="s">
        <v>20</v>
      </c>
      <c r="I8" s="2">
        <v>45171</v>
      </c>
      <c r="J8" s="2">
        <v>45230</v>
      </c>
    </row>
    <row r="9" spans="1:11" x14ac:dyDescent="0.25">
      <c r="A9" t="s">
        <v>41</v>
      </c>
      <c r="B9" t="s">
        <v>16</v>
      </c>
      <c r="C9">
        <v>0</v>
      </c>
      <c r="D9">
        <v>32</v>
      </c>
      <c r="E9" t="s">
        <v>19</v>
      </c>
      <c r="F9" t="s">
        <v>170</v>
      </c>
      <c r="G9">
        <v>106.61</v>
      </c>
      <c r="H9" t="s">
        <v>14</v>
      </c>
      <c r="I9" s="2">
        <v>45119</v>
      </c>
      <c r="J9" s="2">
        <v>45157</v>
      </c>
      <c r="K9" t="s">
        <v>21</v>
      </c>
    </row>
    <row r="10" spans="1:11" x14ac:dyDescent="0.25">
      <c r="A10" t="s">
        <v>25</v>
      </c>
      <c r="B10" t="s">
        <v>12</v>
      </c>
      <c r="C10">
        <v>14</v>
      </c>
      <c r="D10">
        <v>32</v>
      </c>
      <c r="E10" t="s">
        <v>19</v>
      </c>
      <c r="F10" t="s">
        <v>170</v>
      </c>
      <c r="G10">
        <v>275.22000000000003</v>
      </c>
      <c r="H10" t="s">
        <v>26</v>
      </c>
      <c r="I10" s="2">
        <v>45157</v>
      </c>
      <c r="J10" s="2">
        <v>45209</v>
      </c>
      <c r="K10" t="s">
        <v>17</v>
      </c>
    </row>
    <row r="11" spans="1:11" x14ac:dyDescent="0.25">
      <c r="A11" t="s">
        <v>44</v>
      </c>
      <c r="B11" t="s">
        <v>30</v>
      </c>
      <c r="C11">
        <v>34</v>
      </c>
      <c r="D11">
        <v>58</v>
      </c>
      <c r="E11" t="s">
        <v>19</v>
      </c>
      <c r="F11" t="s">
        <v>170</v>
      </c>
      <c r="G11">
        <v>59.33</v>
      </c>
      <c r="H11" t="s">
        <v>14</v>
      </c>
      <c r="I11" s="2">
        <v>45226</v>
      </c>
      <c r="J11" s="2">
        <v>45251</v>
      </c>
      <c r="K11" t="s">
        <v>172</v>
      </c>
    </row>
    <row r="12" spans="1:11" x14ac:dyDescent="0.25">
      <c r="A12" t="s">
        <v>31</v>
      </c>
      <c r="B12" t="s">
        <v>12</v>
      </c>
      <c r="C12">
        <v>26</v>
      </c>
      <c r="D12">
        <v>65</v>
      </c>
      <c r="E12" t="s">
        <v>19</v>
      </c>
      <c r="F12" t="s">
        <v>173</v>
      </c>
      <c r="G12">
        <v>491.66</v>
      </c>
      <c r="H12" t="s">
        <v>26</v>
      </c>
      <c r="I12" s="2">
        <v>45103</v>
      </c>
      <c r="J12" s="2">
        <v>45128</v>
      </c>
      <c r="K12" t="s">
        <v>172</v>
      </c>
    </row>
    <row r="13" spans="1:11" x14ac:dyDescent="0.25">
      <c r="A13" t="s">
        <v>49</v>
      </c>
      <c r="B13" t="s">
        <v>16</v>
      </c>
      <c r="C13">
        <v>54</v>
      </c>
      <c r="D13">
        <v>79</v>
      </c>
      <c r="E13" t="s">
        <v>19</v>
      </c>
      <c r="F13" t="s">
        <v>173</v>
      </c>
      <c r="G13">
        <v>205.05</v>
      </c>
      <c r="H13" t="s">
        <v>20</v>
      </c>
      <c r="I13" s="2">
        <v>45114</v>
      </c>
      <c r="J13" s="2">
        <v>45159</v>
      </c>
      <c r="K13" t="s">
        <v>17</v>
      </c>
    </row>
    <row r="14" spans="1:11" x14ac:dyDescent="0.25">
      <c r="A14" t="s">
        <v>44</v>
      </c>
      <c r="B14" t="s">
        <v>30</v>
      </c>
      <c r="C14">
        <v>52</v>
      </c>
      <c r="D14">
        <v>62</v>
      </c>
      <c r="E14" t="s">
        <v>19</v>
      </c>
      <c r="F14" t="s">
        <v>173</v>
      </c>
      <c r="G14">
        <v>275.11</v>
      </c>
      <c r="H14" t="s">
        <v>14</v>
      </c>
      <c r="I14" s="2">
        <v>45222</v>
      </c>
      <c r="J14" s="2">
        <v>45308</v>
      </c>
      <c r="K14" t="s">
        <v>21</v>
      </c>
    </row>
    <row r="15" spans="1:11" x14ac:dyDescent="0.25">
      <c r="A15" t="s">
        <v>52</v>
      </c>
      <c r="B15" t="s">
        <v>23</v>
      </c>
      <c r="C15">
        <v>1</v>
      </c>
      <c r="D15">
        <v>86</v>
      </c>
      <c r="E15" t="s">
        <v>19</v>
      </c>
      <c r="F15" t="s">
        <v>170</v>
      </c>
      <c r="G15">
        <v>321.79000000000002</v>
      </c>
      <c r="H15" t="s">
        <v>20</v>
      </c>
      <c r="I15" s="2">
        <v>44958</v>
      </c>
      <c r="J15" s="2">
        <v>45032</v>
      </c>
      <c r="K15" t="s">
        <v>21</v>
      </c>
    </row>
    <row r="16" spans="1:11" x14ac:dyDescent="0.25">
      <c r="A16" t="s">
        <v>54</v>
      </c>
      <c r="B16" t="s">
        <v>23</v>
      </c>
      <c r="C16">
        <v>20</v>
      </c>
      <c r="D16">
        <v>78</v>
      </c>
      <c r="E16" t="s">
        <v>19</v>
      </c>
      <c r="F16" t="s">
        <v>170</v>
      </c>
      <c r="G16">
        <v>368.04</v>
      </c>
      <c r="H16" t="s">
        <v>14</v>
      </c>
      <c r="I16" s="2">
        <v>45123</v>
      </c>
      <c r="J16" s="2">
        <v>45210</v>
      </c>
      <c r="K16" t="s">
        <v>17</v>
      </c>
    </row>
    <row r="17" spans="1:11" x14ac:dyDescent="0.25">
      <c r="A17" t="s">
        <v>56</v>
      </c>
      <c r="B17" t="s">
        <v>30</v>
      </c>
      <c r="C17">
        <v>8</v>
      </c>
      <c r="D17">
        <v>22</v>
      </c>
      <c r="E17" t="s">
        <v>19</v>
      </c>
      <c r="F17" t="s">
        <v>170</v>
      </c>
      <c r="G17">
        <v>299.98</v>
      </c>
      <c r="H17" t="s">
        <v>26</v>
      </c>
      <c r="I17" s="2">
        <v>45209</v>
      </c>
      <c r="J17" s="2">
        <v>45239</v>
      </c>
      <c r="K17" t="s">
        <v>172</v>
      </c>
    </row>
    <row r="18" spans="1:11" x14ac:dyDescent="0.25">
      <c r="A18" t="s">
        <v>29</v>
      </c>
      <c r="B18" t="s">
        <v>30</v>
      </c>
      <c r="C18">
        <v>22</v>
      </c>
      <c r="D18">
        <v>39</v>
      </c>
      <c r="E18" t="s">
        <v>19</v>
      </c>
      <c r="F18" t="s">
        <v>173</v>
      </c>
      <c r="G18">
        <v>77.38</v>
      </c>
      <c r="H18" t="s">
        <v>26</v>
      </c>
      <c r="I18" s="2">
        <v>45142</v>
      </c>
      <c r="J18" s="2">
        <v>45171</v>
      </c>
      <c r="K18" t="s">
        <v>21</v>
      </c>
    </row>
    <row r="19" spans="1:11" x14ac:dyDescent="0.25">
      <c r="A19" t="s">
        <v>27</v>
      </c>
      <c r="B19" t="s">
        <v>23</v>
      </c>
      <c r="C19">
        <v>34</v>
      </c>
      <c r="D19">
        <v>90</v>
      </c>
      <c r="E19" t="s">
        <v>19</v>
      </c>
      <c r="F19" t="s">
        <v>174</v>
      </c>
      <c r="G19">
        <v>179.05</v>
      </c>
      <c r="H19" t="s">
        <v>14</v>
      </c>
      <c r="I19" s="2">
        <v>45092</v>
      </c>
      <c r="J19" s="2">
        <v>45158</v>
      </c>
    </row>
    <row r="20" spans="1:11" x14ac:dyDescent="0.25">
      <c r="A20" t="s">
        <v>59</v>
      </c>
      <c r="B20" t="s">
        <v>16</v>
      </c>
      <c r="C20">
        <v>58</v>
      </c>
      <c r="D20">
        <v>80</v>
      </c>
      <c r="E20" t="s">
        <v>19</v>
      </c>
      <c r="F20" t="s">
        <v>173</v>
      </c>
      <c r="G20">
        <v>486.08</v>
      </c>
      <c r="H20" t="s">
        <v>14</v>
      </c>
      <c r="I20" s="2">
        <v>45245</v>
      </c>
      <c r="J20" s="2">
        <v>45307</v>
      </c>
      <c r="K20" t="s">
        <v>21</v>
      </c>
    </row>
    <row r="21" spans="1:11" x14ac:dyDescent="0.25">
      <c r="A21" t="s">
        <v>52</v>
      </c>
      <c r="B21" t="s">
        <v>30</v>
      </c>
      <c r="C21">
        <v>55</v>
      </c>
      <c r="D21">
        <v>91</v>
      </c>
      <c r="E21" t="s">
        <v>19</v>
      </c>
      <c r="F21" t="s">
        <v>170</v>
      </c>
      <c r="G21">
        <v>404.3</v>
      </c>
      <c r="H21" t="s">
        <v>20</v>
      </c>
      <c r="I21" s="2">
        <v>45031</v>
      </c>
      <c r="J21" s="2">
        <v>45048</v>
      </c>
      <c r="K21" t="s">
        <v>17</v>
      </c>
    </row>
    <row r="22" spans="1:11" x14ac:dyDescent="0.25">
      <c r="A22" t="s">
        <v>51</v>
      </c>
      <c r="B22" t="s">
        <v>28</v>
      </c>
      <c r="C22">
        <v>2</v>
      </c>
      <c r="D22">
        <v>37</v>
      </c>
      <c r="E22" t="s">
        <v>19</v>
      </c>
      <c r="F22" t="s">
        <v>173</v>
      </c>
      <c r="G22">
        <v>422.15</v>
      </c>
      <c r="H22" t="s">
        <v>14</v>
      </c>
      <c r="I22" s="2">
        <v>45140</v>
      </c>
      <c r="J22" s="2">
        <v>45167</v>
      </c>
    </row>
    <row r="23" spans="1:11" x14ac:dyDescent="0.25">
      <c r="A23" t="s">
        <v>64</v>
      </c>
      <c r="B23" t="s">
        <v>16</v>
      </c>
      <c r="C23">
        <v>27</v>
      </c>
      <c r="D23">
        <v>86</v>
      </c>
      <c r="E23" t="s">
        <v>19</v>
      </c>
      <c r="F23" t="s">
        <v>174</v>
      </c>
      <c r="G23">
        <v>414.14</v>
      </c>
      <c r="H23" t="s">
        <v>26</v>
      </c>
      <c r="I23" s="2">
        <v>45036</v>
      </c>
      <c r="J23" s="2">
        <v>45060</v>
      </c>
    </row>
    <row r="24" spans="1:11" x14ac:dyDescent="0.25">
      <c r="A24" t="s">
        <v>36</v>
      </c>
      <c r="B24" t="s">
        <v>23</v>
      </c>
      <c r="C24">
        <v>64</v>
      </c>
      <c r="D24">
        <v>96</v>
      </c>
      <c r="E24" t="s">
        <v>19</v>
      </c>
      <c r="F24" t="s">
        <v>173</v>
      </c>
      <c r="G24">
        <v>139.93</v>
      </c>
      <c r="H24" t="s">
        <v>26</v>
      </c>
      <c r="I24" s="2">
        <v>45013</v>
      </c>
      <c r="J24" s="2">
        <v>45098</v>
      </c>
    </row>
    <row r="25" spans="1:11" x14ac:dyDescent="0.25">
      <c r="A25" t="s">
        <v>41</v>
      </c>
      <c r="B25" t="s">
        <v>30</v>
      </c>
      <c r="C25">
        <v>28</v>
      </c>
      <c r="D25">
        <v>60</v>
      </c>
      <c r="E25" t="s">
        <v>19</v>
      </c>
      <c r="F25" t="s">
        <v>173</v>
      </c>
      <c r="G25">
        <v>460.71</v>
      </c>
      <c r="H25" t="s">
        <v>14</v>
      </c>
      <c r="I25" s="2">
        <v>45006</v>
      </c>
      <c r="J25" s="2">
        <v>45064</v>
      </c>
    </row>
    <row r="26" spans="1:11" x14ac:dyDescent="0.25">
      <c r="A26" t="s">
        <v>62</v>
      </c>
      <c r="B26" t="s">
        <v>16</v>
      </c>
      <c r="C26">
        <v>1</v>
      </c>
      <c r="D26">
        <v>82</v>
      </c>
      <c r="E26" t="s">
        <v>19</v>
      </c>
      <c r="F26" t="s">
        <v>173</v>
      </c>
      <c r="G26">
        <v>297.86</v>
      </c>
      <c r="H26" t="s">
        <v>20</v>
      </c>
      <c r="I26" s="2">
        <v>45251</v>
      </c>
      <c r="J26" s="2">
        <v>45277</v>
      </c>
      <c r="K26" t="s">
        <v>21</v>
      </c>
    </row>
    <row r="27" spans="1:11" x14ac:dyDescent="0.25">
      <c r="A27" t="s">
        <v>64</v>
      </c>
      <c r="B27" t="s">
        <v>16</v>
      </c>
      <c r="C27">
        <v>21</v>
      </c>
      <c r="D27">
        <v>90</v>
      </c>
      <c r="E27" t="s">
        <v>19</v>
      </c>
      <c r="F27" t="s">
        <v>173</v>
      </c>
      <c r="G27">
        <v>71.41</v>
      </c>
      <c r="H27" t="s">
        <v>14</v>
      </c>
      <c r="I27" s="2">
        <v>45181</v>
      </c>
      <c r="J27" s="2">
        <v>45247</v>
      </c>
      <c r="K27" t="s">
        <v>172</v>
      </c>
    </row>
    <row r="28" spans="1:11" x14ac:dyDescent="0.25">
      <c r="A28" t="s">
        <v>18</v>
      </c>
      <c r="B28" t="s">
        <v>28</v>
      </c>
      <c r="C28">
        <v>30</v>
      </c>
      <c r="D28">
        <v>57</v>
      </c>
      <c r="E28" t="s">
        <v>19</v>
      </c>
      <c r="F28" t="s">
        <v>173</v>
      </c>
      <c r="G28">
        <v>302.47000000000003</v>
      </c>
      <c r="H28" t="s">
        <v>20</v>
      </c>
      <c r="I28" s="2">
        <v>45256</v>
      </c>
      <c r="J28" s="2">
        <v>45336</v>
      </c>
      <c r="K28" t="s">
        <v>21</v>
      </c>
    </row>
    <row r="29" spans="1:11" x14ac:dyDescent="0.25">
      <c r="A29" t="s">
        <v>52</v>
      </c>
      <c r="B29" t="s">
        <v>28</v>
      </c>
      <c r="C29">
        <v>3</v>
      </c>
      <c r="D29">
        <v>28</v>
      </c>
      <c r="E29" t="s">
        <v>19</v>
      </c>
      <c r="F29" t="s">
        <v>173</v>
      </c>
      <c r="G29">
        <v>153.78</v>
      </c>
      <c r="H29" t="s">
        <v>26</v>
      </c>
      <c r="I29" s="2">
        <v>45235</v>
      </c>
      <c r="J29" s="2">
        <v>45253</v>
      </c>
      <c r="K29" t="s">
        <v>21</v>
      </c>
    </row>
    <row r="30" spans="1:11" x14ac:dyDescent="0.25">
      <c r="A30" t="s">
        <v>53</v>
      </c>
      <c r="B30" t="s">
        <v>30</v>
      </c>
      <c r="C30">
        <v>13</v>
      </c>
      <c r="D30">
        <v>85</v>
      </c>
      <c r="E30" t="s">
        <v>19</v>
      </c>
      <c r="F30" t="s">
        <v>174</v>
      </c>
      <c r="G30">
        <v>343.04</v>
      </c>
      <c r="H30" t="s">
        <v>20</v>
      </c>
      <c r="I30" s="2">
        <v>45073</v>
      </c>
      <c r="J30" s="2">
        <v>45119</v>
      </c>
    </row>
    <row r="31" spans="1:11" x14ac:dyDescent="0.25">
      <c r="A31" t="s">
        <v>64</v>
      </c>
      <c r="B31" t="s">
        <v>12</v>
      </c>
      <c r="C31">
        <v>60</v>
      </c>
      <c r="D31">
        <v>97</v>
      </c>
      <c r="E31" t="s">
        <v>19</v>
      </c>
      <c r="F31" t="s">
        <v>173</v>
      </c>
      <c r="G31">
        <v>345.21</v>
      </c>
      <c r="H31" t="s">
        <v>26</v>
      </c>
      <c r="I31" s="2">
        <v>45004</v>
      </c>
      <c r="J31" s="2">
        <v>45053</v>
      </c>
    </row>
    <row r="32" spans="1:11" x14ac:dyDescent="0.25">
      <c r="A32" t="s">
        <v>60</v>
      </c>
      <c r="B32" t="s">
        <v>30</v>
      </c>
      <c r="C32">
        <v>27</v>
      </c>
      <c r="D32">
        <v>39</v>
      </c>
      <c r="E32" t="s">
        <v>19</v>
      </c>
      <c r="F32" t="s">
        <v>170</v>
      </c>
      <c r="G32">
        <v>320.92</v>
      </c>
      <c r="H32" t="s">
        <v>26</v>
      </c>
      <c r="I32" s="2">
        <v>45126</v>
      </c>
      <c r="J32" s="2">
        <v>45153</v>
      </c>
      <c r="K32" t="s">
        <v>17</v>
      </c>
    </row>
    <row r="33" spans="1:11" x14ac:dyDescent="0.25">
      <c r="A33" t="s">
        <v>37</v>
      </c>
      <c r="B33" t="s">
        <v>30</v>
      </c>
      <c r="C33">
        <v>52</v>
      </c>
      <c r="D33">
        <v>91</v>
      </c>
      <c r="E33" t="s">
        <v>19</v>
      </c>
      <c r="F33" t="s">
        <v>170</v>
      </c>
      <c r="G33">
        <v>30.49</v>
      </c>
      <c r="H33" t="s">
        <v>14</v>
      </c>
      <c r="I33" s="2">
        <v>45154</v>
      </c>
      <c r="J33" s="2">
        <v>45234</v>
      </c>
      <c r="K33" t="s">
        <v>172</v>
      </c>
    </row>
    <row r="34" spans="1:11" x14ac:dyDescent="0.25">
      <c r="A34" t="s">
        <v>37</v>
      </c>
      <c r="B34" t="s">
        <v>23</v>
      </c>
      <c r="C34">
        <v>17</v>
      </c>
      <c r="D34">
        <v>81</v>
      </c>
      <c r="E34" t="s">
        <v>19</v>
      </c>
      <c r="F34" t="s">
        <v>174</v>
      </c>
      <c r="G34">
        <v>348.24</v>
      </c>
      <c r="H34" t="s">
        <v>26</v>
      </c>
      <c r="I34" s="2">
        <v>44950</v>
      </c>
      <c r="J34" s="2">
        <v>45022</v>
      </c>
      <c r="K34" t="s">
        <v>21</v>
      </c>
    </row>
    <row r="35" spans="1:11" x14ac:dyDescent="0.25">
      <c r="A35" t="s">
        <v>58</v>
      </c>
      <c r="B35" t="s">
        <v>30</v>
      </c>
      <c r="C35">
        <v>5</v>
      </c>
      <c r="D35">
        <v>28</v>
      </c>
      <c r="E35" t="s">
        <v>19</v>
      </c>
      <c r="F35" t="s">
        <v>170</v>
      </c>
      <c r="G35">
        <v>306.83</v>
      </c>
      <c r="H35" t="s">
        <v>26</v>
      </c>
      <c r="I35" s="2">
        <v>44992</v>
      </c>
      <c r="J35" s="2">
        <v>45025</v>
      </c>
      <c r="K35" t="s">
        <v>172</v>
      </c>
    </row>
    <row r="36" spans="1:11" x14ac:dyDescent="0.25">
      <c r="A36" t="s">
        <v>35</v>
      </c>
      <c r="B36" t="s">
        <v>28</v>
      </c>
      <c r="C36">
        <v>1</v>
      </c>
      <c r="D36">
        <v>77</v>
      </c>
      <c r="E36" t="s">
        <v>19</v>
      </c>
      <c r="F36" t="s">
        <v>173</v>
      </c>
      <c r="G36">
        <v>260.19</v>
      </c>
      <c r="H36" t="s">
        <v>14</v>
      </c>
      <c r="I36" s="2">
        <v>44950</v>
      </c>
      <c r="J36" s="2">
        <v>44972</v>
      </c>
      <c r="K36" t="s">
        <v>17</v>
      </c>
    </row>
    <row r="37" spans="1:11" x14ac:dyDescent="0.25">
      <c r="A37" t="s">
        <v>35</v>
      </c>
      <c r="B37" t="s">
        <v>30</v>
      </c>
      <c r="C37">
        <v>32</v>
      </c>
      <c r="D37">
        <v>58</v>
      </c>
      <c r="E37" t="s">
        <v>19</v>
      </c>
      <c r="F37" t="s">
        <v>170</v>
      </c>
      <c r="G37">
        <v>358.98</v>
      </c>
      <c r="H37" t="s">
        <v>20</v>
      </c>
      <c r="I37" s="2">
        <v>45091</v>
      </c>
      <c r="J37" s="2">
        <v>45158</v>
      </c>
      <c r="K37" t="s">
        <v>17</v>
      </c>
    </row>
    <row r="38" spans="1:11" x14ac:dyDescent="0.25">
      <c r="A38" t="s">
        <v>68</v>
      </c>
      <c r="B38" t="s">
        <v>30</v>
      </c>
      <c r="C38">
        <v>61</v>
      </c>
      <c r="D38">
        <v>89</v>
      </c>
      <c r="E38" t="s">
        <v>19</v>
      </c>
      <c r="F38" t="s">
        <v>173</v>
      </c>
      <c r="G38">
        <v>355</v>
      </c>
      <c r="H38" t="s">
        <v>20</v>
      </c>
      <c r="I38" s="2">
        <v>45100</v>
      </c>
      <c r="J38" s="2">
        <v>45145</v>
      </c>
      <c r="K38" t="s">
        <v>21</v>
      </c>
    </row>
    <row r="39" spans="1:11" x14ac:dyDescent="0.25">
      <c r="A39" t="s">
        <v>54</v>
      </c>
      <c r="B39" t="s">
        <v>30</v>
      </c>
      <c r="C39">
        <v>61</v>
      </c>
      <c r="D39">
        <v>74</v>
      </c>
      <c r="E39" t="s">
        <v>19</v>
      </c>
      <c r="F39" t="s">
        <v>174</v>
      </c>
      <c r="G39">
        <v>296.95</v>
      </c>
      <c r="H39" t="s">
        <v>14</v>
      </c>
      <c r="I39" s="2">
        <v>45036</v>
      </c>
      <c r="J39" s="2">
        <v>45059</v>
      </c>
      <c r="K39" t="s">
        <v>17</v>
      </c>
    </row>
    <row r="40" spans="1:11" x14ac:dyDescent="0.25">
      <c r="A40" t="s">
        <v>35</v>
      </c>
      <c r="B40" t="s">
        <v>28</v>
      </c>
      <c r="C40">
        <v>54</v>
      </c>
      <c r="D40">
        <v>86</v>
      </c>
      <c r="E40" t="s">
        <v>19</v>
      </c>
      <c r="F40" t="s">
        <v>170</v>
      </c>
      <c r="G40">
        <v>417.9</v>
      </c>
      <c r="H40" t="s">
        <v>20</v>
      </c>
      <c r="I40" s="2">
        <v>44979</v>
      </c>
      <c r="J40" s="2">
        <v>45009</v>
      </c>
    </row>
    <row r="41" spans="1:11" x14ac:dyDescent="0.25">
      <c r="A41" t="s">
        <v>69</v>
      </c>
      <c r="B41" t="s">
        <v>28</v>
      </c>
      <c r="C41">
        <v>62</v>
      </c>
      <c r="D41">
        <v>96</v>
      </c>
      <c r="E41" t="s">
        <v>19</v>
      </c>
      <c r="F41" t="s">
        <v>174</v>
      </c>
      <c r="G41">
        <v>356.1</v>
      </c>
      <c r="H41" t="s">
        <v>20</v>
      </c>
      <c r="I41" s="2">
        <v>45283</v>
      </c>
      <c r="J41" s="2">
        <v>45303</v>
      </c>
      <c r="K41" t="s">
        <v>172</v>
      </c>
    </row>
    <row r="42" spans="1:11" x14ac:dyDescent="0.25">
      <c r="A42" t="s">
        <v>15</v>
      </c>
      <c r="B42" t="s">
        <v>30</v>
      </c>
      <c r="C42">
        <v>18</v>
      </c>
      <c r="D42">
        <v>53</v>
      </c>
      <c r="E42" t="s">
        <v>19</v>
      </c>
      <c r="F42" t="s">
        <v>170</v>
      </c>
      <c r="G42">
        <v>223.59</v>
      </c>
      <c r="H42" t="s">
        <v>14</v>
      </c>
      <c r="I42" s="2">
        <v>45211</v>
      </c>
      <c r="J42" s="2">
        <v>45297</v>
      </c>
      <c r="K42" t="s">
        <v>17</v>
      </c>
    </row>
    <row r="43" spans="1:11" x14ac:dyDescent="0.25">
      <c r="A43" t="s">
        <v>51</v>
      </c>
      <c r="B43" t="s">
        <v>23</v>
      </c>
      <c r="C43">
        <v>67</v>
      </c>
      <c r="D43">
        <v>92</v>
      </c>
      <c r="E43" t="s">
        <v>19</v>
      </c>
      <c r="F43" t="s">
        <v>174</v>
      </c>
      <c r="G43">
        <v>17.98</v>
      </c>
      <c r="H43" t="s">
        <v>14</v>
      </c>
      <c r="I43" s="2">
        <v>45094</v>
      </c>
      <c r="J43" s="2">
        <v>45164</v>
      </c>
      <c r="K43" t="s">
        <v>17</v>
      </c>
    </row>
    <row r="44" spans="1:11" x14ac:dyDescent="0.25">
      <c r="A44" t="s">
        <v>11</v>
      </c>
      <c r="B44" t="s">
        <v>30</v>
      </c>
      <c r="C44">
        <v>11</v>
      </c>
      <c r="D44">
        <v>78</v>
      </c>
      <c r="E44" t="s">
        <v>19</v>
      </c>
      <c r="F44" t="s">
        <v>170</v>
      </c>
      <c r="G44">
        <v>411.87</v>
      </c>
      <c r="H44" t="s">
        <v>26</v>
      </c>
      <c r="I44" s="2">
        <v>45155</v>
      </c>
      <c r="J44" s="2">
        <v>45238</v>
      </c>
      <c r="K44" t="s">
        <v>172</v>
      </c>
    </row>
    <row r="45" spans="1:11" x14ac:dyDescent="0.25">
      <c r="A45" t="s">
        <v>44</v>
      </c>
      <c r="B45" t="s">
        <v>28</v>
      </c>
      <c r="C45">
        <v>42</v>
      </c>
      <c r="D45">
        <v>96</v>
      </c>
      <c r="E45" t="s">
        <v>19</v>
      </c>
      <c r="F45" t="s">
        <v>173</v>
      </c>
      <c r="G45">
        <v>316.76</v>
      </c>
      <c r="H45" t="s">
        <v>14</v>
      </c>
      <c r="I45" s="2">
        <v>45037</v>
      </c>
      <c r="J45" s="2">
        <v>45072</v>
      </c>
    </row>
    <row r="46" spans="1:11" x14ac:dyDescent="0.25">
      <c r="A46" t="s">
        <v>68</v>
      </c>
      <c r="B46" t="s">
        <v>28</v>
      </c>
      <c r="C46">
        <v>0</v>
      </c>
      <c r="D46">
        <v>48</v>
      </c>
      <c r="E46" t="s">
        <v>19</v>
      </c>
      <c r="F46" t="s">
        <v>173</v>
      </c>
      <c r="G46">
        <v>339.53</v>
      </c>
      <c r="H46" t="s">
        <v>20</v>
      </c>
      <c r="I46" s="2">
        <v>45102</v>
      </c>
      <c r="J46" s="2">
        <v>45141</v>
      </c>
      <c r="K46" t="s">
        <v>172</v>
      </c>
    </row>
    <row r="47" spans="1:11" x14ac:dyDescent="0.25">
      <c r="A47" t="s">
        <v>61</v>
      </c>
      <c r="B47" t="s">
        <v>16</v>
      </c>
      <c r="C47">
        <v>28</v>
      </c>
      <c r="D47">
        <v>85</v>
      </c>
      <c r="E47" t="s">
        <v>19</v>
      </c>
      <c r="F47" t="s">
        <v>173</v>
      </c>
      <c r="G47">
        <v>245.09</v>
      </c>
      <c r="H47" t="s">
        <v>26</v>
      </c>
      <c r="I47" s="2">
        <v>44933</v>
      </c>
      <c r="J47" s="2">
        <v>44970</v>
      </c>
      <c r="K47" t="s">
        <v>172</v>
      </c>
    </row>
    <row r="48" spans="1:11" x14ac:dyDescent="0.25">
      <c r="A48" t="s">
        <v>48</v>
      </c>
      <c r="B48" t="s">
        <v>23</v>
      </c>
      <c r="C48">
        <v>26</v>
      </c>
      <c r="D48">
        <v>30</v>
      </c>
      <c r="E48" t="s">
        <v>19</v>
      </c>
      <c r="F48" t="s">
        <v>173</v>
      </c>
      <c r="G48">
        <v>431.52</v>
      </c>
      <c r="H48" t="s">
        <v>20</v>
      </c>
      <c r="I48" s="2">
        <v>44933</v>
      </c>
      <c r="J48" s="2">
        <v>45008</v>
      </c>
      <c r="K48" t="s">
        <v>21</v>
      </c>
    </row>
    <row r="49" spans="1:11" x14ac:dyDescent="0.25">
      <c r="A49" t="s">
        <v>58</v>
      </c>
      <c r="B49" t="s">
        <v>28</v>
      </c>
      <c r="C49">
        <v>56</v>
      </c>
      <c r="D49">
        <v>92</v>
      </c>
      <c r="E49" t="s">
        <v>19</v>
      </c>
      <c r="F49" t="s">
        <v>174</v>
      </c>
      <c r="G49">
        <v>33.82</v>
      </c>
      <c r="H49" t="s">
        <v>14</v>
      </c>
      <c r="I49" s="2">
        <v>45069</v>
      </c>
      <c r="J49" s="2">
        <v>45105</v>
      </c>
      <c r="K49" t="s">
        <v>21</v>
      </c>
    </row>
    <row r="50" spans="1:11" x14ac:dyDescent="0.25">
      <c r="A50" t="s">
        <v>42</v>
      </c>
      <c r="B50" t="s">
        <v>16</v>
      </c>
      <c r="C50">
        <v>25</v>
      </c>
      <c r="D50">
        <v>84</v>
      </c>
      <c r="E50" t="s">
        <v>19</v>
      </c>
      <c r="F50" t="s">
        <v>173</v>
      </c>
      <c r="G50">
        <v>398.68</v>
      </c>
      <c r="H50" t="s">
        <v>26</v>
      </c>
      <c r="I50" s="2">
        <v>45068</v>
      </c>
      <c r="J50" s="2">
        <v>45144</v>
      </c>
      <c r="K50" t="s">
        <v>172</v>
      </c>
    </row>
    <row r="51" spans="1:11" x14ac:dyDescent="0.25">
      <c r="A51" t="s">
        <v>70</v>
      </c>
      <c r="B51" t="s">
        <v>28</v>
      </c>
      <c r="C51">
        <v>56</v>
      </c>
      <c r="D51">
        <v>85</v>
      </c>
      <c r="E51" t="s">
        <v>19</v>
      </c>
      <c r="F51" t="s">
        <v>170</v>
      </c>
      <c r="G51">
        <v>81.41</v>
      </c>
      <c r="H51" t="s">
        <v>26</v>
      </c>
      <c r="I51" s="2">
        <v>45107</v>
      </c>
      <c r="J51" s="2">
        <v>45167</v>
      </c>
      <c r="K51" t="s">
        <v>172</v>
      </c>
    </row>
    <row r="52" spans="1:11" x14ac:dyDescent="0.25">
      <c r="A52" t="s">
        <v>22</v>
      </c>
      <c r="B52" t="s">
        <v>28</v>
      </c>
      <c r="C52">
        <v>39</v>
      </c>
      <c r="D52">
        <v>75</v>
      </c>
      <c r="E52" t="s">
        <v>19</v>
      </c>
      <c r="F52" t="s">
        <v>170</v>
      </c>
      <c r="G52">
        <v>182.46</v>
      </c>
      <c r="H52" t="s">
        <v>20</v>
      </c>
      <c r="I52" s="2">
        <v>45167</v>
      </c>
      <c r="J52" s="2">
        <v>45211</v>
      </c>
      <c r="K52" t="s">
        <v>21</v>
      </c>
    </row>
    <row r="53" spans="1:11" x14ac:dyDescent="0.25">
      <c r="A53" t="s">
        <v>55</v>
      </c>
      <c r="B53" t="s">
        <v>16</v>
      </c>
      <c r="C53">
        <v>10</v>
      </c>
      <c r="D53">
        <v>96</v>
      </c>
      <c r="E53" t="s">
        <v>19</v>
      </c>
      <c r="F53" t="s">
        <v>174</v>
      </c>
      <c r="G53">
        <v>282.16000000000003</v>
      </c>
      <c r="H53" t="s">
        <v>26</v>
      </c>
      <c r="I53" s="2">
        <v>44958</v>
      </c>
      <c r="J53" s="2">
        <v>45007</v>
      </c>
      <c r="K53" t="s">
        <v>172</v>
      </c>
    </row>
    <row r="54" spans="1:11" x14ac:dyDescent="0.25">
      <c r="A54" t="s">
        <v>62</v>
      </c>
      <c r="B54" t="s">
        <v>23</v>
      </c>
      <c r="C54">
        <v>31</v>
      </c>
      <c r="D54">
        <v>54</v>
      </c>
      <c r="E54" t="s">
        <v>19</v>
      </c>
      <c r="F54" t="s">
        <v>173</v>
      </c>
      <c r="G54">
        <v>499.45</v>
      </c>
      <c r="H54" t="s">
        <v>14</v>
      </c>
      <c r="I54" s="2">
        <v>45112</v>
      </c>
      <c r="J54" s="2">
        <v>45149</v>
      </c>
    </row>
    <row r="55" spans="1:11" x14ac:dyDescent="0.25">
      <c r="A55" t="s">
        <v>60</v>
      </c>
      <c r="B55" t="s">
        <v>28</v>
      </c>
      <c r="C55">
        <v>39</v>
      </c>
      <c r="D55">
        <v>42</v>
      </c>
      <c r="E55" t="s">
        <v>19</v>
      </c>
      <c r="F55" t="s">
        <v>173</v>
      </c>
      <c r="G55">
        <v>299.27999999999997</v>
      </c>
      <c r="H55" t="s">
        <v>20</v>
      </c>
      <c r="I55" s="2">
        <v>45153</v>
      </c>
      <c r="J55" s="2">
        <v>45181</v>
      </c>
      <c r="K55" t="s">
        <v>17</v>
      </c>
    </row>
    <row r="56" spans="1:11" x14ac:dyDescent="0.25">
      <c r="A56" t="s">
        <v>54</v>
      </c>
      <c r="B56" t="s">
        <v>28</v>
      </c>
      <c r="C56">
        <v>28</v>
      </c>
      <c r="D56">
        <v>34</v>
      </c>
      <c r="E56" t="s">
        <v>19</v>
      </c>
      <c r="F56" t="s">
        <v>170</v>
      </c>
      <c r="G56">
        <v>79.05</v>
      </c>
      <c r="H56" t="s">
        <v>14</v>
      </c>
      <c r="I56" s="2">
        <v>44946</v>
      </c>
      <c r="J56" s="2">
        <v>44976</v>
      </c>
      <c r="K56" t="s">
        <v>172</v>
      </c>
    </row>
    <row r="57" spans="1:11" x14ac:dyDescent="0.25">
      <c r="A57" t="s">
        <v>61</v>
      </c>
      <c r="B57" t="s">
        <v>12</v>
      </c>
      <c r="C57">
        <v>26</v>
      </c>
      <c r="D57">
        <v>36</v>
      </c>
      <c r="E57" t="s">
        <v>19</v>
      </c>
      <c r="F57" t="s">
        <v>174</v>
      </c>
      <c r="G57">
        <v>86.67</v>
      </c>
      <c r="H57" t="s">
        <v>26</v>
      </c>
      <c r="I57" s="2">
        <v>45039</v>
      </c>
      <c r="J57" s="2">
        <v>45124</v>
      </c>
      <c r="K57" t="s">
        <v>17</v>
      </c>
    </row>
    <row r="58" spans="1:11" x14ac:dyDescent="0.25">
      <c r="A58" t="s">
        <v>48</v>
      </c>
      <c r="B58" t="s">
        <v>23</v>
      </c>
      <c r="C58">
        <v>6</v>
      </c>
      <c r="D58">
        <v>83</v>
      </c>
      <c r="E58" t="s">
        <v>19</v>
      </c>
      <c r="F58" t="s">
        <v>173</v>
      </c>
      <c r="G58">
        <v>55.23</v>
      </c>
      <c r="H58" t="s">
        <v>26</v>
      </c>
      <c r="I58" s="2">
        <v>45130</v>
      </c>
      <c r="J58" s="2">
        <v>45218</v>
      </c>
      <c r="K58" t="s">
        <v>17</v>
      </c>
    </row>
    <row r="59" spans="1:11" x14ac:dyDescent="0.25">
      <c r="A59" t="s">
        <v>56</v>
      </c>
      <c r="B59" t="s">
        <v>23</v>
      </c>
      <c r="C59">
        <v>47</v>
      </c>
      <c r="D59">
        <v>50</v>
      </c>
      <c r="E59" t="s">
        <v>19</v>
      </c>
      <c r="F59" t="s">
        <v>174</v>
      </c>
      <c r="G59">
        <v>208.85</v>
      </c>
      <c r="H59" t="s">
        <v>14</v>
      </c>
      <c r="I59" s="2">
        <v>45065</v>
      </c>
      <c r="J59" s="2">
        <v>45152</v>
      </c>
      <c r="K59" t="s">
        <v>21</v>
      </c>
    </row>
    <row r="60" spans="1:11" x14ac:dyDescent="0.25">
      <c r="A60" t="s">
        <v>58</v>
      </c>
      <c r="B60" t="s">
        <v>28</v>
      </c>
      <c r="C60">
        <v>9</v>
      </c>
      <c r="D60">
        <v>58</v>
      </c>
      <c r="E60" t="s">
        <v>19</v>
      </c>
      <c r="F60" t="s">
        <v>170</v>
      </c>
      <c r="G60">
        <v>359.7</v>
      </c>
      <c r="H60" t="s">
        <v>14</v>
      </c>
      <c r="I60" s="2">
        <v>44934</v>
      </c>
      <c r="J60" s="2">
        <v>44962</v>
      </c>
    </row>
    <row r="61" spans="1:11" x14ac:dyDescent="0.25">
      <c r="A61" t="s">
        <v>11</v>
      </c>
      <c r="B61" t="s">
        <v>23</v>
      </c>
      <c r="C61">
        <v>43</v>
      </c>
      <c r="D61">
        <v>83</v>
      </c>
      <c r="E61" t="s">
        <v>19</v>
      </c>
      <c r="F61" t="s">
        <v>173</v>
      </c>
      <c r="G61">
        <v>365.67</v>
      </c>
      <c r="H61" t="s">
        <v>26</v>
      </c>
      <c r="I61" s="2">
        <v>45109</v>
      </c>
      <c r="J61" s="2">
        <v>45198</v>
      </c>
      <c r="K61" t="s">
        <v>172</v>
      </c>
    </row>
    <row r="62" spans="1:11" x14ac:dyDescent="0.25">
      <c r="A62" t="s">
        <v>42</v>
      </c>
      <c r="B62" t="s">
        <v>16</v>
      </c>
      <c r="C62">
        <v>52</v>
      </c>
      <c r="D62">
        <v>87</v>
      </c>
      <c r="E62" t="s">
        <v>19</v>
      </c>
      <c r="F62" t="s">
        <v>174</v>
      </c>
      <c r="G62">
        <v>424.33</v>
      </c>
      <c r="H62" t="s">
        <v>20</v>
      </c>
      <c r="I62" s="2">
        <v>45285</v>
      </c>
      <c r="J62" s="2">
        <v>45310</v>
      </c>
      <c r="K62" t="s">
        <v>17</v>
      </c>
    </row>
    <row r="63" spans="1:11" x14ac:dyDescent="0.25">
      <c r="A63" t="s">
        <v>25</v>
      </c>
      <c r="B63" t="s">
        <v>16</v>
      </c>
      <c r="C63">
        <v>29</v>
      </c>
      <c r="D63">
        <v>98</v>
      </c>
      <c r="E63" t="s">
        <v>19</v>
      </c>
      <c r="F63" t="s">
        <v>174</v>
      </c>
      <c r="G63">
        <v>423.97</v>
      </c>
      <c r="H63" t="s">
        <v>14</v>
      </c>
      <c r="I63" s="2">
        <v>45209</v>
      </c>
      <c r="J63" s="2">
        <v>45225</v>
      </c>
    </row>
    <row r="64" spans="1:11" x14ac:dyDescent="0.25">
      <c r="A64" t="s">
        <v>70</v>
      </c>
      <c r="B64" t="s">
        <v>23</v>
      </c>
      <c r="C64">
        <v>36</v>
      </c>
      <c r="D64">
        <v>53</v>
      </c>
      <c r="E64" t="s">
        <v>19</v>
      </c>
      <c r="F64" t="s">
        <v>170</v>
      </c>
      <c r="G64">
        <v>112.35</v>
      </c>
      <c r="H64" t="s">
        <v>20</v>
      </c>
      <c r="I64" s="2">
        <v>45135</v>
      </c>
      <c r="J64" s="2">
        <v>45208</v>
      </c>
    </row>
    <row r="65" spans="1:11" x14ac:dyDescent="0.25">
      <c r="A65" t="s">
        <v>66</v>
      </c>
      <c r="B65" t="s">
        <v>12</v>
      </c>
      <c r="C65">
        <v>28</v>
      </c>
      <c r="D65">
        <v>39</v>
      </c>
      <c r="E65" t="s">
        <v>19</v>
      </c>
      <c r="F65" t="s">
        <v>170</v>
      </c>
      <c r="G65">
        <v>274.62</v>
      </c>
      <c r="H65" t="s">
        <v>20</v>
      </c>
      <c r="I65" s="2">
        <v>44937</v>
      </c>
      <c r="J65" s="2">
        <v>44966</v>
      </c>
      <c r="K65" t="s">
        <v>21</v>
      </c>
    </row>
    <row r="66" spans="1:11" x14ac:dyDescent="0.25">
      <c r="A66" t="s">
        <v>45</v>
      </c>
      <c r="B66" t="s">
        <v>16</v>
      </c>
      <c r="C66">
        <v>19</v>
      </c>
      <c r="D66">
        <v>75</v>
      </c>
      <c r="E66" t="s">
        <v>19</v>
      </c>
      <c r="F66" t="s">
        <v>170</v>
      </c>
      <c r="G66">
        <v>84.18</v>
      </c>
      <c r="H66" t="s">
        <v>14</v>
      </c>
      <c r="I66" s="2">
        <v>44930</v>
      </c>
      <c r="J66" s="2">
        <v>45018</v>
      </c>
      <c r="K66" t="s">
        <v>21</v>
      </c>
    </row>
    <row r="67" spans="1:11" x14ac:dyDescent="0.25">
      <c r="A67" t="s">
        <v>49</v>
      </c>
      <c r="B67" t="s">
        <v>23</v>
      </c>
      <c r="C67">
        <v>33</v>
      </c>
      <c r="D67">
        <v>37</v>
      </c>
      <c r="E67" t="s">
        <v>19</v>
      </c>
      <c r="F67" t="s">
        <v>174</v>
      </c>
      <c r="G67">
        <v>389.68</v>
      </c>
      <c r="H67" t="s">
        <v>26</v>
      </c>
      <c r="I67" s="2">
        <v>45106</v>
      </c>
      <c r="J67" s="2">
        <v>45160</v>
      </c>
    </row>
    <row r="68" spans="1:11" x14ac:dyDescent="0.25">
      <c r="A68" t="s">
        <v>70</v>
      </c>
      <c r="B68" t="s">
        <v>30</v>
      </c>
      <c r="C68">
        <v>14</v>
      </c>
      <c r="D68">
        <v>22</v>
      </c>
      <c r="E68" t="s">
        <v>19</v>
      </c>
      <c r="F68" t="s">
        <v>174</v>
      </c>
      <c r="G68">
        <v>452.9</v>
      </c>
      <c r="H68" t="s">
        <v>26</v>
      </c>
      <c r="I68" s="2">
        <v>44986</v>
      </c>
      <c r="J68" s="2">
        <v>45037</v>
      </c>
    </row>
    <row r="69" spans="1:11" x14ac:dyDescent="0.25">
      <c r="A69" t="s">
        <v>56</v>
      </c>
      <c r="B69" t="s">
        <v>30</v>
      </c>
      <c r="C69">
        <v>28</v>
      </c>
      <c r="D69">
        <v>54</v>
      </c>
      <c r="E69" t="s">
        <v>19</v>
      </c>
      <c r="F69" t="s">
        <v>173</v>
      </c>
      <c r="G69">
        <v>447.69</v>
      </c>
      <c r="H69" t="s">
        <v>14</v>
      </c>
      <c r="I69" s="2">
        <v>44981</v>
      </c>
      <c r="J69" s="2">
        <v>45036</v>
      </c>
    </row>
    <row r="70" spans="1:11" x14ac:dyDescent="0.25">
      <c r="A70" t="s">
        <v>47</v>
      </c>
      <c r="B70" t="s">
        <v>12</v>
      </c>
      <c r="C70">
        <v>20</v>
      </c>
      <c r="D70">
        <v>43</v>
      </c>
      <c r="E70" t="s">
        <v>19</v>
      </c>
      <c r="F70" t="s">
        <v>170</v>
      </c>
      <c r="G70">
        <v>237.18</v>
      </c>
      <c r="H70" t="s">
        <v>14</v>
      </c>
      <c r="I70" s="2">
        <v>45140</v>
      </c>
      <c r="J70" s="2">
        <v>45175</v>
      </c>
    </row>
    <row r="71" spans="1:11" x14ac:dyDescent="0.25">
      <c r="A71" t="s">
        <v>66</v>
      </c>
      <c r="B71" t="s">
        <v>28</v>
      </c>
      <c r="C71">
        <v>45</v>
      </c>
      <c r="D71">
        <v>86</v>
      </c>
      <c r="E71" t="s">
        <v>19</v>
      </c>
      <c r="F71" t="s">
        <v>170</v>
      </c>
      <c r="G71">
        <v>120.06</v>
      </c>
      <c r="H71" t="s">
        <v>26</v>
      </c>
      <c r="I71" s="2">
        <v>45279</v>
      </c>
      <c r="J71" s="2">
        <v>45346</v>
      </c>
      <c r="K71" t="s">
        <v>21</v>
      </c>
    </row>
    <row r="72" spans="1:11" x14ac:dyDescent="0.25">
      <c r="A72" t="s">
        <v>56</v>
      </c>
      <c r="B72" t="s">
        <v>28</v>
      </c>
      <c r="C72">
        <v>45</v>
      </c>
      <c r="D72">
        <v>55</v>
      </c>
      <c r="E72" t="s">
        <v>19</v>
      </c>
      <c r="F72" t="s">
        <v>170</v>
      </c>
      <c r="G72">
        <v>26.45</v>
      </c>
      <c r="H72" t="s">
        <v>14</v>
      </c>
      <c r="I72" s="2">
        <v>45059</v>
      </c>
      <c r="J72" s="2">
        <v>45146</v>
      </c>
      <c r="K72" t="s">
        <v>172</v>
      </c>
    </row>
    <row r="73" spans="1:11" x14ac:dyDescent="0.25">
      <c r="A73" t="s">
        <v>50</v>
      </c>
      <c r="B73" t="s">
        <v>16</v>
      </c>
      <c r="C73">
        <v>19</v>
      </c>
      <c r="D73">
        <v>64</v>
      </c>
      <c r="E73" t="s">
        <v>19</v>
      </c>
      <c r="F73" t="s">
        <v>170</v>
      </c>
      <c r="G73">
        <v>485.69</v>
      </c>
      <c r="H73" t="s">
        <v>14</v>
      </c>
      <c r="I73" s="2">
        <v>45258</v>
      </c>
      <c r="J73" s="2">
        <v>45291</v>
      </c>
      <c r="K73" t="s">
        <v>172</v>
      </c>
    </row>
    <row r="74" spans="1:11" x14ac:dyDescent="0.25">
      <c r="A74" t="s">
        <v>22</v>
      </c>
      <c r="B74" t="s">
        <v>16</v>
      </c>
      <c r="C74">
        <v>2</v>
      </c>
      <c r="D74">
        <v>96</v>
      </c>
      <c r="E74" t="s">
        <v>19</v>
      </c>
      <c r="F74" t="s">
        <v>170</v>
      </c>
      <c r="G74">
        <v>44.89</v>
      </c>
      <c r="H74" t="s">
        <v>14</v>
      </c>
      <c r="I74" s="2">
        <v>45283</v>
      </c>
      <c r="J74" s="2">
        <v>45308</v>
      </c>
    </row>
    <row r="75" spans="1:11" x14ac:dyDescent="0.25">
      <c r="A75" t="s">
        <v>53</v>
      </c>
      <c r="B75" t="s">
        <v>16</v>
      </c>
      <c r="C75">
        <v>42</v>
      </c>
      <c r="D75">
        <v>85</v>
      </c>
      <c r="E75" t="s">
        <v>19</v>
      </c>
      <c r="F75" t="s">
        <v>174</v>
      </c>
      <c r="G75">
        <v>370.08</v>
      </c>
      <c r="H75" t="s">
        <v>20</v>
      </c>
      <c r="I75" s="2">
        <v>44980</v>
      </c>
      <c r="J75" s="2">
        <v>45004</v>
      </c>
    </row>
    <row r="76" spans="1:11" x14ac:dyDescent="0.25">
      <c r="A76" t="s">
        <v>43</v>
      </c>
      <c r="B76" t="s">
        <v>23</v>
      </c>
      <c r="C76">
        <v>55</v>
      </c>
      <c r="D76">
        <v>66</v>
      </c>
      <c r="E76" t="s">
        <v>19</v>
      </c>
      <c r="F76" t="s">
        <v>173</v>
      </c>
      <c r="G76">
        <v>476.25</v>
      </c>
      <c r="H76" t="s">
        <v>14</v>
      </c>
      <c r="I76" s="2">
        <v>44997</v>
      </c>
      <c r="J76" s="2">
        <v>45018</v>
      </c>
      <c r="K76" t="s">
        <v>172</v>
      </c>
    </row>
    <row r="77" spans="1:11" x14ac:dyDescent="0.25">
      <c r="A77" t="s">
        <v>56</v>
      </c>
      <c r="B77" t="s">
        <v>12</v>
      </c>
      <c r="C77">
        <v>2</v>
      </c>
      <c r="D77">
        <v>81</v>
      </c>
      <c r="E77" t="s">
        <v>19</v>
      </c>
      <c r="F77" t="s">
        <v>170</v>
      </c>
      <c r="G77">
        <v>488.88</v>
      </c>
      <c r="H77" t="s">
        <v>20</v>
      </c>
      <c r="I77" s="2">
        <v>45251</v>
      </c>
      <c r="J77" s="2">
        <v>45273</v>
      </c>
      <c r="K77" t="s">
        <v>17</v>
      </c>
    </row>
    <row r="78" spans="1:11" x14ac:dyDescent="0.25">
      <c r="A78" t="s">
        <v>22</v>
      </c>
      <c r="B78" t="s">
        <v>12</v>
      </c>
      <c r="C78">
        <v>33</v>
      </c>
      <c r="D78">
        <v>67</v>
      </c>
      <c r="E78" t="s">
        <v>19</v>
      </c>
      <c r="F78" t="s">
        <v>170</v>
      </c>
      <c r="G78">
        <v>53.26</v>
      </c>
      <c r="H78" t="s">
        <v>14</v>
      </c>
      <c r="I78" s="2">
        <v>45090</v>
      </c>
      <c r="J78" s="2">
        <v>45162</v>
      </c>
    </row>
    <row r="79" spans="1:11" x14ac:dyDescent="0.25">
      <c r="A79" t="s">
        <v>31</v>
      </c>
      <c r="B79" t="s">
        <v>23</v>
      </c>
      <c r="C79">
        <v>22</v>
      </c>
      <c r="D79">
        <v>42</v>
      </c>
      <c r="E79" t="s">
        <v>19</v>
      </c>
      <c r="F79" t="s">
        <v>174</v>
      </c>
      <c r="G79">
        <v>277.48</v>
      </c>
      <c r="H79" t="s">
        <v>14</v>
      </c>
      <c r="I79" s="2">
        <v>45144</v>
      </c>
      <c r="J79" s="2">
        <v>45187</v>
      </c>
    </row>
    <row r="80" spans="1:11" x14ac:dyDescent="0.25">
      <c r="A80" t="s">
        <v>62</v>
      </c>
      <c r="B80" t="s">
        <v>30</v>
      </c>
      <c r="C80">
        <v>29</v>
      </c>
      <c r="D80">
        <v>72</v>
      </c>
      <c r="E80" t="s">
        <v>19</v>
      </c>
      <c r="F80" t="s">
        <v>170</v>
      </c>
      <c r="G80">
        <v>445.21</v>
      </c>
      <c r="H80" t="s">
        <v>26</v>
      </c>
      <c r="I80" s="2">
        <v>44969</v>
      </c>
      <c r="J80" s="2">
        <v>45028</v>
      </c>
      <c r="K80" t="s">
        <v>17</v>
      </c>
    </row>
    <row r="81" spans="1:11" x14ac:dyDescent="0.25">
      <c r="A81" t="s">
        <v>68</v>
      </c>
      <c r="B81" t="s">
        <v>28</v>
      </c>
      <c r="C81">
        <v>17</v>
      </c>
      <c r="D81">
        <v>58</v>
      </c>
      <c r="E81" t="s">
        <v>19</v>
      </c>
      <c r="F81" t="s">
        <v>174</v>
      </c>
      <c r="G81">
        <v>162.68</v>
      </c>
      <c r="H81" t="s">
        <v>26</v>
      </c>
      <c r="I81" s="2">
        <v>45093</v>
      </c>
      <c r="J81" s="2">
        <v>45175</v>
      </c>
      <c r="K81" t="s">
        <v>17</v>
      </c>
    </row>
    <row r="82" spans="1:11" x14ac:dyDescent="0.25">
      <c r="A82" t="s">
        <v>18</v>
      </c>
      <c r="B82" t="s">
        <v>16</v>
      </c>
      <c r="C82">
        <v>11</v>
      </c>
      <c r="D82">
        <v>72</v>
      </c>
      <c r="E82" t="s">
        <v>19</v>
      </c>
      <c r="F82" t="s">
        <v>174</v>
      </c>
      <c r="G82">
        <v>328.15</v>
      </c>
      <c r="H82" t="s">
        <v>14</v>
      </c>
      <c r="I82" s="2">
        <v>45094</v>
      </c>
      <c r="J82" s="2">
        <v>45165</v>
      </c>
      <c r="K82" t="s">
        <v>172</v>
      </c>
    </row>
    <row r="83" spans="1:11" x14ac:dyDescent="0.25">
      <c r="A83" t="s">
        <v>70</v>
      </c>
      <c r="B83" t="s">
        <v>12</v>
      </c>
      <c r="C83">
        <v>15</v>
      </c>
      <c r="D83">
        <v>32</v>
      </c>
      <c r="E83" t="s">
        <v>19</v>
      </c>
      <c r="F83" t="s">
        <v>173</v>
      </c>
      <c r="G83">
        <v>308.14999999999998</v>
      </c>
      <c r="H83" t="s">
        <v>14</v>
      </c>
      <c r="I83" s="2">
        <v>44999</v>
      </c>
      <c r="J83" s="2">
        <v>45020</v>
      </c>
      <c r="K83" t="s">
        <v>17</v>
      </c>
    </row>
    <row r="84" spans="1:11" x14ac:dyDescent="0.25">
      <c r="A84" t="s">
        <v>64</v>
      </c>
      <c r="B84" t="s">
        <v>12</v>
      </c>
      <c r="C84">
        <v>64</v>
      </c>
      <c r="D84">
        <v>91</v>
      </c>
      <c r="E84" t="s">
        <v>19</v>
      </c>
      <c r="F84" t="s">
        <v>170</v>
      </c>
      <c r="G84">
        <v>379.16</v>
      </c>
      <c r="H84" t="s">
        <v>14</v>
      </c>
      <c r="I84" s="2">
        <v>44966</v>
      </c>
      <c r="J84" s="2">
        <v>44994</v>
      </c>
      <c r="K84" t="s">
        <v>21</v>
      </c>
    </row>
    <row r="85" spans="1:11" x14ac:dyDescent="0.25">
      <c r="A85" t="s">
        <v>56</v>
      </c>
      <c r="B85" t="s">
        <v>23</v>
      </c>
      <c r="C85">
        <v>23</v>
      </c>
      <c r="D85">
        <v>58</v>
      </c>
      <c r="E85" t="s">
        <v>19</v>
      </c>
      <c r="F85" t="s">
        <v>170</v>
      </c>
      <c r="G85">
        <v>483</v>
      </c>
      <c r="H85" t="s">
        <v>14</v>
      </c>
      <c r="I85" s="2">
        <v>45064</v>
      </c>
      <c r="J85" s="2">
        <v>45087</v>
      </c>
      <c r="K85" t="s">
        <v>172</v>
      </c>
    </row>
    <row r="86" spans="1:11" x14ac:dyDescent="0.25">
      <c r="A86" t="s">
        <v>45</v>
      </c>
      <c r="B86" t="s">
        <v>16</v>
      </c>
      <c r="C86">
        <v>23</v>
      </c>
      <c r="D86">
        <v>67</v>
      </c>
      <c r="E86" t="s">
        <v>19</v>
      </c>
      <c r="F86" t="s">
        <v>173</v>
      </c>
      <c r="G86">
        <v>398.06</v>
      </c>
      <c r="H86" t="s">
        <v>20</v>
      </c>
      <c r="I86" s="2">
        <v>45043</v>
      </c>
      <c r="J86" s="2">
        <v>45105</v>
      </c>
      <c r="K86" t="s">
        <v>172</v>
      </c>
    </row>
    <row r="87" spans="1:11" x14ac:dyDescent="0.25">
      <c r="A87" t="s">
        <v>62</v>
      </c>
      <c r="B87" t="s">
        <v>23</v>
      </c>
      <c r="C87">
        <v>9</v>
      </c>
      <c r="D87">
        <v>27</v>
      </c>
      <c r="E87" t="s">
        <v>19</v>
      </c>
      <c r="F87" t="s">
        <v>174</v>
      </c>
      <c r="G87">
        <v>258.52</v>
      </c>
      <c r="H87" t="s">
        <v>14</v>
      </c>
      <c r="I87" s="2">
        <v>45262</v>
      </c>
      <c r="J87" s="2">
        <v>45347</v>
      </c>
      <c r="K87" t="s">
        <v>21</v>
      </c>
    </row>
    <row r="88" spans="1:11" x14ac:dyDescent="0.25">
      <c r="A88" t="s">
        <v>22</v>
      </c>
      <c r="B88" t="s">
        <v>12</v>
      </c>
      <c r="C88">
        <v>13</v>
      </c>
      <c r="D88">
        <v>62</v>
      </c>
      <c r="E88" t="s">
        <v>19</v>
      </c>
      <c r="F88" t="s">
        <v>174</v>
      </c>
      <c r="G88">
        <v>342.7</v>
      </c>
      <c r="H88" t="s">
        <v>26</v>
      </c>
      <c r="I88" s="2">
        <v>44962</v>
      </c>
      <c r="J88" s="2">
        <v>45050</v>
      </c>
      <c r="K88" t="s">
        <v>172</v>
      </c>
    </row>
    <row r="89" spans="1:11" x14ac:dyDescent="0.25">
      <c r="A89" t="s">
        <v>15</v>
      </c>
      <c r="B89" t="s">
        <v>30</v>
      </c>
      <c r="C89">
        <v>44</v>
      </c>
      <c r="D89">
        <v>78</v>
      </c>
      <c r="E89" t="s">
        <v>19</v>
      </c>
      <c r="F89" t="s">
        <v>174</v>
      </c>
      <c r="G89">
        <v>43</v>
      </c>
      <c r="H89" t="s">
        <v>14</v>
      </c>
      <c r="I89" s="2">
        <v>45046</v>
      </c>
      <c r="J89" s="2">
        <v>45124</v>
      </c>
      <c r="K89" t="s">
        <v>17</v>
      </c>
    </row>
    <row r="90" spans="1:11" x14ac:dyDescent="0.25">
      <c r="A90" t="s">
        <v>47</v>
      </c>
      <c r="B90" t="s">
        <v>28</v>
      </c>
      <c r="C90">
        <v>69</v>
      </c>
      <c r="D90">
        <v>95</v>
      </c>
      <c r="E90" t="s">
        <v>19</v>
      </c>
      <c r="F90" t="s">
        <v>174</v>
      </c>
      <c r="G90">
        <v>144.25</v>
      </c>
      <c r="H90" t="s">
        <v>14</v>
      </c>
      <c r="I90" s="2">
        <v>45023</v>
      </c>
      <c r="J90" s="2">
        <v>45056</v>
      </c>
      <c r="K90" t="s">
        <v>172</v>
      </c>
    </row>
    <row r="91" spans="1:11" x14ac:dyDescent="0.25">
      <c r="A91" t="s">
        <v>38</v>
      </c>
      <c r="B91" t="s">
        <v>16</v>
      </c>
      <c r="C91">
        <v>92</v>
      </c>
      <c r="D91">
        <v>99</v>
      </c>
      <c r="E91" t="s">
        <v>19</v>
      </c>
      <c r="F91" t="s">
        <v>170</v>
      </c>
      <c r="G91">
        <v>52.35</v>
      </c>
      <c r="H91" t="s">
        <v>26</v>
      </c>
      <c r="I91" s="2">
        <v>44944</v>
      </c>
      <c r="J91" s="2">
        <v>45029</v>
      </c>
      <c r="K91" t="s">
        <v>17</v>
      </c>
    </row>
    <row r="92" spans="1:11" x14ac:dyDescent="0.25">
      <c r="A92" t="s">
        <v>39</v>
      </c>
      <c r="B92" t="s">
        <v>28</v>
      </c>
      <c r="C92">
        <v>25</v>
      </c>
      <c r="D92">
        <v>67</v>
      </c>
      <c r="E92" t="s">
        <v>19</v>
      </c>
      <c r="F92" t="s">
        <v>173</v>
      </c>
      <c r="G92">
        <v>199.75</v>
      </c>
      <c r="H92" t="s">
        <v>26</v>
      </c>
      <c r="I92" s="2">
        <v>45186</v>
      </c>
      <c r="J92" s="2">
        <v>45269</v>
      </c>
      <c r="K92" t="s">
        <v>17</v>
      </c>
    </row>
    <row r="93" spans="1:11" x14ac:dyDescent="0.25">
      <c r="A93" t="s">
        <v>56</v>
      </c>
      <c r="B93" t="s">
        <v>23</v>
      </c>
      <c r="C93">
        <v>12</v>
      </c>
      <c r="D93">
        <v>88</v>
      </c>
      <c r="E93" t="s">
        <v>19</v>
      </c>
      <c r="F93" t="s">
        <v>173</v>
      </c>
      <c r="G93">
        <v>342.56</v>
      </c>
      <c r="H93" t="s">
        <v>20</v>
      </c>
      <c r="I93" s="2">
        <v>45151</v>
      </c>
      <c r="J93" s="2">
        <v>45207</v>
      </c>
    </row>
    <row r="94" spans="1:11" x14ac:dyDescent="0.25">
      <c r="A94" t="s">
        <v>64</v>
      </c>
      <c r="B94" t="s">
        <v>23</v>
      </c>
      <c r="C94">
        <v>94</v>
      </c>
      <c r="D94">
        <v>96</v>
      </c>
      <c r="E94" t="s">
        <v>19</v>
      </c>
      <c r="F94" t="s">
        <v>173</v>
      </c>
      <c r="G94">
        <v>463.94</v>
      </c>
      <c r="H94" t="s">
        <v>14</v>
      </c>
      <c r="I94" s="2">
        <v>45142</v>
      </c>
      <c r="J94" s="2">
        <v>45186</v>
      </c>
    </row>
    <row r="95" spans="1:11" x14ac:dyDescent="0.25">
      <c r="A95" t="s">
        <v>55</v>
      </c>
      <c r="B95" t="s">
        <v>28</v>
      </c>
      <c r="C95">
        <v>0</v>
      </c>
      <c r="D95">
        <v>96</v>
      </c>
      <c r="E95" t="s">
        <v>19</v>
      </c>
      <c r="F95" t="s">
        <v>173</v>
      </c>
      <c r="G95">
        <v>245.08</v>
      </c>
      <c r="H95" t="s">
        <v>14</v>
      </c>
      <c r="I95" s="2">
        <v>45236</v>
      </c>
      <c r="J95" s="2">
        <v>45294</v>
      </c>
    </row>
    <row r="96" spans="1:11" x14ac:dyDescent="0.25">
      <c r="A96" t="s">
        <v>42</v>
      </c>
      <c r="B96" t="s">
        <v>28</v>
      </c>
      <c r="C96">
        <v>43</v>
      </c>
      <c r="D96">
        <v>75</v>
      </c>
      <c r="E96" t="s">
        <v>19</v>
      </c>
      <c r="F96" t="s">
        <v>170</v>
      </c>
      <c r="G96">
        <v>286.41000000000003</v>
      </c>
      <c r="H96" t="s">
        <v>26</v>
      </c>
      <c r="I96" s="2">
        <v>45120</v>
      </c>
      <c r="J96" s="2">
        <v>45172</v>
      </c>
    </row>
    <row r="97" spans="1:11" x14ac:dyDescent="0.25">
      <c r="A97" t="s">
        <v>61</v>
      </c>
      <c r="B97" t="s">
        <v>23</v>
      </c>
      <c r="C97">
        <v>64</v>
      </c>
      <c r="D97">
        <v>88</v>
      </c>
      <c r="E97" t="s">
        <v>19</v>
      </c>
      <c r="F97" t="s">
        <v>173</v>
      </c>
      <c r="G97">
        <v>196.02</v>
      </c>
      <c r="H97" t="s">
        <v>14</v>
      </c>
      <c r="I97" s="2">
        <v>44964</v>
      </c>
      <c r="J97" s="2">
        <v>44998</v>
      </c>
      <c r="K97" t="s">
        <v>21</v>
      </c>
    </row>
    <row r="98" spans="1:11" x14ac:dyDescent="0.25">
      <c r="A98" t="s">
        <v>40</v>
      </c>
      <c r="B98" t="s">
        <v>28</v>
      </c>
      <c r="C98">
        <v>44</v>
      </c>
      <c r="D98">
        <v>53</v>
      </c>
      <c r="E98" t="s">
        <v>19</v>
      </c>
      <c r="F98" t="s">
        <v>173</v>
      </c>
      <c r="G98">
        <v>29.73</v>
      </c>
      <c r="H98" t="s">
        <v>26</v>
      </c>
      <c r="I98" s="2">
        <v>45055</v>
      </c>
      <c r="J98" s="2">
        <v>45142</v>
      </c>
      <c r="K98" t="s">
        <v>17</v>
      </c>
    </row>
    <row r="99" spans="1:11" x14ac:dyDescent="0.25">
      <c r="A99" t="s">
        <v>44</v>
      </c>
      <c r="B99" t="s">
        <v>16</v>
      </c>
      <c r="C99">
        <v>0</v>
      </c>
      <c r="D99">
        <v>47</v>
      </c>
      <c r="E99" t="s">
        <v>19</v>
      </c>
      <c r="F99" t="s">
        <v>174</v>
      </c>
      <c r="G99">
        <v>10.33</v>
      </c>
      <c r="H99" t="s">
        <v>26</v>
      </c>
      <c r="I99" s="2">
        <v>44944</v>
      </c>
      <c r="J99" s="2">
        <v>44960</v>
      </c>
      <c r="K99" t="s">
        <v>17</v>
      </c>
    </row>
    <row r="100" spans="1:11" x14ac:dyDescent="0.25">
      <c r="A100" t="s">
        <v>32</v>
      </c>
      <c r="B100" t="s">
        <v>12</v>
      </c>
      <c r="C100">
        <v>84</v>
      </c>
      <c r="D100">
        <v>91</v>
      </c>
      <c r="E100" t="s">
        <v>19</v>
      </c>
      <c r="F100" t="s">
        <v>170</v>
      </c>
      <c r="G100">
        <v>217.17</v>
      </c>
      <c r="H100" t="s">
        <v>14</v>
      </c>
      <c r="I100" s="2">
        <v>45027</v>
      </c>
      <c r="J100" s="2">
        <v>45096</v>
      </c>
      <c r="K100" t="s">
        <v>172</v>
      </c>
    </row>
    <row r="101" spans="1:11" x14ac:dyDescent="0.25">
      <c r="A101" t="s">
        <v>55</v>
      </c>
      <c r="B101" t="s">
        <v>16</v>
      </c>
      <c r="C101">
        <v>28</v>
      </c>
      <c r="D101">
        <v>41</v>
      </c>
      <c r="E101" t="s">
        <v>19</v>
      </c>
      <c r="F101" t="s">
        <v>170</v>
      </c>
      <c r="G101">
        <v>54.23</v>
      </c>
      <c r="H101" t="s">
        <v>14</v>
      </c>
      <c r="I101" s="2">
        <v>45119</v>
      </c>
      <c r="J101" s="2">
        <v>45191</v>
      </c>
      <c r="K101" t="s">
        <v>172</v>
      </c>
    </row>
    <row r="102" spans="1:11" x14ac:dyDescent="0.25">
      <c r="A102" t="s">
        <v>63</v>
      </c>
      <c r="B102" t="s">
        <v>28</v>
      </c>
      <c r="C102">
        <v>61</v>
      </c>
      <c r="D102">
        <v>96</v>
      </c>
      <c r="E102" t="s">
        <v>19</v>
      </c>
      <c r="F102" t="s">
        <v>173</v>
      </c>
      <c r="G102">
        <v>77.59</v>
      </c>
      <c r="H102" t="s">
        <v>20</v>
      </c>
      <c r="I102" s="2">
        <v>45288</v>
      </c>
      <c r="J102" s="2">
        <v>45377</v>
      </c>
      <c r="K102" t="s">
        <v>17</v>
      </c>
    </row>
    <row r="103" spans="1:11" x14ac:dyDescent="0.25">
      <c r="A103" t="s">
        <v>64</v>
      </c>
      <c r="B103" t="s">
        <v>12</v>
      </c>
      <c r="C103">
        <v>6</v>
      </c>
      <c r="D103">
        <v>52</v>
      </c>
      <c r="E103" t="s">
        <v>19</v>
      </c>
      <c r="F103" t="s">
        <v>173</v>
      </c>
      <c r="G103">
        <v>341.93</v>
      </c>
      <c r="H103" t="s">
        <v>26</v>
      </c>
      <c r="I103" s="2">
        <v>45042</v>
      </c>
      <c r="J103" s="2">
        <v>45103</v>
      </c>
      <c r="K103" t="s">
        <v>21</v>
      </c>
    </row>
    <row r="104" spans="1:11" x14ac:dyDescent="0.25">
      <c r="A104" t="s">
        <v>51</v>
      </c>
      <c r="B104" t="s">
        <v>12</v>
      </c>
      <c r="C104">
        <v>51</v>
      </c>
      <c r="D104">
        <v>82</v>
      </c>
      <c r="E104" t="s">
        <v>19</v>
      </c>
      <c r="F104" t="s">
        <v>174</v>
      </c>
      <c r="G104">
        <v>411.01</v>
      </c>
      <c r="H104" t="s">
        <v>20</v>
      </c>
      <c r="I104" s="2">
        <v>45258</v>
      </c>
      <c r="J104" s="2">
        <v>45319</v>
      </c>
      <c r="K104" t="s">
        <v>172</v>
      </c>
    </row>
    <row r="105" spans="1:11" x14ac:dyDescent="0.25">
      <c r="A105" t="s">
        <v>60</v>
      </c>
      <c r="B105" t="s">
        <v>23</v>
      </c>
      <c r="C105">
        <v>48</v>
      </c>
      <c r="D105">
        <v>60</v>
      </c>
      <c r="E105" t="s">
        <v>19</v>
      </c>
      <c r="F105" t="s">
        <v>173</v>
      </c>
      <c r="G105">
        <v>157.24</v>
      </c>
      <c r="H105" t="s">
        <v>20</v>
      </c>
      <c r="I105" s="2">
        <v>45191</v>
      </c>
      <c r="J105" s="2">
        <v>45209</v>
      </c>
      <c r="K105" t="s">
        <v>17</v>
      </c>
    </row>
    <row r="106" spans="1:11" x14ac:dyDescent="0.25">
      <c r="A106" t="s">
        <v>47</v>
      </c>
      <c r="B106" t="s">
        <v>16</v>
      </c>
      <c r="C106">
        <v>25</v>
      </c>
      <c r="D106">
        <v>83</v>
      </c>
      <c r="E106" t="s">
        <v>19</v>
      </c>
      <c r="F106" t="s">
        <v>170</v>
      </c>
      <c r="G106">
        <v>257</v>
      </c>
      <c r="H106" t="s">
        <v>26</v>
      </c>
      <c r="I106" s="2">
        <v>45122</v>
      </c>
      <c r="J106" s="2">
        <v>45191</v>
      </c>
    </row>
    <row r="107" spans="1:11" x14ac:dyDescent="0.25">
      <c r="A107" t="s">
        <v>54</v>
      </c>
      <c r="B107" t="s">
        <v>16</v>
      </c>
      <c r="C107">
        <v>3</v>
      </c>
      <c r="D107">
        <v>22</v>
      </c>
      <c r="E107" t="s">
        <v>19</v>
      </c>
      <c r="F107" t="s">
        <v>170</v>
      </c>
      <c r="G107">
        <v>156.16999999999999</v>
      </c>
      <c r="H107" t="s">
        <v>14</v>
      </c>
      <c r="I107" s="2">
        <v>45110</v>
      </c>
      <c r="J107" s="2">
        <v>45145</v>
      </c>
      <c r="K107" t="s">
        <v>21</v>
      </c>
    </row>
    <row r="108" spans="1:11" x14ac:dyDescent="0.25">
      <c r="A108" t="s">
        <v>60</v>
      </c>
      <c r="B108" t="s">
        <v>30</v>
      </c>
      <c r="C108">
        <v>11</v>
      </c>
      <c r="D108">
        <v>37</v>
      </c>
      <c r="E108" t="s">
        <v>19</v>
      </c>
      <c r="F108" t="s">
        <v>174</v>
      </c>
      <c r="G108">
        <v>184.56</v>
      </c>
      <c r="H108" t="s">
        <v>26</v>
      </c>
      <c r="I108" s="2">
        <v>45226</v>
      </c>
      <c r="J108" s="2">
        <v>45295</v>
      </c>
    </row>
    <row r="109" spans="1:11" x14ac:dyDescent="0.25">
      <c r="A109" t="s">
        <v>41</v>
      </c>
      <c r="B109" t="s">
        <v>30</v>
      </c>
      <c r="C109">
        <v>11</v>
      </c>
      <c r="D109">
        <v>86</v>
      </c>
      <c r="E109" t="s">
        <v>19</v>
      </c>
      <c r="F109" t="s">
        <v>173</v>
      </c>
      <c r="G109">
        <v>339.04</v>
      </c>
      <c r="H109" t="s">
        <v>20</v>
      </c>
      <c r="I109" s="2">
        <v>45127</v>
      </c>
      <c r="J109" s="2">
        <v>45151</v>
      </c>
      <c r="K109" t="s">
        <v>17</v>
      </c>
    </row>
    <row r="110" spans="1:11" x14ac:dyDescent="0.25">
      <c r="A110" t="s">
        <v>54</v>
      </c>
      <c r="B110" t="s">
        <v>16</v>
      </c>
      <c r="C110">
        <v>9</v>
      </c>
      <c r="D110">
        <v>53</v>
      </c>
      <c r="E110" t="s">
        <v>19</v>
      </c>
      <c r="F110" t="s">
        <v>170</v>
      </c>
      <c r="G110">
        <v>37.619999999999997</v>
      </c>
      <c r="H110" t="s">
        <v>20</v>
      </c>
      <c r="I110" s="2">
        <v>45211</v>
      </c>
      <c r="J110" s="2">
        <v>45250</v>
      </c>
    </row>
    <row r="111" spans="1:11" x14ac:dyDescent="0.25">
      <c r="A111" t="s">
        <v>62</v>
      </c>
      <c r="B111" t="s">
        <v>12</v>
      </c>
      <c r="C111">
        <v>23</v>
      </c>
      <c r="D111">
        <v>67</v>
      </c>
      <c r="E111" t="s">
        <v>19</v>
      </c>
      <c r="F111" t="s">
        <v>170</v>
      </c>
      <c r="G111">
        <v>425.32</v>
      </c>
      <c r="H111" t="s">
        <v>14</v>
      </c>
      <c r="I111" s="2">
        <v>44965</v>
      </c>
      <c r="J111" s="2">
        <v>45038</v>
      </c>
      <c r="K111" t="s">
        <v>17</v>
      </c>
    </row>
    <row r="112" spans="1:11" x14ac:dyDescent="0.25">
      <c r="A112" t="s">
        <v>53</v>
      </c>
      <c r="B112" t="s">
        <v>23</v>
      </c>
      <c r="C112">
        <v>51</v>
      </c>
      <c r="D112">
        <v>53</v>
      </c>
      <c r="E112" t="s">
        <v>19</v>
      </c>
      <c r="F112" t="s">
        <v>170</v>
      </c>
      <c r="G112">
        <v>58.02</v>
      </c>
      <c r="H112" t="s">
        <v>14</v>
      </c>
      <c r="I112" s="2">
        <v>45039</v>
      </c>
      <c r="J112" s="2">
        <v>45090</v>
      </c>
      <c r="K112" t="s">
        <v>172</v>
      </c>
    </row>
    <row r="113" spans="1:11" x14ac:dyDescent="0.25">
      <c r="A113" t="s">
        <v>64</v>
      </c>
      <c r="B113" t="s">
        <v>16</v>
      </c>
      <c r="C113">
        <v>36</v>
      </c>
      <c r="D113">
        <v>96</v>
      </c>
      <c r="E113" t="s">
        <v>19</v>
      </c>
      <c r="F113" t="s">
        <v>170</v>
      </c>
      <c r="G113">
        <v>40.29</v>
      </c>
      <c r="H113" t="s">
        <v>14</v>
      </c>
      <c r="I113" s="2">
        <v>45115</v>
      </c>
      <c r="J113" s="2">
        <v>45168</v>
      </c>
      <c r="K113" t="s">
        <v>17</v>
      </c>
    </row>
    <row r="114" spans="1:11" x14ac:dyDescent="0.25">
      <c r="A114" t="s">
        <v>18</v>
      </c>
      <c r="B114" t="s">
        <v>16</v>
      </c>
      <c r="C114">
        <v>26</v>
      </c>
      <c r="D114">
        <v>54</v>
      </c>
      <c r="E114" t="s">
        <v>19</v>
      </c>
      <c r="F114" t="s">
        <v>170</v>
      </c>
      <c r="G114">
        <v>499.55</v>
      </c>
      <c r="H114" t="s">
        <v>26</v>
      </c>
      <c r="I114" s="2">
        <v>45258</v>
      </c>
      <c r="J114" s="2">
        <v>45333</v>
      </c>
      <c r="K114" t="s">
        <v>172</v>
      </c>
    </row>
    <row r="115" spans="1:11" x14ac:dyDescent="0.25">
      <c r="A115" t="s">
        <v>59</v>
      </c>
      <c r="B115" t="s">
        <v>30</v>
      </c>
      <c r="C115">
        <v>14</v>
      </c>
      <c r="D115">
        <v>53</v>
      </c>
      <c r="E115" t="s">
        <v>19</v>
      </c>
      <c r="F115" t="s">
        <v>170</v>
      </c>
      <c r="G115">
        <v>316.66000000000003</v>
      </c>
      <c r="H115" t="s">
        <v>14</v>
      </c>
      <c r="I115" s="2">
        <v>45262</v>
      </c>
      <c r="J115" s="2">
        <v>45324</v>
      </c>
      <c r="K115" t="s">
        <v>21</v>
      </c>
    </row>
    <row r="116" spans="1:11" x14ac:dyDescent="0.25">
      <c r="A116" t="s">
        <v>44</v>
      </c>
      <c r="B116" t="s">
        <v>12</v>
      </c>
      <c r="C116">
        <v>54</v>
      </c>
      <c r="D116">
        <v>62</v>
      </c>
      <c r="E116" t="s">
        <v>19</v>
      </c>
      <c r="F116" t="s">
        <v>173</v>
      </c>
      <c r="G116">
        <v>131.75</v>
      </c>
      <c r="H116" t="s">
        <v>26</v>
      </c>
      <c r="I116" s="2">
        <v>45048</v>
      </c>
      <c r="J116" s="2">
        <v>45083</v>
      </c>
      <c r="K116" t="s">
        <v>172</v>
      </c>
    </row>
    <row r="117" spans="1:11" x14ac:dyDescent="0.25">
      <c r="A117" t="s">
        <v>72</v>
      </c>
      <c r="B117" t="s">
        <v>12</v>
      </c>
      <c r="C117">
        <v>39</v>
      </c>
      <c r="D117">
        <v>62</v>
      </c>
      <c r="E117" t="s">
        <v>19</v>
      </c>
      <c r="F117" t="s">
        <v>174</v>
      </c>
      <c r="G117">
        <v>416.19</v>
      </c>
      <c r="H117" t="s">
        <v>26</v>
      </c>
      <c r="I117" s="2">
        <v>45266</v>
      </c>
      <c r="J117" s="2">
        <v>45291</v>
      </c>
      <c r="K117" t="s">
        <v>17</v>
      </c>
    </row>
    <row r="118" spans="1:11" x14ac:dyDescent="0.25">
      <c r="A118" t="s">
        <v>65</v>
      </c>
      <c r="B118" t="s">
        <v>12</v>
      </c>
      <c r="C118">
        <v>6</v>
      </c>
      <c r="D118">
        <v>53</v>
      </c>
      <c r="E118" t="s">
        <v>19</v>
      </c>
      <c r="F118" t="s">
        <v>170</v>
      </c>
      <c r="G118">
        <v>455.83</v>
      </c>
      <c r="H118" t="s">
        <v>26</v>
      </c>
      <c r="I118" s="2">
        <v>44983</v>
      </c>
      <c r="J118" s="2">
        <v>44999</v>
      </c>
      <c r="K118" t="s">
        <v>17</v>
      </c>
    </row>
    <row r="119" spans="1:11" x14ac:dyDescent="0.25">
      <c r="A119" t="s">
        <v>53</v>
      </c>
      <c r="B119" t="s">
        <v>28</v>
      </c>
      <c r="C119">
        <v>85</v>
      </c>
      <c r="D119">
        <v>97</v>
      </c>
      <c r="E119" t="s">
        <v>19</v>
      </c>
      <c r="F119" t="s">
        <v>170</v>
      </c>
      <c r="G119">
        <v>496.91</v>
      </c>
      <c r="H119" t="s">
        <v>14</v>
      </c>
      <c r="I119" s="2">
        <v>45036</v>
      </c>
      <c r="J119" s="2">
        <v>45109</v>
      </c>
      <c r="K119" t="s">
        <v>172</v>
      </c>
    </row>
    <row r="120" spans="1:11" x14ac:dyDescent="0.25">
      <c r="A120" t="s">
        <v>31</v>
      </c>
      <c r="B120" t="s">
        <v>12</v>
      </c>
      <c r="C120">
        <v>81</v>
      </c>
      <c r="D120">
        <v>84</v>
      </c>
      <c r="E120" t="s">
        <v>19</v>
      </c>
      <c r="F120" t="s">
        <v>170</v>
      </c>
      <c r="G120">
        <v>175.65</v>
      </c>
      <c r="H120" t="s">
        <v>26</v>
      </c>
      <c r="I120" s="2">
        <v>45008</v>
      </c>
      <c r="J120" s="2">
        <v>45082</v>
      </c>
      <c r="K120" t="s">
        <v>17</v>
      </c>
    </row>
    <row r="121" spans="1:11" x14ac:dyDescent="0.25">
      <c r="A121" t="s">
        <v>57</v>
      </c>
      <c r="B121" t="s">
        <v>28</v>
      </c>
      <c r="C121">
        <v>66</v>
      </c>
      <c r="D121">
        <v>90</v>
      </c>
      <c r="E121" t="s">
        <v>19</v>
      </c>
      <c r="F121" t="s">
        <v>173</v>
      </c>
      <c r="G121">
        <v>16.88</v>
      </c>
      <c r="H121" t="s">
        <v>20</v>
      </c>
      <c r="I121" s="2">
        <v>45120</v>
      </c>
      <c r="J121" s="2">
        <v>45153</v>
      </c>
      <c r="K121" t="s">
        <v>21</v>
      </c>
    </row>
    <row r="122" spans="1:11" x14ac:dyDescent="0.25">
      <c r="A122" t="s">
        <v>35</v>
      </c>
      <c r="B122" t="s">
        <v>30</v>
      </c>
      <c r="C122">
        <v>22</v>
      </c>
      <c r="D122">
        <v>38</v>
      </c>
      <c r="E122" t="s">
        <v>19</v>
      </c>
      <c r="F122" t="s">
        <v>174</v>
      </c>
      <c r="G122">
        <v>480.48</v>
      </c>
      <c r="H122" t="s">
        <v>14</v>
      </c>
      <c r="I122" s="2">
        <v>45106</v>
      </c>
      <c r="J122" s="2">
        <v>45141</v>
      </c>
    </row>
    <row r="123" spans="1:11" x14ac:dyDescent="0.25">
      <c r="A123" t="s">
        <v>15</v>
      </c>
      <c r="B123" t="s">
        <v>23</v>
      </c>
      <c r="C123">
        <v>21</v>
      </c>
      <c r="D123">
        <v>40</v>
      </c>
      <c r="E123" t="s">
        <v>19</v>
      </c>
      <c r="F123" t="s">
        <v>170</v>
      </c>
      <c r="G123">
        <v>305.08999999999997</v>
      </c>
      <c r="H123" t="s">
        <v>26</v>
      </c>
      <c r="I123" s="2">
        <v>45049</v>
      </c>
      <c r="J123" s="2">
        <v>45102</v>
      </c>
    </row>
    <row r="124" spans="1:11" x14ac:dyDescent="0.25">
      <c r="A124" t="s">
        <v>70</v>
      </c>
      <c r="B124" t="s">
        <v>23</v>
      </c>
      <c r="C124">
        <v>22</v>
      </c>
      <c r="D124">
        <v>84</v>
      </c>
      <c r="E124" t="s">
        <v>19</v>
      </c>
      <c r="F124" t="s">
        <v>170</v>
      </c>
      <c r="G124">
        <v>454.05</v>
      </c>
      <c r="H124" t="s">
        <v>26</v>
      </c>
      <c r="I124" s="2">
        <v>45191</v>
      </c>
      <c r="J124" s="2">
        <v>45275</v>
      </c>
      <c r="K124" t="s">
        <v>21</v>
      </c>
    </row>
    <row r="125" spans="1:11" x14ac:dyDescent="0.25">
      <c r="A125" t="s">
        <v>11</v>
      </c>
      <c r="B125" t="s">
        <v>12</v>
      </c>
      <c r="C125">
        <v>47</v>
      </c>
      <c r="D125">
        <v>63</v>
      </c>
      <c r="E125" t="s">
        <v>19</v>
      </c>
      <c r="F125" t="s">
        <v>173</v>
      </c>
      <c r="G125">
        <v>337.9</v>
      </c>
      <c r="H125" t="s">
        <v>20</v>
      </c>
      <c r="I125" s="2">
        <v>45200</v>
      </c>
      <c r="J125" s="2">
        <v>45221</v>
      </c>
      <c r="K125" t="s">
        <v>21</v>
      </c>
    </row>
    <row r="126" spans="1:11" x14ac:dyDescent="0.25">
      <c r="A126" t="s">
        <v>53</v>
      </c>
      <c r="B126" t="s">
        <v>28</v>
      </c>
      <c r="C126">
        <v>80</v>
      </c>
      <c r="D126">
        <v>99</v>
      </c>
      <c r="E126" t="s">
        <v>19</v>
      </c>
      <c r="F126" t="s">
        <v>173</v>
      </c>
      <c r="G126">
        <v>376.87</v>
      </c>
      <c r="H126" t="s">
        <v>26</v>
      </c>
      <c r="I126" s="2">
        <v>45020</v>
      </c>
      <c r="J126" s="2">
        <v>45044</v>
      </c>
      <c r="K126" t="s">
        <v>21</v>
      </c>
    </row>
    <row r="127" spans="1:11" x14ac:dyDescent="0.25">
      <c r="A127" t="s">
        <v>39</v>
      </c>
      <c r="B127" t="s">
        <v>23</v>
      </c>
      <c r="C127">
        <v>23</v>
      </c>
      <c r="D127">
        <v>37</v>
      </c>
      <c r="E127" t="s">
        <v>19</v>
      </c>
      <c r="F127" t="s">
        <v>174</v>
      </c>
      <c r="G127">
        <v>277.08999999999997</v>
      </c>
      <c r="H127" t="s">
        <v>14</v>
      </c>
      <c r="I127" s="2">
        <v>45194</v>
      </c>
      <c r="J127" s="2">
        <v>45264</v>
      </c>
      <c r="K127" t="s">
        <v>17</v>
      </c>
    </row>
    <row r="128" spans="1:11" x14ac:dyDescent="0.25">
      <c r="A128" t="s">
        <v>72</v>
      </c>
      <c r="B128" t="s">
        <v>28</v>
      </c>
      <c r="C128">
        <v>30</v>
      </c>
      <c r="D128">
        <v>95</v>
      </c>
      <c r="E128" t="s">
        <v>19</v>
      </c>
      <c r="F128" t="s">
        <v>173</v>
      </c>
      <c r="G128">
        <v>213.98</v>
      </c>
      <c r="H128" t="s">
        <v>20</v>
      </c>
      <c r="I128" s="2">
        <v>45015</v>
      </c>
      <c r="J128" s="2">
        <v>45051</v>
      </c>
      <c r="K128" t="s">
        <v>17</v>
      </c>
    </row>
    <row r="129" spans="1:11" x14ac:dyDescent="0.25">
      <c r="A129" t="s">
        <v>45</v>
      </c>
      <c r="B129" t="s">
        <v>12</v>
      </c>
      <c r="C129">
        <v>44</v>
      </c>
      <c r="D129">
        <v>97</v>
      </c>
      <c r="E129" t="s">
        <v>19</v>
      </c>
      <c r="F129" t="s">
        <v>173</v>
      </c>
      <c r="G129">
        <v>106.6</v>
      </c>
      <c r="H129" t="s">
        <v>14</v>
      </c>
      <c r="I129" s="2">
        <v>45080</v>
      </c>
      <c r="J129" s="2">
        <v>45096</v>
      </c>
    </row>
    <row r="130" spans="1:11" x14ac:dyDescent="0.25">
      <c r="A130" t="s">
        <v>51</v>
      </c>
      <c r="B130" t="s">
        <v>30</v>
      </c>
      <c r="C130">
        <v>58</v>
      </c>
      <c r="D130">
        <v>75</v>
      </c>
      <c r="E130" t="s">
        <v>19</v>
      </c>
      <c r="F130" t="s">
        <v>173</v>
      </c>
      <c r="G130">
        <v>442.98</v>
      </c>
      <c r="H130" t="s">
        <v>20</v>
      </c>
      <c r="I130" s="2">
        <v>45075</v>
      </c>
      <c r="J130" s="2">
        <v>45115</v>
      </c>
      <c r="K130" t="s">
        <v>172</v>
      </c>
    </row>
    <row r="131" spans="1:11" x14ac:dyDescent="0.25">
      <c r="A131" t="s">
        <v>31</v>
      </c>
      <c r="B131" t="s">
        <v>28</v>
      </c>
      <c r="C131">
        <v>37</v>
      </c>
      <c r="D131">
        <v>85</v>
      </c>
      <c r="E131" t="s">
        <v>19</v>
      </c>
      <c r="F131" t="s">
        <v>173</v>
      </c>
      <c r="G131">
        <v>197.27</v>
      </c>
      <c r="H131" t="s">
        <v>20</v>
      </c>
      <c r="I131" s="2">
        <v>45116</v>
      </c>
      <c r="J131" s="2">
        <v>45180</v>
      </c>
    </row>
    <row r="132" spans="1:11" x14ac:dyDescent="0.25">
      <c r="A132" t="s">
        <v>61</v>
      </c>
      <c r="B132" t="s">
        <v>23</v>
      </c>
      <c r="C132">
        <v>7</v>
      </c>
      <c r="D132">
        <v>28</v>
      </c>
      <c r="E132" t="s">
        <v>19</v>
      </c>
      <c r="F132" t="s">
        <v>170</v>
      </c>
      <c r="G132">
        <v>383.1</v>
      </c>
      <c r="H132" t="s">
        <v>14</v>
      </c>
      <c r="I132" s="2">
        <v>44966</v>
      </c>
      <c r="J132" s="2">
        <v>45001</v>
      </c>
      <c r="K132" t="s">
        <v>172</v>
      </c>
    </row>
    <row r="133" spans="1:11" x14ac:dyDescent="0.25">
      <c r="A133" t="s">
        <v>68</v>
      </c>
      <c r="B133" t="s">
        <v>12</v>
      </c>
      <c r="C133">
        <v>83</v>
      </c>
      <c r="D133">
        <v>97</v>
      </c>
      <c r="E133" t="s">
        <v>19</v>
      </c>
      <c r="F133" t="s">
        <v>174</v>
      </c>
      <c r="G133">
        <v>281.25</v>
      </c>
      <c r="H133" t="s">
        <v>20</v>
      </c>
      <c r="I133" s="2">
        <v>45065</v>
      </c>
      <c r="J133" s="2">
        <v>45098</v>
      </c>
      <c r="K133" t="s">
        <v>172</v>
      </c>
    </row>
    <row r="134" spans="1:11" x14ac:dyDescent="0.25">
      <c r="A134" t="s">
        <v>29</v>
      </c>
      <c r="B134" t="s">
        <v>30</v>
      </c>
      <c r="C134">
        <v>66</v>
      </c>
      <c r="D134">
        <v>97</v>
      </c>
      <c r="E134" t="s">
        <v>19</v>
      </c>
      <c r="F134" t="s">
        <v>174</v>
      </c>
      <c r="G134">
        <v>314.57</v>
      </c>
      <c r="H134" t="s">
        <v>14</v>
      </c>
      <c r="I134" s="2">
        <v>44967</v>
      </c>
      <c r="J134" s="2">
        <v>45045</v>
      </c>
    </row>
    <row r="135" spans="1:11" x14ac:dyDescent="0.25">
      <c r="A135" t="s">
        <v>34</v>
      </c>
      <c r="B135" t="s">
        <v>30</v>
      </c>
      <c r="C135">
        <v>1</v>
      </c>
      <c r="D135">
        <v>49</v>
      </c>
      <c r="E135" t="s">
        <v>19</v>
      </c>
      <c r="F135" t="s">
        <v>173</v>
      </c>
      <c r="G135">
        <v>203.89</v>
      </c>
      <c r="H135" t="s">
        <v>20</v>
      </c>
      <c r="I135" s="2">
        <v>45088</v>
      </c>
      <c r="J135" s="2">
        <v>45143</v>
      </c>
      <c r="K135" t="s">
        <v>172</v>
      </c>
    </row>
    <row r="136" spans="1:11" x14ac:dyDescent="0.25">
      <c r="A136" t="s">
        <v>64</v>
      </c>
      <c r="B136" t="s">
        <v>12</v>
      </c>
      <c r="C136">
        <v>59</v>
      </c>
      <c r="D136">
        <v>70</v>
      </c>
      <c r="E136" t="s">
        <v>19</v>
      </c>
      <c r="F136" t="s">
        <v>170</v>
      </c>
      <c r="G136">
        <v>213.83</v>
      </c>
      <c r="H136" t="s">
        <v>14</v>
      </c>
      <c r="I136" s="2">
        <v>45287</v>
      </c>
      <c r="J136" s="2">
        <v>45319</v>
      </c>
      <c r="K136" t="s">
        <v>21</v>
      </c>
    </row>
    <row r="137" spans="1:11" x14ac:dyDescent="0.25">
      <c r="A137" t="s">
        <v>31</v>
      </c>
      <c r="B137" t="s">
        <v>23</v>
      </c>
      <c r="C137">
        <v>1</v>
      </c>
      <c r="D137">
        <v>60</v>
      </c>
      <c r="E137" t="s">
        <v>19</v>
      </c>
      <c r="F137" t="s">
        <v>173</v>
      </c>
      <c r="G137">
        <v>494.53</v>
      </c>
      <c r="H137" t="s">
        <v>14</v>
      </c>
      <c r="I137" s="2">
        <v>45130</v>
      </c>
      <c r="J137" s="2">
        <v>45182</v>
      </c>
      <c r="K137" t="s">
        <v>21</v>
      </c>
    </row>
    <row r="138" spans="1:11" x14ac:dyDescent="0.25">
      <c r="A138" t="s">
        <v>39</v>
      </c>
      <c r="B138" t="s">
        <v>28</v>
      </c>
      <c r="C138">
        <v>36</v>
      </c>
      <c r="D138">
        <v>84</v>
      </c>
      <c r="E138" t="s">
        <v>19</v>
      </c>
      <c r="F138" t="s">
        <v>173</v>
      </c>
      <c r="G138">
        <v>221.22</v>
      </c>
      <c r="H138" t="s">
        <v>14</v>
      </c>
      <c r="I138" s="2">
        <v>44956</v>
      </c>
      <c r="J138" s="2">
        <v>45003</v>
      </c>
      <c r="K138" t="s">
        <v>172</v>
      </c>
    </row>
    <row r="139" spans="1:11" x14ac:dyDescent="0.25">
      <c r="A139" t="s">
        <v>40</v>
      </c>
      <c r="B139" t="s">
        <v>12</v>
      </c>
      <c r="C139">
        <v>41</v>
      </c>
      <c r="D139">
        <v>89</v>
      </c>
      <c r="E139" t="s">
        <v>19</v>
      </c>
      <c r="F139" t="s">
        <v>170</v>
      </c>
      <c r="G139">
        <v>64.55</v>
      </c>
      <c r="H139" t="s">
        <v>20</v>
      </c>
      <c r="I139" s="2">
        <v>45135</v>
      </c>
      <c r="J139" s="2">
        <v>45206</v>
      </c>
    </row>
    <row r="140" spans="1:11" x14ac:dyDescent="0.25">
      <c r="A140" t="s">
        <v>68</v>
      </c>
      <c r="B140" t="s">
        <v>16</v>
      </c>
      <c r="C140">
        <v>18</v>
      </c>
      <c r="D140">
        <v>33</v>
      </c>
      <c r="E140" t="s">
        <v>19</v>
      </c>
      <c r="F140" t="s">
        <v>174</v>
      </c>
      <c r="G140">
        <v>283.83</v>
      </c>
      <c r="H140" t="s">
        <v>20</v>
      </c>
      <c r="I140" s="2">
        <v>45211</v>
      </c>
      <c r="J140" s="2">
        <v>45258</v>
      </c>
      <c r="K140" t="s">
        <v>17</v>
      </c>
    </row>
    <row r="141" spans="1:11" x14ac:dyDescent="0.25">
      <c r="A141" t="s">
        <v>36</v>
      </c>
      <c r="B141" t="s">
        <v>23</v>
      </c>
      <c r="C141">
        <v>4</v>
      </c>
      <c r="D141">
        <v>89</v>
      </c>
      <c r="E141" t="s">
        <v>19</v>
      </c>
      <c r="F141" t="s">
        <v>170</v>
      </c>
      <c r="G141">
        <v>5.68</v>
      </c>
      <c r="H141" t="s">
        <v>26</v>
      </c>
      <c r="I141" s="2">
        <v>45249</v>
      </c>
      <c r="J141" s="2">
        <v>45282</v>
      </c>
    </row>
    <row r="142" spans="1:11" x14ac:dyDescent="0.25">
      <c r="A142" t="s">
        <v>50</v>
      </c>
      <c r="B142" t="s">
        <v>28</v>
      </c>
      <c r="C142">
        <v>58</v>
      </c>
      <c r="D142">
        <v>84</v>
      </c>
      <c r="E142" t="s">
        <v>19</v>
      </c>
      <c r="F142" t="s">
        <v>173</v>
      </c>
      <c r="G142">
        <v>274.37</v>
      </c>
      <c r="H142" t="s">
        <v>14</v>
      </c>
      <c r="I142" s="2">
        <v>45121</v>
      </c>
      <c r="J142" s="2">
        <v>45193</v>
      </c>
      <c r="K142" t="s">
        <v>172</v>
      </c>
    </row>
    <row r="143" spans="1:11" x14ac:dyDescent="0.25">
      <c r="A143" t="s">
        <v>43</v>
      </c>
      <c r="B143" t="s">
        <v>30</v>
      </c>
      <c r="C143">
        <v>28</v>
      </c>
      <c r="D143">
        <v>61</v>
      </c>
      <c r="E143" t="s">
        <v>19</v>
      </c>
      <c r="F143" t="s">
        <v>173</v>
      </c>
      <c r="G143">
        <v>184.79</v>
      </c>
      <c r="H143" t="s">
        <v>26</v>
      </c>
      <c r="I143" s="2">
        <v>45265</v>
      </c>
      <c r="J143" s="2">
        <v>45341</v>
      </c>
    </row>
    <row r="144" spans="1:11" x14ac:dyDescent="0.25">
      <c r="A144" t="s">
        <v>58</v>
      </c>
      <c r="B144" t="s">
        <v>12</v>
      </c>
      <c r="C144">
        <v>63</v>
      </c>
      <c r="D144">
        <v>67</v>
      </c>
      <c r="E144" t="s">
        <v>19</v>
      </c>
      <c r="F144" t="s">
        <v>174</v>
      </c>
      <c r="G144">
        <v>156.86000000000001</v>
      </c>
      <c r="H144" t="s">
        <v>20</v>
      </c>
      <c r="I144" s="2">
        <v>45210</v>
      </c>
      <c r="J144" s="2">
        <v>45238</v>
      </c>
    </row>
    <row r="145" spans="1:11" x14ac:dyDescent="0.25">
      <c r="A145" t="s">
        <v>49</v>
      </c>
      <c r="B145" t="s">
        <v>30</v>
      </c>
      <c r="C145">
        <v>13</v>
      </c>
      <c r="D145">
        <v>79</v>
      </c>
      <c r="E145" t="s">
        <v>19</v>
      </c>
      <c r="F145" t="s">
        <v>170</v>
      </c>
      <c r="G145">
        <v>264.29000000000002</v>
      </c>
      <c r="H145" t="s">
        <v>14</v>
      </c>
      <c r="I145" s="2">
        <v>45264</v>
      </c>
      <c r="J145" s="2">
        <v>45282</v>
      </c>
      <c r="K145" t="s">
        <v>17</v>
      </c>
    </row>
    <row r="146" spans="1:11" x14ac:dyDescent="0.25">
      <c r="A146" t="s">
        <v>32</v>
      </c>
      <c r="B146" t="s">
        <v>30</v>
      </c>
      <c r="C146">
        <v>82</v>
      </c>
      <c r="D146">
        <v>97</v>
      </c>
      <c r="E146" t="s">
        <v>19</v>
      </c>
      <c r="F146" t="s">
        <v>170</v>
      </c>
      <c r="G146">
        <v>331.65</v>
      </c>
      <c r="H146" t="s">
        <v>26</v>
      </c>
      <c r="I146" s="2">
        <v>45008</v>
      </c>
      <c r="J146" s="2">
        <v>45084</v>
      </c>
      <c r="K146" t="s">
        <v>17</v>
      </c>
    </row>
    <row r="147" spans="1:11" x14ac:dyDescent="0.25">
      <c r="A147" t="s">
        <v>42</v>
      </c>
      <c r="B147" t="s">
        <v>30</v>
      </c>
      <c r="C147">
        <v>76</v>
      </c>
      <c r="D147">
        <v>83</v>
      </c>
      <c r="E147" t="s">
        <v>19</v>
      </c>
      <c r="F147" t="s">
        <v>170</v>
      </c>
      <c r="G147">
        <v>458.77</v>
      </c>
      <c r="H147" t="s">
        <v>20</v>
      </c>
      <c r="I147" s="2">
        <v>45055</v>
      </c>
      <c r="J147" s="2">
        <v>45116</v>
      </c>
      <c r="K147" t="s">
        <v>17</v>
      </c>
    </row>
    <row r="148" spans="1:11" x14ac:dyDescent="0.25">
      <c r="A148" t="s">
        <v>70</v>
      </c>
      <c r="B148" t="s">
        <v>16</v>
      </c>
      <c r="C148">
        <v>53</v>
      </c>
      <c r="D148">
        <v>93</v>
      </c>
      <c r="E148" t="s">
        <v>19</v>
      </c>
      <c r="F148" t="s">
        <v>170</v>
      </c>
      <c r="G148">
        <v>319.08</v>
      </c>
      <c r="H148" t="s">
        <v>26</v>
      </c>
      <c r="I148" s="2">
        <v>45149</v>
      </c>
      <c r="J148" s="2">
        <v>45184</v>
      </c>
      <c r="K148" t="s">
        <v>21</v>
      </c>
    </row>
    <row r="149" spans="1:11" x14ac:dyDescent="0.25">
      <c r="A149" t="s">
        <v>38</v>
      </c>
      <c r="B149" t="s">
        <v>30</v>
      </c>
      <c r="C149">
        <v>23</v>
      </c>
      <c r="D149">
        <v>43</v>
      </c>
      <c r="E149" t="s">
        <v>19</v>
      </c>
      <c r="F149" t="s">
        <v>170</v>
      </c>
      <c r="G149">
        <v>264.89999999999998</v>
      </c>
      <c r="H149" t="s">
        <v>14</v>
      </c>
      <c r="I149" s="2">
        <v>45245</v>
      </c>
      <c r="J149" s="2">
        <v>45334</v>
      </c>
      <c r="K149" t="s">
        <v>172</v>
      </c>
    </row>
    <row r="150" spans="1:11" x14ac:dyDescent="0.25">
      <c r="A150" t="s">
        <v>46</v>
      </c>
      <c r="B150" t="s">
        <v>23</v>
      </c>
      <c r="C150">
        <v>2</v>
      </c>
      <c r="D150">
        <v>20</v>
      </c>
      <c r="E150" t="s">
        <v>19</v>
      </c>
      <c r="F150" t="s">
        <v>174</v>
      </c>
      <c r="G150">
        <v>429.8</v>
      </c>
      <c r="H150" t="s">
        <v>14</v>
      </c>
      <c r="I150" s="2">
        <v>45188</v>
      </c>
      <c r="J150" s="2">
        <v>45268</v>
      </c>
      <c r="K150" t="s">
        <v>21</v>
      </c>
    </row>
    <row r="151" spans="1:11" x14ac:dyDescent="0.25">
      <c r="A151" t="s">
        <v>66</v>
      </c>
      <c r="B151" t="s">
        <v>12</v>
      </c>
      <c r="C151">
        <v>44</v>
      </c>
      <c r="D151">
        <v>94</v>
      </c>
      <c r="E151" t="s">
        <v>19</v>
      </c>
      <c r="F151" t="s">
        <v>170</v>
      </c>
      <c r="G151">
        <v>338.15</v>
      </c>
      <c r="H151" t="s">
        <v>26</v>
      </c>
      <c r="I151" s="2">
        <v>45083</v>
      </c>
      <c r="J151" s="2">
        <v>45151</v>
      </c>
      <c r="K151" t="s">
        <v>21</v>
      </c>
    </row>
    <row r="152" spans="1:11" x14ac:dyDescent="0.25">
      <c r="A152" t="s">
        <v>62</v>
      </c>
      <c r="B152" t="s">
        <v>16</v>
      </c>
      <c r="C152">
        <v>39</v>
      </c>
      <c r="D152">
        <v>43</v>
      </c>
      <c r="E152" t="s">
        <v>19</v>
      </c>
      <c r="F152" t="s">
        <v>174</v>
      </c>
      <c r="G152">
        <v>482.67</v>
      </c>
      <c r="H152" t="s">
        <v>26</v>
      </c>
      <c r="I152" s="2">
        <v>44940</v>
      </c>
      <c r="J152" s="2">
        <v>45010</v>
      </c>
      <c r="K152" t="s">
        <v>17</v>
      </c>
    </row>
    <row r="153" spans="1:11" x14ac:dyDescent="0.25">
      <c r="A153" t="s">
        <v>25</v>
      </c>
      <c r="B153" t="s">
        <v>12</v>
      </c>
      <c r="C153">
        <v>22</v>
      </c>
      <c r="D153">
        <v>39</v>
      </c>
      <c r="E153" t="s">
        <v>19</v>
      </c>
      <c r="F153" t="s">
        <v>174</v>
      </c>
      <c r="G153">
        <v>118.83</v>
      </c>
      <c r="H153" t="s">
        <v>26</v>
      </c>
      <c r="I153" s="2">
        <v>45186</v>
      </c>
      <c r="J153" s="2">
        <v>45206</v>
      </c>
      <c r="K153" t="s">
        <v>172</v>
      </c>
    </row>
    <row r="154" spans="1:11" x14ac:dyDescent="0.25">
      <c r="A154" t="s">
        <v>39</v>
      </c>
      <c r="B154" t="s">
        <v>16</v>
      </c>
      <c r="C154">
        <v>0</v>
      </c>
      <c r="D154">
        <v>37</v>
      </c>
      <c r="E154" t="s">
        <v>19</v>
      </c>
      <c r="F154" t="s">
        <v>170</v>
      </c>
      <c r="G154">
        <v>188.04</v>
      </c>
      <c r="H154" t="s">
        <v>26</v>
      </c>
      <c r="I154" s="2">
        <v>45280</v>
      </c>
      <c r="J154" s="2">
        <v>45337</v>
      </c>
    </row>
    <row r="155" spans="1:11" x14ac:dyDescent="0.25">
      <c r="A155" t="s">
        <v>62</v>
      </c>
      <c r="B155" t="s">
        <v>12</v>
      </c>
      <c r="C155">
        <v>7</v>
      </c>
      <c r="D155">
        <v>74</v>
      </c>
      <c r="E155" t="s">
        <v>19</v>
      </c>
      <c r="F155" t="s">
        <v>173</v>
      </c>
      <c r="G155">
        <v>127.4</v>
      </c>
      <c r="H155" t="s">
        <v>26</v>
      </c>
      <c r="I155" s="2">
        <v>45216</v>
      </c>
      <c r="J155" s="2">
        <v>45247</v>
      </c>
      <c r="K155" t="s">
        <v>172</v>
      </c>
    </row>
    <row r="156" spans="1:11" x14ac:dyDescent="0.25">
      <c r="A156" t="s">
        <v>42</v>
      </c>
      <c r="B156" t="s">
        <v>12</v>
      </c>
      <c r="C156">
        <v>74</v>
      </c>
      <c r="D156">
        <v>93</v>
      </c>
      <c r="E156" t="s">
        <v>19</v>
      </c>
      <c r="F156" t="s">
        <v>170</v>
      </c>
      <c r="G156">
        <v>148.30000000000001</v>
      </c>
      <c r="H156" t="s">
        <v>14</v>
      </c>
      <c r="I156" s="2">
        <v>45051</v>
      </c>
      <c r="J156" s="2">
        <v>45069</v>
      </c>
      <c r="K156" t="s">
        <v>172</v>
      </c>
    </row>
    <row r="157" spans="1:11" x14ac:dyDescent="0.25">
      <c r="A157" t="s">
        <v>56</v>
      </c>
      <c r="B157" t="s">
        <v>30</v>
      </c>
      <c r="C157">
        <v>9</v>
      </c>
      <c r="D157">
        <v>60</v>
      </c>
      <c r="E157" t="s">
        <v>19</v>
      </c>
      <c r="F157" t="s">
        <v>174</v>
      </c>
      <c r="G157">
        <v>36.35</v>
      </c>
      <c r="H157" t="s">
        <v>20</v>
      </c>
      <c r="I157" s="2">
        <v>45156</v>
      </c>
      <c r="J157" s="2">
        <v>45227</v>
      </c>
      <c r="K157" t="s">
        <v>17</v>
      </c>
    </row>
    <row r="158" spans="1:11" x14ac:dyDescent="0.25">
      <c r="A158" t="s">
        <v>31</v>
      </c>
      <c r="B158" t="s">
        <v>16</v>
      </c>
      <c r="C158">
        <v>45</v>
      </c>
      <c r="D158">
        <v>81</v>
      </c>
      <c r="E158" t="s">
        <v>19</v>
      </c>
      <c r="F158" t="s">
        <v>170</v>
      </c>
      <c r="G158">
        <v>214.37</v>
      </c>
      <c r="H158" t="s">
        <v>20</v>
      </c>
      <c r="I158" s="2">
        <v>45207</v>
      </c>
      <c r="J158" s="2">
        <v>45242</v>
      </c>
      <c r="K158" t="s">
        <v>172</v>
      </c>
    </row>
    <row r="159" spans="1:11" x14ac:dyDescent="0.25">
      <c r="A159" t="s">
        <v>72</v>
      </c>
      <c r="B159" t="s">
        <v>16</v>
      </c>
      <c r="C159">
        <v>80</v>
      </c>
      <c r="D159">
        <v>93</v>
      </c>
      <c r="E159" t="s">
        <v>19</v>
      </c>
      <c r="F159" t="s">
        <v>173</v>
      </c>
      <c r="G159">
        <v>411.48</v>
      </c>
      <c r="H159" t="s">
        <v>26</v>
      </c>
      <c r="I159" s="2">
        <v>45205</v>
      </c>
      <c r="J159" s="2">
        <v>45253</v>
      </c>
      <c r="K159" t="s">
        <v>172</v>
      </c>
    </row>
    <row r="160" spans="1:11" x14ac:dyDescent="0.25">
      <c r="A160" t="s">
        <v>27</v>
      </c>
      <c r="B160" t="s">
        <v>16</v>
      </c>
      <c r="C160">
        <v>33</v>
      </c>
      <c r="D160">
        <v>42</v>
      </c>
      <c r="E160" t="s">
        <v>19</v>
      </c>
      <c r="F160" t="s">
        <v>174</v>
      </c>
      <c r="G160">
        <v>52.71</v>
      </c>
      <c r="H160" t="s">
        <v>20</v>
      </c>
      <c r="I160" s="2">
        <v>45049</v>
      </c>
      <c r="J160" s="2">
        <v>45109</v>
      </c>
      <c r="K160" t="s">
        <v>21</v>
      </c>
    </row>
    <row r="161" spans="1:11" x14ac:dyDescent="0.25">
      <c r="A161" t="s">
        <v>67</v>
      </c>
      <c r="B161" t="s">
        <v>30</v>
      </c>
      <c r="C161">
        <v>3</v>
      </c>
      <c r="D161">
        <v>26</v>
      </c>
      <c r="E161" t="s">
        <v>19</v>
      </c>
      <c r="F161" t="s">
        <v>173</v>
      </c>
      <c r="G161">
        <v>365.66</v>
      </c>
      <c r="H161" t="s">
        <v>26</v>
      </c>
      <c r="I161" s="2">
        <v>45231</v>
      </c>
      <c r="J161" s="2">
        <v>45260</v>
      </c>
    </row>
    <row r="162" spans="1:11" x14ac:dyDescent="0.25">
      <c r="A162" t="s">
        <v>29</v>
      </c>
      <c r="B162" t="s">
        <v>12</v>
      </c>
      <c r="C162">
        <v>81</v>
      </c>
      <c r="D162">
        <v>95</v>
      </c>
      <c r="E162" t="s">
        <v>19</v>
      </c>
      <c r="F162" t="s">
        <v>173</v>
      </c>
      <c r="G162">
        <v>375.62</v>
      </c>
      <c r="H162" t="s">
        <v>20</v>
      </c>
      <c r="I162" s="2">
        <v>45109</v>
      </c>
      <c r="J162" s="2">
        <v>45159</v>
      </c>
      <c r="K162" t="s">
        <v>21</v>
      </c>
    </row>
    <row r="163" spans="1:11" x14ac:dyDescent="0.25">
      <c r="A163" t="s">
        <v>34</v>
      </c>
      <c r="B163" t="s">
        <v>30</v>
      </c>
      <c r="C163">
        <v>37</v>
      </c>
      <c r="D163">
        <v>52</v>
      </c>
      <c r="E163" t="s">
        <v>19</v>
      </c>
      <c r="F163" t="s">
        <v>173</v>
      </c>
      <c r="G163">
        <v>491.16</v>
      </c>
      <c r="H163" t="s">
        <v>20</v>
      </c>
      <c r="I163" s="2">
        <v>44951</v>
      </c>
      <c r="J163" s="2">
        <v>45037</v>
      </c>
      <c r="K163" t="s">
        <v>17</v>
      </c>
    </row>
    <row r="164" spans="1:11" x14ac:dyDescent="0.25">
      <c r="A164" t="s">
        <v>68</v>
      </c>
      <c r="B164" t="s">
        <v>16</v>
      </c>
      <c r="C164">
        <v>24</v>
      </c>
      <c r="D164">
        <v>77</v>
      </c>
      <c r="E164" t="s">
        <v>19</v>
      </c>
      <c r="F164" t="s">
        <v>174</v>
      </c>
      <c r="G164">
        <v>161.91999999999999</v>
      </c>
      <c r="H164" t="s">
        <v>20</v>
      </c>
      <c r="I164" s="2">
        <v>45003</v>
      </c>
      <c r="J164" s="2">
        <v>45069</v>
      </c>
    </row>
    <row r="165" spans="1:11" x14ac:dyDescent="0.25">
      <c r="A165" t="s">
        <v>58</v>
      </c>
      <c r="B165" t="s">
        <v>28</v>
      </c>
      <c r="C165">
        <v>16</v>
      </c>
      <c r="D165">
        <v>88</v>
      </c>
      <c r="E165" t="s">
        <v>19</v>
      </c>
      <c r="F165" t="s">
        <v>174</v>
      </c>
      <c r="G165">
        <v>186.8</v>
      </c>
      <c r="H165" t="s">
        <v>14</v>
      </c>
      <c r="I165" s="2">
        <v>45278</v>
      </c>
      <c r="J165" s="2">
        <v>45310</v>
      </c>
      <c r="K165" t="s">
        <v>172</v>
      </c>
    </row>
    <row r="166" spans="1:11" x14ac:dyDescent="0.25">
      <c r="A166" t="s">
        <v>39</v>
      </c>
      <c r="B166" t="s">
        <v>28</v>
      </c>
      <c r="C166">
        <v>25</v>
      </c>
      <c r="D166">
        <v>86</v>
      </c>
      <c r="E166" t="s">
        <v>19</v>
      </c>
      <c r="F166" t="s">
        <v>170</v>
      </c>
      <c r="G166">
        <v>100.27</v>
      </c>
      <c r="H166" t="s">
        <v>14</v>
      </c>
      <c r="I166" s="2">
        <v>45174</v>
      </c>
      <c r="J166" s="2">
        <v>45234</v>
      </c>
      <c r="K166" t="s">
        <v>17</v>
      </c>
    </row>
    <row r="167" spans="1:11" x14ac:dyDescent="0.25">
      <c r="A167" t="s">
        <v>45</v>
      </c>
      <c r="B167" t="s">
        <v>30</v>
      </c>
      <c r="C167">
        <v>40</v>
      </c>
      <c r="D167">
        <v>80</v>
      </c>
      <c r="E167" t="s">
        <v>19</v>
      </c>
      <c r="F167" t="s">
        <v>170</v>
      </c>
      <c r="G167">
        <v>116.33</v>
      </c>
      <c r="H167" t="s">
        <v>14</v>
      </c>
      <c r="I167" s="2">
        <v>45067</v>
      </c>
      <c r="J167" s="2">
        <v>45103</v>
      </c>
      <c r="K167" t="s">
        <v>17</v>
      </c>
    </row>
    <row r="168" spans="1:11" x14ac:dyDescent="0.25">
      <c r="A168" t="s">
        <v>44</v>
      </c>
      <c r="B168" t="s">
        <v>12</v>
      </c>
      <c r="C168">
        <v>56</v>
      </c>
      <c r="D168">
        <v>77</v>
      </c>
      <c r="E168" t="s">
        <v>19</v>
      </c>
      <c r="F168" t="s">
        <v>170</v>
      </c>
      <c r="G168">
        <v>297.51</v>
      </c>
      <c r="H168" t="s">
        <v>14</v>
      </c>
      <c r="I168" s="2">
        <v>45193</v>
      </c>
      <c r="J168" s="2">
        <v>45277</v>
      </c>
      <c r="K168" t="s">
        <v>21</v>
      </c>
    </row>
    <row r="169" spans="1:11" x14ac:dyDescent="0.25">
      <c r="A169" t="s">
        <v>15</v>
      </c>
      <c r="B169" t="s">
        <v>23</v>
      </c>
      <c r="C169">
        <v>19</v>
      </c>
      <c r="D169">
        <v>52</v>
      </c>
      <c r="E169" t="s">
        <v>19</v>
      </c>
      <c r="F169" t="s">
        <v>174</v>
      </c>
      <c r="G169">
        <v>453.31</v>
      </c>
      <c r="H169" t="s">
        <v>14</v>
      </c>
      <c r="I169" s="2">
        <v>45196</v>
      </c>
      <c r="J169" s="2">
        <v>45255</v>
      </c>
      <c r="K169" t="s">
        <v>17</v>
      </c>
    </row>
    <row r="170" spans="1:11" x14ac:dyDescent="0.25">
      <c r="A170" t="s">
        <v>59</v>
      </c>
      <c r="B170" t="s">
        <v>23</v>
      </c>
      <c r="C170">
        <v>47</v>
      </c>
      <c r="D170">
        <v>78</v>
      </c>
      <c r="E170" t="s">
        <v>19</v>
      </c>
      <c r="F170" t="s">
        <v>170</v>
      </c>
      <c r="G170">
        <v>431</v>
      </c>
      <c r="H170" t="s">
        <v>14</v>
      </c>
      <c r="I170" s="2">
        <v>45054</v>
      </c>
      <c r="J170" s="2">
        <v>45111</v>
      </c>
      <c r="K170" t="s">
        <v>172</v>
      </c>
    </row>
    <row r="171" spans="1:11" x14ac:dyDescent="0.25">
      <c r="A171" t="s">
        <v>53</v>
      </c>
      <c r="B171" t="s">
        <v>30</v>
      </c>
      <c r="C171">
        <v>5</v>
      </c>
      <c r="D171">
        <v>77</v>
      </c>
      <c r="E171" t="s">
        <v>19</v>
      </c>
      <c r="F171" t="s">
        <v>174</v>
      </c>
      <c r="G171">
        <v>37.74</v>
      </c>
      <c r="H171" t="s">
        <v>14</v>
      </c>
      <c r="I171" s="2">
        <v>45156</v>
      </c>
      <c r="J171" s="2">
        <v>45209</v>
      </c>
      <c r="K171" t="s">
        <v>17</v>
      </c>
    </row>
    <row r="172" spans="1:11" x14ac:dyDescent="0.25">
      <c r="A172" t="s">
        <v>50</v>
      </c>
      <c r="B172" t="s">
        <v>30</v>
      </c>
      <c r="C172">
        <v>9</v>
      </c>
      <c r="D172">
        <v>39</v>
      </c>
      <c r="E172" t="s">
        <v>19</v>
      </c>
      <c r="F172" t="s">
        <v>170</v>
      </c>
      <c r="G172">
        <v>100.74</v>
      </c>
      <c r="H172" t="s">
        <v>26</v>
      </c>
      <c r="I172" s="2">
        <v>45087</v>
      </c>
      <c r="J172" s="2">
        <v>45117</v>
      </c>
      <c r="K172" t="s">
        <v>17</v>
      </c>
    </row>
    <row r="173" spans="1:11" x14ac:dyDescent="0.25">
      <c r="A173" t="s">
        <v>52</v>
      </c>
      <c r="B173" t="s">
        <v>16</v>
      </c>
      <c r="C173">
        <v>53</v>
      </c>
      <c r="D173">
        <v>72</v>
      </c>
      <c r="E173" t="s">
        <v>19</v>
      </c>
      <c r="F173" t="s">
        <v>174</v>
      </c>
      <c r="G173">
        <v>472.46</v>
      </c>
      <c r="H173" t="s">
        <v>14</v>
      </c>
      <c r="I173" s="2">
        <v>45100</v>
      </c>
      <c r="J173" s="2">
        <v>45144</v>
      </c>
      <c r="K173" t="s">
        <v>21</v>
      </c>
    </row>
    <row r="174" spans="1:11" x14ac:dyDescent="0.25">
      <c r="A174" t="s">
        <v>49</v>
      </c>
      <c r="B174" t="s">
        <v>16</v>
      </c>
      <c r="C174">
        <v>5</v>
      </c>
      <c r="D174">
        <v>39</v>
      </c>
      <c r="E174" t="s">
        <v>19</v>
      </c>
      <c r="F174" t="s">
        <v>174</v>
      </c>
      <c r="G174">
        <v>150.83000000000001</v>
      </c>
      <c r="H174" t="s">
        <v>20</v>
      </c>
      <c r="I174" s="2">
        <v>45169</v>
      </c>
      <c r="J174" s="2">
        <v>45196</v>
      </c>
    </row>
    <row r="175" spans="1:11" x14ac:dyDescent="0.25">
      <c r="A175" t="s">
        <v>33</v>
      </c>
      <c r="B175" t="s">
        <v>12</v>
      </c>
      <c r="C175">
        <v>11</v>
      </c>
      <c r="D175">
        <v>62</v>
      </c>
      <c r="E175" t="s">
        <v>19</v>
      </c>
      <c r="F175" t="s">
        <v>170</v>
      </c>
      <c r="G175">
        <v>364.11</v>
      </c>
      <c r="H175" t="s">
        <v>14</v>
      </c>
      <c r="I175" s="2">
        <v>44951</v>
      </c>
      <c r="J175" s="2">
        <v>45006</v>
      </c>
      <c r="K175" t="s">
        <v>17</v>
      </c>
    </row>
    <row r="176" spans="1:11" x14ac:dyDescent="0.25">
      <c r="A176" t="s">
        <v>38</v>
      </c>
      <c r="B176" t="s">
        <v>12</v>
      </c>
      <c r="C176">
        <v>38</v>
      </c>
      <c r="D176">
        <v>61</v>
      </c>
      <c r="E176" t="s">
        <v>19</v>
      </c>
      <c r="F176" t="s">
        <v>174</v>
      </c>
      <c r="G176">
        <v>72.66</v>
      </c>
      <c r="H176" t="s">
        <v>20</v>
      </c>
      <c r="I176" s="2">
        <v>45269</v>
      </c>
      <c r="J176" s="2">
        <v>45357</v>
      </c>
    </row>
    <row r="177" spans="1:11" x14ac:dyDescent="0.25">
      <c r="A177" t="s">
        <v>63</v>
      </c>
      <c r="B177" t="s">
        <v>16</v>
      </c>
      <c r="C177">
        <v>33</v>
      </c>
      <c r="D177">
        <v>36</v>
      </c>
      <c r="E177" t="s">
        <v>19</v>
      </c>
      <c r="F177" t="s">
        <v>173</v>
      </c>
      <c r="G177">
        <v>187.22</v>
      </c>
      <c r="H177" t="s">
        <v>20</v>
      </c>
      <c r="I177" s="2">
        <v>45215</v>
      </c>
      <c r="J177" s="2">
        <v>45271</v>
      </c>
      <c r="K177" t="s">
        <v>172</v>
      </c>
    </row>
    <row r="178" spans="1:11" x14ac:dyDescent="0.25">
      <c r="A178" t="s">
        <v>72</v>
      </c>
      <c r="B178" t="s">
        <v>23</v>
      </c>
      <c r="C178">
        <v>97</v>
      </c>
      <c r="D178">
        <v>99</v>
      </c>
      <c r="E178" t="s">
        <v>19</v>
      </c>
      <c r="F178" t="s">
        <v>174</v>
      </c>
      <c r="G178">
        <v>299.08</v>
      </c>
      <c r="H178" t="s">
        <v>14</v>
      </c>
      <c r="I178" s="2">
        <v>44936</v>
      </c>
      <c r="J178" s="2">
        <v>45017</v>
      </c>
    </row>
    <row r="179" spans="1:11" x14ac:dyDescent="0.25">
      <c r="A179" t="s">
        <v>53</v>
      </c>
      <c r="B179" t="s">
        <v>16</v>
      </c>
      <c r="C179">
        <v>62</v>
      </c>
      <c r="D179">
        <v>69</v>
      </c>
      <c r="E179" t="s">
        <v>19</v>
      </c>
      <c r="F179" t="s">
        <v>170</v>
      </c>
      <c r="G179">
        <v>324.61</v>
      </c>
      <c r="H179" t="s">
        <v>26</v>
      </c>
      <c r="I179" s="2">
        <v>45114</v>
      </c>
      <c r="J179" s="2">
        <v>45151</v>
      </c>
    </row>
    <row r="180" spans="1:11" x14ac:dyDescent="0.25">
      <c r="A180" t="s">
        <v>24</v>
      </c>
      <c r="B180" t="s">
        <v>12</v>
      </c>
      <c r="C180">
        <v>64</v>
      </c>
      <c r="D180">
        <v>82</v>
      </c>
      <c r="E180" t="s">
        <v>19</v>
      </c>
      <c r="F180" t="s">
        <v>174</v>
      </c>
      <c r="G180">
        <v>392.29</v>
      </c>
      <c r="H180" t="s">
        <v>26</v>
      </c>
      <c r="I180" s="2">
        <v>45103</v>
      </c>
      <c r="J180" s="2">
        <v>45156</v>
      </c>
      <c r="K180" t="s">
        <v>172</v>
      </c>
    </row>
    <row r="181" spans="1:11" x14ac:dyDescent="0.25">
      <c r="A181" t="s">
        <v>31</v>
      </c>
      <c r="B181" t="s">
        <v>12</v>
      </c>
      <c r="C181">
        <v>1</v>
      </c>
      <c r="D181">
        <v>54</v>
      </c>
      <c r="E181" t="s">
        <v>19</v>
      </c>
      <c r="F181" t="s">
        <v>173</v>
      </c>
      <c r="G181">
        <v>329.37</v>
      </c>
      <c r="H181" t="s">
        <v>14</v>
      </c>
      <c r="I181" s="2">
        <v>45124</v>
      </c>
      <c r="J181" s="2">
        <v>45148</v>
      </c>
    </row>
    <row r="182" spans="1:11" x14ac:dyDescent="0.25">
      <c r="A182" t="s">
        <v>57</v>
      </c>
      <c r="B182" t="s">
        <v>16</v>
      </c>
      <c r="C182">
        <v>13</v>
      </c>
      <c r="D182">
        <v>25</v>
      </c>
      <c r="E182" t="s">
        <v>19</v>
      </c>
      <c r="F182" t="s">
        <v>170</v>
      </c>
      <c r="G182">
        <v>330.36</v>
      </c>
      <c r="H182" t="s">
        <v>26</v>
      </c>
      <c r="I182" s="2">
        <v>45076</v>
      </c>
      <c r="J182" s="2">
        <v>45140</v>
      </c>
      <c r="K182" t="s">
        <v>21</v>
      </c>
    </row>
    <row r="183" spans="1:11" x14ac:dyDescent="0.25">
      <c r="A183" t="s">
        <v>32</v>
      </c>
      <c r="B183" t="s">
        <v>12</v>
      </c>
      <c r="C183">
        <v>39</v>
      </c>
      <c r="D183">
        <v>50</v>
      </c>
      <c r="E183" t="s">
        <v>19</v>
      </c>
      <c r="F183" t="s">
        <v>173</v>
      </c>
      <c r="G183">
        <v>487.12</v>
      </c>
      <c r="H183" t="s">
        <v>26</v>
      </c>
      <c r="I183" s="2">
        <v>45169</v>
      </c>
      <c r="J183" s="2">
        <v>45218</v>
      </c>
      <c r="K183" t="s">
        <v>21</v>
      </c>
    </row>
    <row r="184" spans="1:11" x14ac:dyDescent="0.25">
      <c r="A184" t="s">
        <v>35</v>
      </c>
      <c r="B184" t="s">
        <v>28</v>
      </c>
      <c r="C184">
        <v>20</v>
      </c>
      <c r="D184">
        <v>74</v>
      </c>
      <c r="E184" t="s">
        <v>19</v>
      </c>
      <c r="F184" t="s">
        <v>173</v>
      </c>
      <c r="G184">
        <v>257.12</v>
      </c>
      <c r="H184" t="s">
        <v>14</v>
      </c>
      <c r="I184" s="2">
        <v>45227</v>
      </c>
      <c r="J184" s="2">
        <v>45271</v>
      </c>
      <c r="K184" t="s">
        <v>17</v>
      </c>
    </row>
    <row r="185" spans="1:11" x14ac:dyDescent="0.25">
      <c r="A185" t="s">
        <v>49</v>
      </c>
      <c r="B185" t="s">
        <v>12</v>
      </c>
      <c r="C185">
        <v>15</v>
      </c>
      <c r="D185">
        <v>66</v>
      </c>
      <c r="E185" t="s">
        <v>19</v>
      </c>
      <c r="F185" t="s">
        <v>174</v>
      </c>
      <c r="G185">
        <v>76.87</v>
      </c>
      <c r="H185" t="s">
        <v>14</v>
      </c>
      <c r="I185" s="2">
        <v>45114</v>
      </c>
      <c r="J185" s="2">
        <v>45154</v>
      </c>
      <c r="K185" t="s">
        <v>17</v>
      </c>
    </row>
    <row r="186" spans="1:11" x14ac:dyDescent="0.25">
      <c r="A186" t="s">
        <v>54</v>
      </c>
      <c r="B186" t="s">
        <v>12</v>
      </c>
      <c r="C186">
        <v>47</v>
      </c>
      <c r="D186">
        <v>56</v>
      </c>
      <c r="E186" t="s">
        <v>19</v>
      </c>
      <c r="F186" t="s">
        <v>170</v>
      </c>
      <c r="G186">
        <v>353.47</v>
      </c>
      <c r="H186" t="s">
        <v>20</v>
      </c>
      <c r="I186" s="2">
        <v>44968</v>
      </c>
      <c r="J186" s="2">
        <v>44999</v>
      </c>
      <c r="K186" t="s">
        <v>21</v>
      </c>
    </row>
    <row r="187" spans="1:11" x14ac:dyDescent="0.25">
      <c r="A187" t="s">
        <v>39</v>
      </c>
      <c r="B187" t="s">
        <v>28</v>
      </c>
      <c r="C187">
        <v>54</v>
      </c>
      <c r="D187">
        <v>97</v>
      </c>
      <c r="E187" t="s">
        <v>19</v>
      </c>
      <c r="F187" t="s">
        <v>173</v>
      </c>
      <c r="G187">
        <v>465.04</v>
      </c>
      <c r="H187" t="s">
        <v>20</v>
      </c>
      <c r="I187" s="2">
        <v>45159</v>
      </c>
      <c r="J187" s="2">
        <v>45187</v>
      </c>
      <c r="K187" t="s">
        <v>21</v>
      </c>
    </row>
    <row r="188" spans="1:11" x14ac:dyDescent="0.25">
      <c r="A188" t="s">
        <v>58</v>
      </c>
      <c r="B188" t="s">
        <v>16</v>
      </c>
      <c r="C188">
        <v>61</v>
      </c>
      <c r="D188">
        <v>82</v>
      </c>
      <c r="E188" t="s">
        <v>19</v>
      </c>
      <c r="F188" t="s">
        <v>174</v>
      </c>
      <c r="G188">
        <v>241.96</v>
      </c>
      <c r="H188" t="s">
        <v>26</v>
      </c>
      <c r="I188" s="2">
        <v>44952</v>
      </c>
      <c r="J188" s="2">
        <v>44972</v>
      </c>
      <c r="K188" t="s">
        <v>172</v>
      </c>
    </row>
    <row r="189" spans="1:11" x14ac:dyDescent="0.25">
      <c r="A189" t="s">
        <v>36</v>
      </c>
      <c r="B189" t="s">
        <v>12</v>
      </c>
      <c r="C189">
        <v>22</v>
      </c>
      <c r="D189">
        <v>92</v>
      </c>
      <c r="E189" t="s">
        <v>19</v>
      </c>
      <c r="F189" t="s">
        <v>173</v>
      </c>
      <c r="G189">
        <v>400.69</v>
      </c>
      <c r="H189" t="s">
        <v>20</v>
      </c>
      <c r="I189" s="2">
        <v>44999</v>
      </c>
      <c r="J189" s="2">
        <v>45088</v>
      </c>
      <c r="K189" t="s">
        <v>172</v>
      </c>
    </row>
    <row r="190" spans="1:11" x14ac:dyDescent="0.25">
      <c r="A190" t="s">
        <v>41</v>
      </c>
      <c r="B190" t="s">
        <v>16</v>
      </c>
      <c r="C190">
        <v>38</v>
      </c>
      <c r="D190">
        <v>53</v>
      </c>
      <c r="E190" t="s">
        <v>19</v>
      </c>
      <c r="F190" t="s">
        <v>170</v>
      </c>
      <c r="G190">
        <v>138.38</v>
      </c>
      <c r="H190" t="s">
        <v>26</v>
      </c>
      <c r="I190" s="2">
        <v>44957</v>
      </c>
      <c r="J190" s="2">
        <v>44979</v>
      </c>
      <c r="K190" t="s">
        <v>17</v>
      </c>
    </row>
    <row r="191" spans="1:11" x14ac:dyDescent="0.25">
      <c r="A191" t="s">
        <v>62</v>
      </c>
      <c r="B191" t="s">
        <v>16</v>
      </c>
      <c r="C191">
        <v>13</v>
      </c>
      <c r="D191">
        <v>20</v>
      </c>
      <c r="E191" t="s">
        <v>19</v>
      </c>
      <c r="F191" t="s">
        <v>173</v>
      </c>
      <c r="G191">
        <v>442.84</v>
      </c>
      <c r="H191" t="s">
        <v>14</v>
      </c>
      <c r="I191" s="2">
        <v>44955</v>
      </c>
      <c r="J191" s="2">
        <v>45044</v>
      </c>
      <c r="K191" t="s">
        <v>172</v>
      </c>
    </row>
    <row r="192" spans="1:11" x14ac:dyDescent="0.25">
      <c r="A192" t="s">
        <v>56</v>
      </c>
      <c r="B192" t="s">
        <v>28</v>
      </c>
      <c r="C192">
        <v>54</v>
      </c>
      <c r="D192">
        <v>81</v>
      </c>
      <c r="E192" t="s">
        <v>19</v>
      </c>
      <c r="F192" t="s">
        <v>174</v>
      </c>
      <c r="G192">
        <v>263.95</v>
      </c>
      <c r="H192" t="s">
        <v>20</v>
      </c>
      <c r="I192" s="2">
        <v>45267</v>
      </c>
      <c r="J192" s="2">
        <v>45290</v>
      </c>
      <c r="K192" t="s">
        <v>172</v>
      </c>
    </row>
    <row r="193" spans="1:11" x14ac:dyDescent="0.25">
      <c r="A193" t="s">
        <v>56</v>
      </c>
      <c r="B193" t="s">
        <v>28</v>
      </c>
      <c r="C193">
        <v>19</v>
      </c>
      <c r="D193">
        <v>30</v>
      </c>
      <c r="E193" t="s">
        <v>19</v>
      </c>
      <c r="F193" t="s">
        <v>170</v>
      </c>
      <c r="G193">
        <v>24.25</v>
      </c>
      <c r="H193" t="s">
        <v>20</v>
      </c>
      <c r="I193" s="2">
        <v>45104</v>
      </c>
      <c r="J193" s="2">
        <v>45138</v>
      </c>
      <c r="K193" t="s">
        <v>172</v>
      </c>
    </row>
    <row r="194" spans="1:11" x14ac:dyDescent="0.25">
      <c r="A194" t="s">
        <v>71</v>
      </c>
      <c r="B194" t="s">
        <v>30</v>
      </c>
      <c r="C194">
        <v>6</v>
      </c>
      <c r="D194">
        <v>96</v>
      </c>
      <c r="E194" t="s">
        <v>19</v>
      </c>
      <c r="F194" t="s">
        <v>173</v>
      </c>
      <c r="G194">
        <v>224.21</v>
      </c>
      <c r="H194" t="s">
        <v>14</v>
      </c>
      <c r="I194" s="2">
        <v>44946</v>
      </c>
      <c r="J194" s="2">
        <v>44989</v>
      </c>
      <c r="K194" t="s">
        <v>172</v>
      </c>
    </row>
    <row r="195" spans="1:11" x14ac:dyDescent="0.25">
      <c r="A195" t="s">
        <v>50</v>
      </c>
      <c r="B195" t="s">
        <v>16</v>
      </c>
      <c r="C195">
        <v>0</v>
      </c>
      <c r="D195">
        <v>44</v>
      </c>
      <c r="E195" t="s">
        <v>19</v>
      </c>
      <c r="F195" t="s">
        <v>170</v>
      </c>
      <c r="G195">
        <v>104.39</v>
      </c>
      <c r="H195" t="s">
        <v>20</v>
      </c>
      <c r="I195" s="2">
        <v>45276</v>
      </c>
      <c r="J195" s="2">
        <v>45321</v>
      </c>
    </row>
    <row r="196" spans="1:11" x14ac:dyDescent="0.25">
      <c r="A196" t="s">
        <v>35</v>
      </c>
      <c r="B196" t="s">
        <v>28</v>
      </c>
      <c r="C196">
        <v>3</v>
      </c>
      <c r="D196">
        <v>65</v>
      </c>
      <c r="E196" t="s">
        <v>19</v>
      </c>
      <c r="F196" t="s">
        <v>170</v>
      </c>
      <c r="G196">
        <v>418.9</v>
      </c>
      <c r="H196" t="s">
        <v>20</v>
      </c>
      <c r="I196" s="2">
        <v>44998</v>
      </c>
      <c r="J196" s="2">
        <v>45022</v>
      </c>
      <c r="K196" t="s">
        <v>17</v>
      </c>
    </row>
    <row r="197" spans="1:11" x14ac:dyDescent="0.25">
      <c r="A197" t="s">
        <v>50</v>
      </c>
      <c r="B197" t="s">
        <v>28</v>
      </c>
      <c r="C197">
        <v>17</v>
      </c>
      <c r="D197">
        <v>36</v>
      </c>
      <c r="E197" t="s">
        <v>19</v>
      </c>
      <c r="F197" t="s">
        <v>170</v>
      </c>
      <c r="G197">
        <v>92.61</v>
      </c>
      <c r="H197" t="s">
        <v>14</v>
      </c>
      <c r="I197" s="2">
        <v>45186</v>
      </c>
      <c r="J197" s="2">
        <v>45202</v>
      </c>
      <c r="K197" t="s">
        <v>21</v>
      </c>
    </row>
    <row r="198" spans="1:11" x14ac:dyDescent="0.25">
      <c r="A198" t="s">
        <v>36</v>
      </c>
      <c r="B198" t="s">
        <v>12</v>
      </c>
      <c r="C198">
        <v>23</v>
      </c>
      <c r="D198">
        <v>85</v>
      </c>
      <c r="E198" t="s">
        <v>19</v>
      </c>
      <c r="F198" t="s">
        <v>174</v>
      </c>
      <c r="G198">
        <v>103.28</v>
      </c>
      <c r="H198" t="s">
        <v>14</v>
      </c>
      <c r="I198" s="2">
        <v>44954</v>
      </c>
      <c r="J198" s="2">
        <v>44969</v>
      </c>
      <c r="K198" t="s">
        <v>21</v>
      </c>
    </row>
    <row r="199" spans="1:11" x14ac:dyDescent="0.25">
      <c r="A199" t="s">
        <v>71</v>
      </c>
      <c r="B199" t="s">
        <v>23</v>
      </c>
      <c r="C199">
        <v>5</v>
      </c>
      <c r="D199">
        <v>49</v>
      </c>
      <c r="E199" t="s">
        <v>19</v>
      </c>
      <c r="F199" t="s">
        <v>173</v>
      </c>
      <c r="G199">
        <v>417.56</v>
      </c>
      <c r="H199" t="s">
        <v>14</v>
      </c>
      <c r="I199" s="2">
        <v>45241</v>
      </c>
      <c r="J199" s="2">
        <v>45307</v>
      </c>
      <c r="K199" t="s">
        <v>172</v>
      </c>
    </row>
    <row r="200" spans="1:11" x14ac:dyDescent="0.25">
      <c r="A200" t="s">
        <v>54</v>
      </c>
      <c r="B200" t="s">
        <v>12</v>
      </c>
      <c r="C200">
        <v>23</v>
      </c>
      <c r="D200">
        <v>41</v>
      </c>
      <c r="E200" t="s">
        <v>19</v>
      </c>
      <c r="F200" t="s">
        <v>170</v>
      </c>
      <c r="G200">
        <v>112.62</v>
      </c>
      <c r="H200" t="s">
        <v>20</v>
      </c>
      <c r="I200" s="2">
        <v>45213</v>
      </c>
      <c r="J200" s="2">
        <v>45263</v>
      </c>
      <c r="K200" t="s">
        <v>17</v>
      </c>
    </row>
    <row r="201" spans="1:11" x14ac:dyDescent="0.25">
      <c r="A201" t="s">
        <v>25</v>
      </c>
      <c r="B201" t="s">
        <v>23</v>
      </c>
      <c r="C201">
        <v>25</v>
      </c>
      <c r="D201">
        <v>29</v>
      </c>
      <c r="E201" t="s">
        <v>19</v>
      </c>
      <c r="F201" t="s">
        <v>170</v>
      </c>
      <c r="G201">
        <v>362.59</v>
      </c>
      <c r="H201" t="s">
        <v>20</v>
      </c>
      <c r="I201" s="2">
        <v>45124</v>
      </c>
      <c r="J201" s="2">
        <v>45177</v>
      </c>
      <c r="K201" t="s">
        <v>21</v>
      </c>
    </row>
    <row r="202" spans="1:11" x14ac:dyDescent="0.25">
      <c r="A202" t="s">
        <v>46</v>
      </c>
      <c r="B202" t="s">
        <v>16</v>
      </c>
      <c r="C202">
        <v>57</v>
      </c>
      <c r="D202">
        <v>87</v>
      </c>
      <c r="E202" t="s">
        <v>19</v>
      </c>
      <c r="F202" t="s">
        <v>174</v>
      </c>
      <c r="G202">
        <v>393.69</v>
      </c>
      <c r="H202" t="s">
        <v>26</v>
      </c>
      <c r="I202" s="2">
        <v>45105</v>
      </c>
      <c r="J202" s="2">
        <v>45173</v>
      </c>
      <c r="K202" t="s">
        <v>17</v>
      </c>
    </row>
    <row r="203" spans="1:11" x14ac:dyDescent="0.25">
      <c r="A203" t="s">
        <v>25</v>
      </c>
      <c r="B203" t="s">
        <v>16</v>
      </c>
      <c r="C203">
        <v>60</v>
      </c>
      <c r="D203">
        <v>78</v>
      </c>
      <c r="E203" t="s">
        <v>19</v>
      </c>
      <c r="F203" t="s">
        <v>170</v>
      </c>
      <c r="G203">
        <v>65.290000000000006</v>
      </c>
      <c r="H203" t="s">
        <v>26</v>
      </c>
      <c r="I203" s="2">
        <v>45020</v>
      </c>
      <c r="J203" s="2">
        <v>45047</v>
      </c>
      <c r="K203" t="s">
        <v>172</v>
      </c>
    </row>
    <row r="204" spans="1:11" x14ac:dyDescent="0.25">
      <c r="A204" t="s">
        <v>38</v>
      </c>
      <c r="B204" t="s">
        <v>16</v>
      </c>
      <c r="C204">
        <v>5</v>
      </c>
      <c r="D204">
        <v>97</v>
      </c>
      <c r="E204" t="s">
        <v>19</v>
      </c>
      <c r="F204" t="s">
        <v>170</v>
      </c>
      <c r="G204">
        <v>498.09</v>
      </c>
      <c r="H204" t="s">
        <v>26</v>
      </c>
      <c r="I204" s="2">
        <v>45262</v>
      </c>
      <c r="J204" s="2">
        <v>45314</v>
      </c>
      <c r="K204" t="s">
        <v>17</v>
      </c>
    </row>
    <row r="205" spans="1:11" x14ac:dyDescent="0.25">
      <c r="A205" t="s">
        <v>37</v>
      </c>
      <c r="B205" t="s">
        <v>28</v>
      </c>
      <c r="C205">
        <v>60</v>
      </c>
      <c r="D205">
        <v>62</v>
      </c>
      <c r="E205" t="s">
        <v>19</v>
      </c>
      <c r="F205" t="s">
        <v>173</v>
      </c>
      <c r="G205">
        <v>258.04000000000002</v>
      </c>
      <c r="H205" t="s">
        <v>14</v>
      </c>
      <c r="I205" s="2">
        <v>45081</v>
      </c>
      <c r="J205" s="2">
        <v>45104</v>
      </c>
    </row>
    <row r="206" spans="1:11" x14ac:dyDescent="0.25">
      <c r="A206" t="s">
        <v>52</v>
      </c>
      <c r="B206" t="s">
        <v>16</v>
      </c>
      <c r="C206">
        <v>6</v>
      </c>
      <c r="D206">
        <v>96</v>
      </c>
      <c r="E206" t="s">
        <v>19</v>
      </c>
      <c r="F206" t="s">
        <v>174</v>
      </c>
      <c r="G206">
        <v>181.36</v>
      </c>
      <c r="H206" t="s">
        <v>26</v>
      </c>
      <c r="I206" s="2">
        <v>45140</v>
      </c>
      <c r="J206" s="2">
        <v>45166</v>
      </c>
      <c r="K206" t="s">
        <v>172</v>
      </c>
    </row>
    <row r="207" spans="1:11" x14ac:dyDescent="0.25">
      <c r="A207" t="s">
        <v>51</v>
      </c>
      <c r="B207" t="s">
        <v>28</v>
      </c>
      <c r="C207">
        <v>1</v>
      </c>
      <c r="D207">
        <v>81</v>
      </c>
      <c r="E207" t="s">
        <v>19</v>
      </c>
      <c r="F207" t="s">
        <v>173</v>
      </c>
      <c r="G207">
        <v>438.83</v>
      </c>
      <c r="H207" t="s">
        <v>20</v>
      </c>
      <c r="I207" s="2">
        <v>45119</v>
      </c>
      <c r="J207" s="2">
        <v>45194</v>
      </c>
      <c r="K207" t="s">
        <v>172</v>
      </c>
    </row>
    <row r="208" spans="1:11" x14ac:dyDescent="0.25">
      <c r="A208" t="s">
        <v>62</v>
      </c>
      <c r="B208" t="s">
        <v>28</v>
      </c>
      <c r="C208">
        <v>80</v>
      </c>
      <c r="D208">
        <v>88</v>
      </c>
      <c r="E208" t="s">
        <v>19</v>
      </c>
      <c r="F208" t="s">
        <v>173</v>
      </c>
      <c r="G208">
        <v>270.45</v>
      </c>
      <c r="H208" t="s">
        <v>20</v>
      </c>
      <c r="I208" s="2">
        <v>44950</v>
      </c>
      <c r="J208" s="2">
        <v>45006</v>
      </c>
    </row>
    <row r="209" spans="1:11" x14ac:dyDescent="0.25">
      <c r="A209" t="s">
        <v>56</v>
      </c>
      <c r="B209" t="s">
        <v>16</v>
      </c>
      <c r="C209">
        <v>23</v>
      </c>
      <c r="D209">
        <v>49</v>
      </c>
      <c r="E209" t="s">
        <v>19</v>
      </c>
      <c r="F209" t="s">
        <v>173</v>
      </c>
      <c r="G209">
        <v>375.21</v>
      </c>
      <c r="H209" t="s">
        <v>20</v>
      </c>
      <c r="I209" s="2">
        <v>45215</v>
      </c>
      <c r="J209" s="2">
        <v>45281</v>
      </c>
      <c r="K209" t="s">
        <v>21</v>
      </c>
    </row>
    <row r="210" spans="1:11" x14ac:dyDescent="0.25">
      <c r="A210" t="s">
        <v>22</v>
      </c>
      <c r="B210" t="s">
        <v>23</v>
      </c>
      <c r="C210">
        <v>45</v>
      </c>
      <c r="D210">
        <v>64</v>
      </c>
      <c r="E210" t="s">
        <v>19</v>
      </c>
      <c r="F210" t="s">
        <v>174</v>
      </c>
      <c r="G210">
        <v>66.569999999999993</v>
      </c>
      <c r="H210" t="s">
        <v>14</v>
      </c>
      <c r="I210" s="2">
        <v>45114</v>
      </c>
      <c r="J210" s="2">
        <v>45142</v>
      </c>
      <c r="K210" t="s">
        <v>172</v>
      </c>
    </row>
    <row r="211" spans="1:11" x14ac:dyDescent="0.25">
      <c r="A211" t="s">
        <v>57</v>
      </c>
      <c r="B211" t="s">
        <v>23</v>
      </c>
      <c r="C211">
        <v>12</v>
      </c>
      <c r="D211">
        <v>49</v>
      </c>
      <c r="E211" t="s">
        <v>19</v>
      </c>
      <c r="F211" t="s">
        <v>170</v>
      </c>
      <c r="G211">
        <v>117.82</v>
      </c>
      <c r="H211" t="s">
        <v>14</v>
      </c>
      <c r="I211" s="2">
        <v>45147</v>
      </c>
      <c r="J211" s="2">
        <v>45180</v>
      </c>
    </row>
    <row r="212" spans="1:11" x14ac:dyDescent="0.25">
      <c r="A212" t="s">
        <v>66</v>
      </c>
      <c r="B212" t="s">
        <v>30</v>
      </c>
      <c r="C212">
        <v>72</v>
      </c>
      <c r="D212">
        <v>76</v>
      </c>
      <c r="E212" t="s">
        <v>19</v>
      </c>
      <c r="F212" t="s">
        <v>174</v>
      </c>
      <c r="G212">
        <v>282.24</v>
      </c>
      <c r="H212" t="s">
        <v>14</v>
      </c>
      <c r="I212" s="2">
        <v>45277</v>
      </c>
      <c r="J212" s="2">
        <v>45303</v>
      </c>
    </row>
    <row r="213" spans="1:11" x14ac:dyDescent="0.25">
      <c r="A213" t="s">
        <v>63</v>
      </c>
      <c r="B213" t="s">
        <v>23</v>
      </c>
      <c r="C213">
        <v>14</v>
      </c>
      <c r="D213">
        <v>85</v>
      </c>
      <c r="E213" t="s">
        <v>19</v>
      </c>
      <c r="F213" t="s">
        <v>174</v>
      </c>
      <c r="G213">
        <v>10</v>
      </c>
      <c r="H213" t="s">
        <v>20</v>
      </c>
      <c r="I213" s="2">
        <v>45105</v>
      </c>
      <c r="J213" s="2">
        <v>45151</v>
      </c>
    </row>
    <row r="214" spans="1:11" x14ac:dyDescent="0.25">
      <c r="A214" t="s">
        <v>65</v>
      </c>
      <c r="B214" t="s">
        <v>12</v>
      </c>
      <c r="C214">
        <v>28</v>
      </c>
      <c r="D214">
        <v>75</v>
      </c>
      <c r="E214" t="s">
        <v>19</v>
      </c>
      <c r="F214" t="s">
        <v>173</v>
      </c>
      <c r="G214">
        <v>133.82</v>
      </c>
      <c r="H214" t="s">
        <v>20</v>
      </c>
      <c r="I214" s="2">
        <v>45154</v>
      </c>
      <c r="J214" s="2">
        <v>45181</v>
      </c>
    </row>
    <row r="215" spans="1:11" x14ac:dyDescent="0.25">
      <c r="A215" t="s">
        <v>38</v>
      </c>
      <c r="B215" t="s">
        <v>12</v>
      </c>
      <c r="C215">
        <v>52</v>
      </c>
      <c r="D215">
        <v>54</v>
      </c>
      <c r="E215" t="s">
        <v>19</v>
      </c>
      <c r="F215" t="s">
        <v>170</v>
      </c>
      <c r="G215">
        <v>182.03</v>
      </c>
      <c r="H215" t="s">
        <v>26</v>
      </c>
      <c r="I215" s="2">
        <v>45266</v>
      </c>
      <c r="J215" s="2">
        <v>45354</v>
      </c>
    </row>
    <row r="216" spans="1:11" x14ac:dyDescent="0.25">
      <c r="A216" t="s">
        <v>22</v>
      </c>
      <c r="B216" t="s">
        <v>28</v>
      </c>
      <c r="C216">
        <v>60</v>
      </c>
      <c r="D216">
        <v>80</v>
      </c>
      <c r="E216" t="s">
        <v>19</v>
      </c>
      <c r="F216" t="s">
        <v>174</v>
      </c>
      <c r="G216">
        <v>316.06</v>
      </c>
      <c r="H216" t="s">
        <v>20</v>
      </c>
      <c r="I216" s="2">
        <v>45004</v>
      </c>
      <c r="J216" s="2">
        <v>45019</v>
      </c>
      <c r="K216" t="s">
        <v>17</v>
      </c>
    </row>
    <row r="217" spans="1:11" x14ac:dyDescent="0.25">
      <c r="A217" t="s">
        <v>18</v>
      </c>
      <c r="B217" t="s">
        <v>28</v>
      </c>
      <c r="C217">
        <v>65</v>
      </c>
      <c r="D217">
        <v>68</v>
      </c>
      <c r="E217" t="s">
        <v>19</v>
      </c>
      <c r="F217" t="s">
        <v>174</v>
      </c>
      <c r="G217">
        <v>283.48</v>
      </c>
      <c r="H217" t="s">
        <v>20</v>
      </c>
      <c r="I217" s="2">
        <v>44970</v>
      </c>
      <c r="J217" s="2">
        <v>45050</v>
      </c>
      <c r="K217" t="s">
        <v>21</v>
      </c>
    </row>
    <row r="218" spans="1:11" x14ac:dyDescent="0.25">
      <c r="A218" t="s">
        <v>29</v>
      </c>
      <c r="B218" t="s">
        <v>23</v>
      </c>
      <c r="C218">
        <v>12</v>
      </c>
      <c r="D218">
        <v>37</v>
      </c>
      <c r="E218" t="s">
        <v>19</v>
      </c>
      <c r="F218" t="s">
        <v>170</v>
      </c>
      <c r="G218">
        <v>488.99</v>
      </c>
      <c r="H218" t="s">
        <v>20</v>
      </c>
      <c r="I218" s="2">
        <v>45224</v>
      </c>
      <c r="J218" s="2">
        <v>45312</v>
      </c>
      <c r="K218" t="s">
        <v>172</v>
      </c>
    </row>
    <row r="219" spans="1:11" x14ac:dyDescent="0.25">
      <c r="A219" t="s">
        <v>71</v>
      </c>
      <c r="B219" t="s">
        <v>30</v>
      </c>
      <c r="C219">
        <v>6</v>
      </c>
      <c r="D219">
        <v>58</v>
      </c>
      <c r="E219" t="s">
        <v>19</v>
      </c>
      <c r="F219" t="s">
        <v>174</v>
      </c>
      <c r="G219">
        <v>7.97</v>
      </c>
      <c r="H219" t="s">
        <v>14</v>
      </c>
      <c r="I219" s="2">
        <v>44931</v>
      </c>
      <c r="J219" s="2">
        <v>44946</v>
      </c>
      <c r="K219" t="s">
        <v>172</v>
      </c>
    </row>
    <row r="220" spans="1:11" x14ac:dyDescent="0.25">
      <c r="A220" t="s">
        <v>46</v>
      </c>
      <c r="B220" t="s">
        <v>23</v>
      </c>
      <c r="C220">
        <v>55</v>
      </c>
      <c r="D220">
        <v>92</v>
      </c>
      <c r="E220" t="s">
        <v>19</v>
      </c>
      <c r="F220" t="s">
        <v>173</v>
      </c>
      <c r="G220">
        <v>432.04</v>
      </c>
      <c r="H220" t="s">
        <v>14</v>
      </c>
      <c r="I220" s="2">
        <v>45130</v>
      </c>
      <c r="J220" s="2">
        <v>45182</v>
      </c>
      <c r="K220" t="s">
        <v>172</v>
      </c>
    </row>
    <row r="221" spans="1:11" x14ac:dyDescent="0.25">
      <c r="A221" t="s">
        <v>53</v>
      </c>
      <c r="B221" t="s">
        <v>16</v>
      </c>
      <c r="C221">
        <v>48</v>
      </c>
      <c r="D221">
        <v>80</v>
      </c>
      <c r="E221" t="s">
        <v>19</v>
      </c>
      <c r="F221" t="s">
        <v>174</v>
      </c>
      <c r="G221">
        <v>302.49</v>
      </c>
      <c r="H221" t="s">
        <v>26</v>
      </c>
      <c r="I221" s="2">
        <v>45220</v>
      </c>
      <c r="J221" s="2">
        <v>45305</v>
      </c>
    </row>
    <row r="222" spans="1:11" x14ac:dyDescent="0.25">
      <c r="A222" t="s">
        <v>68</v>
      </c>
      <c r="B222" t="s">
        <v>16</v>
      </c>
      <c r="C222">
        <v>26</v>
      </c>
      <c r="D222">
        <v>67</v>
      </c>
      <c r="E222" t="s">
        <v>19</v>
      </c>
      <c r="F222" t="s">
        <v>174</v>
      </c>
      <c r="G222">
        <v>475.03</v>
      </c>
      <c r="H222" t="s">
        <v>20</v>
      </c>
      <c r="I222" s="2">
        <v>44962</v>
      </c>
      <c r="J222" s="2">
        <v>45049</v>
      </c>
      <c r="K222" t="s">
        <v>17</v>
      </c>
    </row>
    <row r="223" spans="1:11" x14ac:dyDescent="0.25">
      <c r="A223" t="s">
        <v>45</v>
      </c>
      <c r="B223" t="s">
        <v>30</v>
      </c>
      <c r="C223">
        <v>14</v>
      </c>
      <c r="D223">
        <v>58</v>
      </c>
      <c r="E223" t="s">
        <v>19</v>
      </c>
      <c r="F223" t="s">
        <v>170</v>
      </c>
      <c r="G223">
        <v>352.23</v>
      </c>
      <c r="H223" t="s">
        <v>14</v>
      </c>
      <c r="I223" s="2">
        <v>45176</v>
      </c>
      <c r="J223" s="2">
        <v>45198</v>
      </c>
      <c r="K223" t="s">
        <v>172</v>
      </c>
    </row>
    <row r="224" spans="1:11" x14ac:dyDescent="0.25">
      <c r="A224" t="s">
        <v>60</v>
      </c>
      <c r="B224" t="s">
        <v>12</v>
      </c>
      <c r="C224">
        <v>44</v>
      </c>
      <c r="D224">
        <v>81</v>
      </c>
      <c r="E224" t="s">
        <v>19</v>
      </c>
      <c r="F224" t="s">
        <v>170</v>
      </c>
      <c r="G224">
        <v>149.02000000000001</v>
      </c>
      <c r="H224" t="s">
        <v>26</v>
      </c>
      <c r="I224" s="2">
        <v>45025</v>
      </c>
      <c r="J224" s="2">
        <v>45101</v>
      </c>
      <c r="K224" t="s">
        <v>17</v>
      </c>
    </row>
    <row r="225" spans="1:11" x14ac:dyDescent="0.25">
      <c r="A225" t="s">
        <v>48</v>
      </c>
      <c r="B225" t="s">
        <v>12</v>
      </c>
      <c r="C225">
        <v>35</v>
      </c>
      <c r="D225">
        <v>54</v>
      </c>
      <c r="E225" t="s">
        <v>19</v>
      </c>
      <c r="F225" t="s">
        <v>170</v>
      </c>
      <c r="G225">
        <v>346.89</v>
      </c>
      <c r="H225" t="s">
        <v>14</v>
      </c>
      <c r="I225" s="2">
        <v>45274</v>
      </c>
      <c r="J225" s="2">
        <v>45338</v>
      </c>
      <c r="K225" t="s">
        <v>21</v>
      </c>
    </row>
    <row r="226" spans="1:11" x14ac:dyDescent="0.25">
      <c r="A226" t="s">
        <v>44</v>
      </c>
      <c r="B226" t="s">
        <v>23</v>
      </c>
      <c r="C226">
        <v>37</v>
      </c>
      <c r="D226">
        <v>71</v>
      </c>
      <c r="E226" t="s">
        <v>19</v>
      </c>
      <c r="F226" t="s">
        <v>174</v>
      </c>
      <c r="G226">
        <v>221.14</v>
      </c>
      <c r="H226" t="s">
        <v>26</v>
      </c>
      <c r="I226" s="2">
        <v>45230</v>
      </c>
      <c r="J226" s="2">
        <v>45271</v>
      </c>
      <c r="K226" t="s">
        <v>17</v>
      </c>
    </row>
    <row r="227" spans="1:11" x14ac:dyDescent="0.25">
      <c r="A227" t="s">
        <v>63</v>
      </c>
      <c r="B227" t="s">
        <v>28</v>
      </c>
      <c r="C227">
        <v>0</v>
      </c>
      <c r="D227">
        <v>20</v>
      </c>
      <c r="E227" t="s">
        <v>19</v>
      </c>
      <c r="F227" t="s">
        <v>174</v>
      </c>
      <c r="G227">
        <v>432.75</v>
      </c>
      <c r="H227" t="s">
        <v>26</v>
      </c>
      <c r="I227" s="2">
        <v>45227</v>
      </c>
      <c r="J227" s="2">
        <v>45242</v>
      </c>
      <c r="K227" t="s">
        <v>21</v>
      </c>
    </row>
    <row r="228" spans="1:11" x14ac:dyDescent="0.25">
      <c r="A228" t="s">
        <v>15</v>
      </c>
      <c r="B228" t="s">
        <v>28</v>
      </c>
      <c r="C228">
        <v>42</v>
      </c>
      <c r="D228">
        <v>59</v>
      </c>
      <c r="E228" t="s">
        <v>19</v>
      </c>
      <c r="F228" t="s">
        <v>170</v>
      </c>
      <c r="G228">
        <v>196.19</v>
      </c>
      <c r="H228" t="s">
        <v>20</v>
      </c>
      <c r="I228" s="2">
        <v>44961</v>
      </c>
      <c r="J228" s="2">
        <v>45023</v>
      </c>
      <c r="K228" t="s">
        <v>17</v>
      </c>
    </row>
    <row r="229" spans="1:11" x14ac:dyDescent="0.25">
      <c r="A229" t="s">
        <v>56</v>
      </c>
      <c r="B229" t="s">
        <v>28</v>
      </c>
      <c r="C229">
        <v>8</v>
      </c>
      <c r="D229">
        <v>35</v>
      </c>
      <c r="E229" t="s">
        <v>19</v>
      </c>
      <c r="F229" t="s">
        <v>174</v>
      </c>
      <c r="G229">
        <v>276.33</v>
      </c>
      <c r="H229" t="s">
        <v>20</v>
      </c>
      <c r="I229" s="2">
        <v>45047</v>
      </c>
      <c r="J229" s="2">
        <v>45081</v>
      </c>
      <c r="K229" t="s">
        <v>172</v>
      </c>
    </row>
    <row r="230" spans="1:11" x14ac:dyDescent="0.25">
      <c r="A230" t="s">
        <v>25</v>
      </c>
      <c r="B230" t="s">
        <v>28</v>
      </c>
      <c r="C230">
        <v>60</v>
      </c>
      <c r="D230">
        <v>77</v>
      </c>
      <c r="E230" t="s">
        <v>19</v>
      </c>
      <c r="F230" t="s">
        <v>173</v>
      </c>
      <c r="G230">
        <v>490.97</v>
      </c>
      <c r="H230" t="s">
        <v>20</v>
      </c>
      <c r="I230" s="2">
        <v>44958</v>
      </c>
      <c r="J230" s="2">
        <v>44977</v>
      </c>
      <c r="K230" t="s">
        <v>21</v>
      </c>
    </row>
    <row r="231" spans="1:11" x14ac:dyDescent="0.25">
      <c r="A231" t="s">
        <v>53</v>
      </c>
      <c r="B231" t="s">
        <v>30</v>
      </c>
      <c r="C231">
        <v>47</v>
      </c>
      <c r="D231">
        <v>69</v>
      </c>
      <c r="E231" t="s">
        <v>19</v>
      </c>
      <c r="F231" t="s">
        <v>173</v>
      </c>
      <c r="G231">
        <v>7.88</v>
      </c>
      <c r="H231" t="s">
        <v>26</v>
      </c>
      <c r="I231" s="2">
        <v>45283</v>
      </c>
      <c r="J231" s="2">
        <v>45361</v>
      </c>
      <c r="K231" t="s">
        <v>17</v>
      </c>
    </row>
    <row r="232" spans="1:11" x14ac:dyDescent="0.25">
      <c r="A232" t="s">
        <v>34</v>
      </c>
      <c r="B232" t="s">
        <v>16</v>
      </c>
      <c r="C232">
        <v>42</v>
      </c>
      <c r="D232">
        <v>46</v>
      </c>
      <c r="E232" t="s">
        <v>19</v>
      </c>
      <c r="F232" t="s">
        <v>173</v>
      </c>
      <c r="G232">
        <v>225.92</v>
      </c>
      <c r="H232" t="s">
        <v>14</v>
      </c>
      <c r="I232" s="2">
        <v>45057</v>
      </c>
      <c r="J232" s="2">
        <v>45090</v>
      </c>
    </row>
    <row r="233" spans="1:11" x14ac:dyDescent="0.25">
      <c r="A233" t="s">
        <v>46</v>
      </c>
      <c r="B233" t="s">
        <v>12</v>
      </c>
      <c r="C233">
        <v>22</v>
      </c>
      <c r="D233">
        <v>28</v>
      </c>
      <c r="E233" t="s">
        <v>19</v>
      </c>
      <c r="F233" t="s">
        <v>174</v>
      </c>
      <c r="G233">
        <v>113.44</v>
      </c>
      <c r="H233" t="s">
        <v>14</v>
      </c>
      <c r="I233" s="2">
        <v>45202</v>
      </c>
      <c r="J233" s="2">
        <v>45230</v>
      </c>
    </row>
    <row r="234" spans="1:11" x14ac:dyDescent="0.25">
      <c r="A234" t="s">
        <v>33</v>
      </c>
      <c r="B234" t="s">
        <v>16</v>
      </c>
      <c r="C234">
        <v>20</v>
      </c>
      <c r="D234">
        <v>79</v>
      </c>
      <c r="E234" t="s">
        <v>19</v>
      </c>
      <c r="F234" t="s">
        <v>173</v>
      </c>
      <c r="G234">
        <v>305.37</v>
      </c>
      <c r="H234" t="s">
        <v>14</v>
      </c>
      <c r="I234" s="2">
        <v>45242</v>
      </c>
      <c r="J234" s="2">
        <v>45266</v>
      </c>
    </row>
    <row r="235" spans="1:11" x14ac:dyDescent="0.25">
      <c r="A235" t="s">
        <v>71</v>
      </c>
      <c r="B235" t="s">
        <v>12</v>
      </c>
      <c r="C235">
        <v>25</v>
      </c>
      <c r="D235">
        <v>57</v>
      </c>
      <c r="E235" t="s">
        <v>19</v>
      </c>
      <c r="F235" t="s">
        <v>173</v>
      </c>
      <c r="G235">
        <v>422.4</v>
      </c>
      <c r="H235" t="s">
        <v>14</v>
      </c>
      <c r="I235" s="2">
        <v>45059</v>
      </c>
      <c r="J235" s="2">
        <v>45120</v>
      </c>
      <c r="K235" t="s">
        <v>172</v>
      </c>
    </row>
    <row r="236" spans="1:11" x14ac:dyDescent="0.25">
      <c r="A236" t="s">
        <v>68</v>
      </c>
      <c r="B236" t="s">
        <v>28</v>
      </c>
      <c r="C236">
        <v>62</v>
      </c>
      <c r="D236">
        <v>79</v>
      </c>
      <c r="E236" t="s">
        <v>19</v>
      </c>
      <c r="F236" t="s">
        <v>173</v>
      </c>
      <c r="G236">
        <v>19.75</v>
      </c>
      <c r="H236" t="s">
        <v>14</v>
      </c>
      <c r="I236" s="2">
        <v>45055</v>
      </c>
      <c r="J236" s="2">
        <v>45121</v>
      </c>
    </row>
    <row r="237" spans="1:11" x14ac:dyDescent="0.25">
      <c r="A237" t="s">
        <v>63</v>
      </c>
      <c r="B237" t="s">
        <v>28</v>
      </c>
      <c r="C237">
        <v>36</v>
      </c>
      <c r="D237">
        <v>88</v>
      </c>
      <c r="E237" t="s">
        <v>19</v>
      </c>
      <c r="F237" t="s">
        <v>173</v>
      </c>
      <c r="G237">
        <v>417.74</v>
      </c>
      <c r="H237" t="s">
        <v>20</v>
      </c>
      <c r="I237" s="2">
        <v>45012</v>
      </c>
      <c r="J237" s="2">
        <v>45061</v>
      </c>
      <c r="K237" t="s">
        <v>172</v>
      </c>
    </row>
    <row r="238" spans="1:11" x14ac:dyDescent="0.25">
      <c r="A238" t="s">
        <v>54</v>
      </c>
      <c r="B238" t="s">
        <v>28</v>
      </c>
      <c r="C238">
        <v>88</v>
      </c>
      <c r="D238">
        <v>92</v>
      </c>
      <c r="E238" t="s">
        <v>19</v>
      </c>
      <c r="F238" t="s">
        <v>174</v>
      </c>
      <c r="G238">
        <v>110.96</v>
      </c>
      <c r="H238" t="s">
        <v>20</v>
      </c>
      <c r="I238" s="2">
        <v>45019</v>
      </c>
      <c r="J238" s="2">
        <v>45039</v>
      </c>
    </row>
    <row r="239" spans="1:11" x14ac:dyDescent="0.25">
      <c r="A239" t="s">
        <v>68</v>
      </c>
      <c r="B239" t="s">
        <v>16</v>
      </c>
      <c r="C239">
        <v>6</v>
      </c>
      <c r="D239">
        <v>92</v>
      </c>
      <c r="E239" t="s">
        <v>19</v>
      </c>
      <c r="F239" t="s">
        <v>174</v>
      </c>
      <c r="G239">
        <v>22.5</v>
      </c>
      <c r="H239" t="s">
        <v>26</v>
      </c>
      <c r="I239" s="2">
        <v>45022</v>
      </c>
      <c r="J239" s="2">
        <v>45056</v>
      </c>
    </row>
    <row r="240" spans="1:11" x14ac:dyDescent="0.25">
      <c r="A240" t="s">
        <v>11</v>
      </c>
      <c r="B240" t="s">
        <v>12</v>
      </c>
      <c r="C240">
        <v>66</v>
      </c>
      <c r="D240">
        <v>68</v>
      </c>
      <c r="E240" t="s">
        <v>19</v>
      </c>
      <c r="F240" t="s">
        <v>170</v>
      </c>
      <c r="G240">
        <v>80.23</v>
      </c>
      <c r="H240" t="s">
        <v>26</v>
      </c>
      <c r="I240" s="2">
        <v>45205</v>
      </c>
      <c r="J240" s="2">
        <v>45276</v>
      </c>
      <c r="K240" t="s">
        <v>172</v>
      </c>
    </row>
    <row r="241" spans="1:11" x14ac:dyDescent="0.25">
      <c r="A241" t="s">
        <v>15</v>
      </c>
      <c r="B241" t="s">
        <v>28</v>
      </c>
      <c r="C241">
        <v>26</v>
      </c>
      <c r="D241">
        <v>54</v>
      </c>
      <c r="E241" t="s">
        <v>19</v>
      </c>
      <c r="F241" t="s">
        <v>174</v>
      </c>
      <c r="G241">
        <v>235.37</v>
      </c>
      <c r="H241" t="s">
        <v>26</v>
      </c>
      <c r="I241" s="2">
        <v>45124</v>
      </c>
      <c r="J241" s="2">
        <v>45141</v>
      </c>
      <c r="K241" t="s">
        <v>21</v>
      </c>
    </row>
    <row r="242" spans="1:11" x14ac:dyDescent="0.25">
      <c r="A242" t="s">
        <v>15</v>
      </c>
      <c r="B242" t="s">
        <v>23</v>
      </c>
      <c r="C242">
        <v>27</v>
      </c>
      <c r="D242">
        <v>93</v>
      </c>
      <c r="E242" t="s">
        <v>19</v>
      </c>
      <c r="F242" t="s">
        <v>174</v>
      </c>
      <c r="G242">
        <v>216.15</v>
      </c>
      <c r="H242" t="s">
        <v>20</v>
      </c>
      <c r="I242" s="2">
        <v>45162</v>
      </c>
      <c r="J242" s="2">
        <v>45225</v>
      </c>
      <c r="K242" t="s">
        <v>172</v>
      </c>
    </row>
    <row r="243" spans="1:11" x14ac:dyDescent="0.25">
      <c r="A243" t="s">
        <v>25</v>
      </c>
      <c r="B243" t="s">
        <v>12</v>
      </c>
      <c r="C243">
        <v>7</v>
      </c>
      <c r="D243">
        <v>54</v>
      </c>
      <c r="E243" t="s">
        <v>19</v>
      </c>
      <c r="F243" t="s">
        <v>174</v>
      </c>
      <c r="G243">
        <v>345.1</v>
      </c>
      <c r="H243" t="s">
        <v>14</v>
      </c>
      <c r="I243" s="2">
        <v>45287</v>
      </c>
      <c r="J243" s="2">
        <v>45370</v>
      </c>
    </row>
    <row r="244" spans="1:11" x14ac:dyDescent="0.25">
      <c r="A244" t="s">
        <v>53</v>
      </c>
      <c r="B244" t="s">
        <v>30</v>
      </c>
      <c r="C244">
        <v>36</v>
      </c>
      <c r="D244">
        <v>87</v>
      </c>
      <c r="E244" t="s">
        <v>19</v>
      </c>
      <c r="F244" t="s">
        <v>173</v>
      </c>
      <c r="G244">
        <v>403.77</v>
      </c>
      <c r="H244" t="s">
        <v>14</v>
      </c>
      <c r="I244" s="2">
        <v>45210</v>
      </c>
      <c r="J244" s="2">
        <v>45228</v>
      </c>
    </row>
    <row r="245" spans="1:11" x14ac:dyDescent="0.25">
      <c r="A245" t="s">
        <v>52</v>
      </c>
      <c r="B245" t="s">
        <v>16</v>
      </c>
      <c r="C245">
        <v>60</v>
      </c>
      <c r="D245">
        <v>73</v>
      </c>
      <c r="E245" t="s">
        <v>19</v>
      </c>
      <c r="F245" t="s">
        <v>170</v>
      </c>
      <c r="G245">
        <v>382.7</v>
      </c>
      <c r="H245" t="s">
        <v>14</v>
      </c>
      <c r="I245" s="2">
        <v>45063</v>
      </c>
      <c r="J245" s="2">
        <v>45082</v>
      </c>
      <c r="K245" t="s">
        <v>17</v>
      </c>
    </row>
    <row r="246" spans="1:11" x14ac:dyDescent="0.25">
      <c r="A246" t="s">
        <v>70</v>
      </c>
      <c r="B246" t="s">
        <v>16</v>
      </c>
      <c r="C246">
        <v>28</v>
      </c>
      <c r="D246">
        <v>58</v>
      </c>
      <c r="E246" t="s">
        <v>19</v>
      </c>
      <c r="F246" t="s">
        <v>174</v>
      </c>
      <c r="G246">
        <v>300.67</v>
      </c>
      <c r="H246" t="s">
        <v>14</v>
      </c>
      <c r="I246" s="2">
        <v>44983</v>
      </c>
      <c r="J246" s="2">
        <v>45066</v>
      </c>
    </row>
    <row r="247" spans="1:11" x14ac:dyDescent="0.25">
      <c r="A247" t="s">
        <v>62</v>
      </c>
      <c r="B247" t="s">
        <v>12</v>
      </c>
      <c r="C247">
        <v>34</v>
      </c>
      <c r="D247">
        <v>91</v>
      </c>
      <c r="E247" t="s">
        <v>19</v>
      </c>
      <c r="F247" t="s">
        <v>173</v>
      </c>
      <c r="G247">
        <v>152.61000000000001</v>
      </c>
      <c r="H247" t="s">
        <v>26</v>
      </c>
      <c r="I247" s="2">
        <v>44970</v>
      </c>
      <c r="J247" s="2">
        <v>45042</v>
      </c>
      <c r="K247" t="s">
        <v>17</v>
      </c>
    </row>
    <row r="248" spans="1:11" x14ac:dyDescent="0.25">
      <c r="A248" t="s">
        <v>27</v>
      </c>
      <c r="B248" t="s">
        <v>16</v>
      </c>
      <c r="C248">
        <v>2</v>
      </c>
      <c r="D248">
        <v>83</v>
      </c>
      <c r="E248" t="s">
        <v>19</v>
      </c>
      <c r="F248" t="s">
        <v>173</v>
      </c>
      <c r="G248">
        <v>427.89</v>
      </c>
      <c r="H248" t="s">
        <v>26</v>
      </c>
      <c r="I248" s="2">
        <v>45033</v>
      </c>
      <c r="J248" s="2">
        <v>45094</v>
      </c>
      <c r="K248" t="s">
        <v>21</v>
      </c>
    </row>
    <row r="249" spans="1:11" x14ac:dyDescent="0.25">
      <c r="A249" t="s">
        <v>37</v>
      </c>
      <c r="B249" t="s">
        <v>23</v>
      </c>
      <c r="C249">
        <v>26</v>
      </c>
      <c r="D249">
        <v>55</v>
      </c>
      <c r="E249" t="s">
        <v>19</v>
      </c>
      <c r="F249" t="s">
        <v>170</v>
      </c>
      <c r="G249">
        <v>400.23</v>
      </c>
      <c r="H249" t="s">
        <v>20</v>
      </c>
      <c r="I249" s="2">
        <v>45156</v>
      </c>
      <c r="J249" s="2">
        <v>45214</v>
      </c>
      <c r="K249" t="s">
        <v>21</v>
      </c>
    </row>
    <row r="250" spans="1:11" x14ac:dyDescent="0.25">
      <c r="A250" t="s">
        <v>65</v>
      </c>
      <c r="B250" t="s">
        <v>12</v>
      </c>
      <c r="C250">
        <v>8</v>
      </c>
      <c r="D250">
        <v>67</v>
      </c>
      <c r="E250" t="s">
        <v>19</v>
      </c>
      <c r="F250" t="s">
        <v>170</v>
      </c>
      <c r="G250">
        <v>351.98</v>
      </c>
      <c r="H250" t="s">
        <v>14</v>
      </c>
      <c r="I250" s="2">
        <v>45095</v>
      </c>
      <c r="J250" s="2">
        <v>45127</v>
      </c>
      <c r="K250" t="s">
        <v>172</v>
      </c>
    </row>
    <row r="251" spans="1:11" x14ac:dyDescent="0.25">
      <c r="A251" t="s">
        <v>33</v>
      </c>
      <c r="B251" t="s">
        <v>30</v>
      </c>
      <c r="C251">
        <v>19</v>
      </c>
      <c r="D251">
        <v>75</v>
      </c>
      <c r="E251" t="s">
        <v>19</v>
      </c>
      <c r="F251" t="s">
        <v>173</v>
      </c>
      <c r="G251">
        <v>127.54</v>
      </c>
      <c r="H251" t="s">
        <v>26</v>
      </c>
      <c r="I251" s="2">
        <v>45260</v>
      </c>
      <c r="J251" s="2">
        <v>45327</v>
      </c>
      <c r="K251" t="s">
        <v>172</v>
      </c>
    </row>
    <row r="252" spans="1:11" x14ac:dyDescent="0.25">
      <c r="A252" t="s">
        <v>45</v>
      </c>
      <c r="B252" t="s">
        <v>23</v>
      </c>
      <c r="C252">
        <v>39</v>
      </c>
      <c r="D252">
        <v>98</v>
      </c>
      <c r="E252" t="s">
        <v>19</v>
      </c>
      <c r="F252" t="s">
        <v>173</v>
      </c>
      <c r="G252">
        <v>209.6</v>
      </c>
      <c r="H252" t="s">
        <v>14</v>
      </c>
      <c r="I252" s="2">
        <v>44973</v>
      </c>
      <c r="J252" s="2">
        <v>45043</v>
      </c>
      <c r="K252" t="s">
        <v>21</v>
      </c>
    </row>
    <row r="253" spans="1:11" x14ac:dyDescent="0.25">
      <c r="A253" t="s">
        <v>59</v>
      </c>
      <c r="B253" t="s">
        <v>30</v>
      </c>
      <c r="C253">
        <v>34</v>
      </c>
      <c r="D253">
        <v>97</v>
      </c>
      <c r="E253" t="s">
        <v>19</v>
      </c>
      <c r="F253" t="s">
        <v>173</v>
      </c>
      <c r="G253">
        <v>131.03</v>
      </c>
      <c r="H253" t="s">
        <v>20</v>
      </c>
      <c r="I253" s="2">
        <v>45005</v>
      </c>
      <c r="J253" s="2">
        <v>45088</v>
      </c>
      <c r="K253" t="s">
        <v>17</v>
      </c>
    </row>
    <row r="254" spans="1:11" x14ac:dyDescent="0.25">
      <c r="A254" t="s">
        <v>47</v>
      </c>
      <c r="B254" t="s">
        <v>30</v>
      </c>
      <c r="C254">
        <v>45</v>
      </c>
      <c r="D254">
        <v>62</v>
      </c>
      <c r="E254" t="s">
        <v>19</v>
      </c>
      <c r="F254" t="s">
        <v>170</v>
      </c>
      <c r="G254">
        <v>332.12</v>
      </c>
      <c r="H254" t="s">
        <v>26</v>
      </c>
      <c r="I254" s="2">
        <v>45026</v>
      </c>
      <c r="J254" s="2">
        <v>45090</v>
      </c>
      <c r="K254" t="s">
        <v>172</v>
      </c>
    </row>
    <row r="255" spans="1:11" x14ac:dyDescent="0.25">
      <c r="A255" t="s">
        <v>27</v>
      </c>
      <c r="B255" t="s">
        <v>28</v>
      </c>
      <c r="C255">
        <v>41</v>
      </c>
      <c r="D255">
        <v>83</v>
      </c>
      <c r="E255" t="s">
        <v>19</v>
      </c>
      <c r="F255" t="s">
        <v>173</v>
      </c>
      <c r="G255">
        <v>269.93</v>
      </c>
      <c r="H255" t="s">
        <v>20</v>
      </c>
      <c r="I255" s="2">
        <v>45071</v>
      </c>
      <c r="J255" s="2">
        <v>45130</v>
      </c>
    </row>
    <row r="256" spans="1:11" x14ac:dyDescent="0.25">
      <c r="A256" t="s">
        <v>31</v>
      </c>
      <c r="B256" t="s">
        <v>28</v>
      </c>
      <c r="C256">
        <v>4</v>
      </c>
      <c r="D256">
        <v>80</v>
      </c>
      <c r="E256" t="s">
        <v>19</v>
      </c>
      <c r="F256" t="s">
        <v>170</v>
      </c>
      <c r="G256">
        <v>399.36</v>
      </c>
      <c r="H256" t="s">
        <v>26</v>
      </c>
      <c r="I256" s="2">
        <v>45024</v>
      </c>
      <c r="J256" s="2">
        <v>45043</v>
      </c>
    </row>
    <row r="257" spans="1:11" x14ac:dyDescent="0.25">
      <c r="A257" t="s">
        <v>36</v>
      </c>
      <c r="B257" t="s">
        <v>16</v>
      </c>
      <c r="C257">
        <v>49</v>
      </c>
      <c r="D257">
        <v>86</v>
      </c>
      <c r="E257" t="s">
        <v>19</v>
      </c>
      <c r="F257" t="s">
        <v>174</v>
      </c>
      <c r="G257">
        <v>156.29</v>
      </c>
      <c r="H257" t="s">
        <v>26</v>
      </c>
      <c r="I257" s="2">
        <v>45255</v>
      </c>
      <c r="J257" s="2">
        <v>45279</v>
      </c>
    </row>
    <row r="258" spans="1:11" x14ac:dyDescent="0.25">
      <c r="A258" t="s">
        <v>11</v>
      </c>
      <c r="B258" t="s">
        <v>12</v>
      </c>
      <c r="C258">
        <v>0</v>
      </c>
      <c r="D258">
        <v>83</v>
      </c>
      <c r="E258" t="s">
        <v>19</v>
      </c>
      <c r="F258" t="s">
        <v>174</v>
      </c>
      <c r="G258">
        <v>424.43</v>
      </c>
      <c r="H258" t="s">
        <v>14</v>
      </c>
      <c r="I258" s="2">
        <v>45065</v>
      </c>
      <c r="J258" s="2">
        <v>45120</v>
      </c>
    </row>
    <row r="259" spans="1:11" x14ac:dyDescent="0.25">
      <c r="A259" t="s">
        <v>65</v>
      </c>
      <c r="B259" t="s">
        <v>23</v>
      </c>
      <c r="C259">
        <v>48</v>
      </c>
      <c r="D259">
        <v>58</v>
      </c>
      <c r="E259" t="s">
        <v>19</v>
      </c>
      <c r="F259" t="s">
        <v>173</v>
      </c>
      <c r="G259">
        <v>53.84</v>
      </c>
      <c r="H259" t="s">
        <v>20</v>
      </c>
      <c r="I259" s="2">
        <v>45203</v>
      </c>
      <c r="J259" s="2">
        <v>45257</v>
      </c>
      <c r="K259" t="s">
        <v>17</v>
      </c>
    </row>
    <row r="260" spans="1:11" x14ac:dyDescent="0.25">
      <c r="A260" t="s">
        <v>63</v>
      </c>
      <c r="B260" t="s">
        <v>16</v>
      </c>
      <c r="C260">
        <v>8</v>
      </c>
      <c r="D260">
        <v>51</v>
      </c>
      <c r="E260" t="s">
        <v>19</v>
      </c>
      <c r="F260" t="s">
        <v>173</v>
      </c>
      <c r="G260">
        <v>251.94</v>
      </c>
      <c r="H260" t="s">
        <v>26</v>
      </c>
      <c r="I260" s="2">
        <v>44960</v>
      </c>
      <c r="J260" s="2">
        <v>45001</v>
      </c>
      <c r="K260" t="s">
        <v>17</v>
      </c>
    </row>
    <row r="261" spans="1:11" x14ac:dyDescent="0.25">
      <c r="A261" t="s">
        <v>72</v>
      </c>
      <c r="B261" t="s">
        <v>16</v>
      </c>
      <c r="C261">
        <v>33</v>
      </c>
      <c r="D261">
        <v>51</v>
      </c>
      <c r="E261" t="s">
        <v>19</v>
      </c>
      <c r="F261" t="s">
        <v>170</v>
      </c>
      <c r="G261">
        <v>496.39</v>
      </c>
      <c r="H261" t="s">
        <v>14</v>
      </c>
      <c r="I261" s="2">
        <v>45186</v>
      </c>
      <c r="J261" s="2">
        <v>45259</v>
      </c>
    </row>
    <row r="262" spans="1:11" x14ac:dyDescent="0.25">
      <c r="A262" t="s">
        <v>58</v>
      </c>
      <c r="B262" t="s">
        <v>12</v>
      </c>
      <c r="C262">
        <v>5</v>
      </c>
      <c r="D262">
        <v>88</v>
      </c>
      <c r="E262" t="s">
        <v>19</v>
      </c>
      <c r="F262" t="s">
        <v>173</v>
      </c>
      <c r="G262">
        <v>478.19</v>
      </c>
      <c r="H262" t="s">
        <v>26</v>
      </c>
      <c r="I262" s="2">
        <v>45202</v>
      </c>
      <c r="J262" s="2">
        <v>45256</v>
      </c>
      <c r="K262" t="s">
        <v>17</v>
      </c>
    </row>
    <row r="263" spans="1:11" x14ac:dyDescent="0.25">
      <c r="A263" t="s">
        <v>55</v>
      </c>
      <c r="B263" t="s">
        <v>23</v>
      </c>
      <c r="C263">
        <v>27</v>
      </c>
      <c r="D263">
        <v>56</v>
      </c>
      <c r="E263" t="s">
        <v>19</v>
      </c>
      <c r="F263" t="s">
        <v>174</v>
      </c>
      <c r="G263">
        <v>57.06</v>
      </c>
      <c r="H263" t="s">
        <v>14</v>
      </c>
      <c r="I263" s="2">
        <v>45160</v>
      </c>
      <c r="J263" s="2">
        <v>45226</v>
      </c>
      <c r="K263" t="s">
        <v>17</v>
      </c>
    </row>
    <row r="264" spans="1:11" x14ac:dyDescent="0.25">
      <c r="A264" t="s">
        <v>72</v>
      </c>
      <c r="B264" t="s">
        <v>28</v>
      </c>
      <c r="C264">
        <v>62</v>
      </c>
      <c r="D264">
        <v>65</v>
      </c>
      <c r="E264" t="s">
        <v>19</v>
      </c>
      <c r="F264" t="s">
        <v>174</v>
      </c>
      <c r="G264">
        <v>359.13</v>
      </c>
      <c r="H264" t="s">
        <v>14</v>
      </c>
      <c r="I264" s="2">
        <v>45161</v>
      </c>
      <c r="J264" s="2">
        <v>45192</v>
      </c>
      <c r="K264" t="s">
        <v>172</v>
      </c>
    </row>
    <row r="265" spans="1:11" x14ac:dyDescent="0.25">
      <c r="A265" t="s">
        <v>32</v>
      </c>
      <c r="B265" t="s">
        <v>16</v>
      </c>
      <c r="C265">
        <v>6</v>
      </c>
      <c r="D265">
        <v>98</v>
      </c>
      <c r="E265" t="s">
        <v>19</v>
      </c>
      <c r="F265" t="s">
        <v>173</v>
      </c>
      <c r="G265">
        <v>175.91</v>
      </c>
      <c r="H265" t="s">
        <v>14</v>
      </c>
      <c r="I265" s="2">
        <v>45085</v>
      </c>
      <c r="J265" s="2">
        <v>45118</v>
      </c>
      <c r="K265" t="s">
        <v>17</v>
      </c>
    </row>
    <row r="266" spans="1:11" x14ac:dyDescent="0.25">
      <c r="A266" t="s">
        <v>43</v>
      </c>
      <c r="B266" t="s">
        <v>23</v>
      </c>
      <c r="C266">
        <v>27</v>
      </c>
      <c r="D266">
        <v>44</v>
      </c>
      <c r="E266" t="s">
        <v>19</v>
      </c>
      <c r="F266" t="s">
        <v>174</v>
      </c>
      <c r="G266">
        <v>498.67</v>
      </c>
      <c r="H266" t="s">
        <v>26</v>
      </c>
      <c r="I266" s="2">
        <v>45008</v>
      </c>
      <c r="J266" s="2">
        <v>45051</v>
      </c>
    </row>
    <row r="267" spans="1:11" x14ac:dyDescent="0.25">
      <c r="A267" t="s">
        <v>47</v>
      </c>
      <c r="B267" t="s">
        <v>12</v>
      </c>
      <c r="C267">
        <v>1</v>
      </c>
      <c r="D267">
        <v>52</v>
      </c>
      <c r="E267" t="s">
        <v>19</v>
      </c>
      <c r="F267" t="s">
        <v>170</v>
      </c>
      <c r="G267">
        <v>229.78</v>
      </c>
      <c r="H267" t="s">
        <v>20</v>
      </c>
      <c r="I267" s="2">
        <v>44984</v>
      </c>
      <c r="J267" s="2">
        <v>45008</v>
      </c>
    </row>
    <row r="268" spans="1:11" x14ac:dyDescent="0.25">
      <c r="A268" t="s">
        <v>40</v>
      </c>
      <c r="B268" t="s">
        <v>28</v>
      </c>
      <c r="C268">
        <v>16</v>
      </c>
      <c r="D268">
        <v>49</v>
      </c>
      <c r="E268" t="s">
        <v>19</v>
      </c>
      <c r="F268" t="s">
        <v>173</v>
      </c>
      <c r="G268">
        <v>498.17</v>
      </c>
      <c r="H268" t="s">
        <v>26</v>
      </c>
      <c r="I268" s="2">
        <v>45234</v>
      </c>
      <c r="J268" s="2">
        <v>45284</v>
      </c>
      <c r="K268" t="s">
        <v>17</v>
      </c>
    </row>
    <row r="269" spans="1:11" x14ac:dyDescent="0.25">
      <c r="A269" t="s">
        <v>38</v>
      </c>
      <c r="B269" t="s">
        <v>12</v>
      </c>
      <c r="C269">
        <v>31</v>
      </c>
      <c r="D269">
        <v>73</v>
      </c>
      <c r="E269" t="s">
        <v>19</v>
      </c>
      <c r="F269" t="s">
        <v>173</v>
      </c>
      <c r="G269">
        <v>204.36</v>
      </c>
      <c r="H269" t="s">
        <v>20</v>
      </c>
      <c r="I269" s="2">
        <v>44953</v>
      </c>
      <c r="J269" s="2">
        <v>44985</v>
      </c>
    </row>
    <row r="270" spans="1:11" x14ac:dyDescent="0.25">
      <c r="A270" t="s">
        <v>38</v>
      </c>
      <c r="B270" t="s">
        <v>28</v>
      </c>
      <c r="C270">
        <v>45</v>
      </c>
      <c r="D270">
        <v>97</v>
      </c>
      <c r="E270" t="s">
        <v>19</v>
      </c>
      <c r="F270" t="s">
        <v>173</v>
      </c>
      <c r="G270">
        <v>432.31</v>
      </c>
      <c r="H270" t="s">
        <v>14</v>
      </c>
      <c r="I270" s="2">
        <v>45041</v>
      </c>
      <c r="J270" s="2">
        <v>45102</v>
      </c>
      <c r="K270" t="s">
        <v>17</v>
      </c>
    </row>
    <row r="271" spans="1:11" x14ac:dyDescent="0.25">
      <c r="A271" t="s">
        <v>15</v>
      </c>
      <c r="B271" t="s">
        <v>28</v>
      </c>
      <c r="C271">
        <v>2</v>
      </c>
      <c r="D271">
        <v>71</v>
      </c>
      <c r="E271" t="s">
        <v>19</v>
      </c>
      <c r="F271" t="s">
        <v>173</v>
      </c>
      <c r="G271">
        <v>476.95</v>
      </c>
      <c r="H271" t="s">
        <v>26</v>
      </c>
      <c r="I271" s="2">
        <v>45152</v>
      </c>
      <c r="J271" s="2">
        <v>45214</v>
      </c>
      <c r="K271" t="s">
        <v>21</v>
      </c>
    </row>
    <row r="272" spans="1:11" x14ac:dyDescent="0.25">
      <c r="A272" t="s">
        <v>22</v>
      </c>
      <c r="B272" t="s">
        <v>23</v>
      </c>
      <c r="C272">
        <v>11</v>
      </c>
      <c r="D272">
        <v>23</v>
      </c>
      <c r="E272" t="s">
        <v>19</v>
      </c>
      <c r="F272" t="s">
        <v>174</v>
      </c>
      <c r="G272">
        <v>346</v>
      </c>
      <c r="H272" t="s">
        <v>26</v>
      </c>
      <c r="I272" s="2">
        <v>45137</v>
      </c>
      <c r="J272" s="2">
        <v>45166</v>
      </c>
      <c r="K272" t="s">
        <v>21</v>
      </c>
    </row>
    <row r="273" spans="1:11" x14ac:dyDescent="0.25">
      <c r="A273" t="s">
        <v>67</v>
      </c>
      <c r="B273" t="s">
        <v>12</v>
      </c>
      <c r="C273">
        <v>18</v>
      </c>
      <c r="D273">
        <v>95</v>
      </c>
      <c r="E273" t="s">
        <v>19</v>
      </c>
      <c r="F273" t="s">
        <v>174</v>
      </c>
      <c r="G273">
        <v>333.78</v>
      </c>
      <c r="H273" t="s">
        <v>20</v>
      </c>
      <c r="I273" s="2">
        <v>45143</v>
      </c>
      <c r="J273" s="2">
        <v>45177</v>
      </c>
    </row>
    <row r="274" spans="1:11" x14ac:dyDescent="0.25">
      <c r="A274" t="s">
        <v>71</v>
      </c>
      <c r="B274" t="s">
        <v>28</v>
      </c>
      <c r="C274">
        <v>23</v>
      </c>
      <c r="D274">
        <v>40</v>
      </c>
      <c r="E274" t="s">
        <v>19</v>
      </c>
      <c r="F274" t="s">
        <v>174</v>
      </c>
      <c r="G274">
        <v>187</v>
      </c>
      <c r="H274" t="s">
        <v>14</v>
      </c>
      <c r="I274" s="2">
        <v>45133</v>
      </c>
      <c r="J274" s="2">
        <v>45213</v>
      </c>
    </row>
    <row r="275" spans="1:11" x14ac:dyDescent="0.25">
      <c r="A275" t="s">
        <v>42</v>
      </c>
      <c r="B275" t="s">
        <v>16</v>
      </c>
      <c r="C275">
        <v>68</v>
      </c>
      <c r="D275">
        <v>84</v>
      </c>
      <c r="E275" t="s">
        <v>19</v>
      </c>
      <c r="F275" t="s">
        <v>170</v>
      </c>
      <c r="G275">
        <v>30.93</v>
      </c>
      <c r="H275" t="s">
        <v>14</v>
      </c>
      <c r="I275" s="2">
        <v>45034</v>
      </c>
      <c r="J275" s="2">
        <v>45063</v>
      </c>
      <c r="K275" t="s">
        <v>17</v>
      </c>
    </row>
    <row r="276" spans="1:11" x14ac:dyDescent="0.25">
      <c r="A276" t="s">
        <v>29</v>
      </c>
      <c r="B276" t="s">
        <v>28</v>
      </c>
      <c r="C276">
        <v>10</v>
      </c>
      <c r="D276">
        <v>88</v>
      </c>
      <c r="E276" t="s">
        <v>19</v>
      </c>
      <c r="F276" t="s">
        <v>170</v>
      </c>
      <c r="G276">
        <v>187.69</v>
      </c>
      <c r="H276" t="s">
        <v>14</v>
      </c>
      <c r="I276" s="2">
        <v>45186</v>
      </c>
      <c r="J276" s="2">
        <v>45225</v>
      </c>
      <c r="K276" t="s">
        <v>172</v>
      </c>
    </row>
    <row r="277" spans="1:11" x14ac:dyDescent="0.25">
      <c r="A277" t="s">
        <v>62</v>
      </c>
      <c r="B277" t="s">
        <v>30</v>
      </c>
      <c r="C277">
        <v>81</v>
      </c>
      <c r="D277">
        <v>89</v>
      </c>
      <c r="E277" t="s">
        <v>19</v>
      </c>
      <c r="F277" t="s">
        <v>173</v>
      </c>
      <c r="G277">
        <v>418.97</v>
      </c>
      <c r="H277" t="s">
        <v>26</v>
      </c>
      <c r="I277" s="2">
        <v>45038</v>
      </c>
      <c r="J277" s="2">
        <v>45089</v>
      </c>
      <c r="K277" t="s">
        <v>17</v>
      </c>
    </row>
    <row r="278" spans="1:11" x14ac:dyDescent="0.25">
      <c r="A278" t="s">
        <v>41</v>
      </c>
      <c r="B278" t="s">
        <v>28</v>
      </c>
      <c r="C278">
        <v>59</v>
      </c>
      <c r="D278">
        <v>64</v>
      </c>
      <c r="E278" t="s">
        <v>19</v>
      </c>
      <c r="F278" t="s">
        <v>174</v>
      </c>
      <c r="G278">
        <v>408.54</v>
      </c>
      <c r="H278" t="s">
        <v>26</v>
      </c>
      <c r="I278" s="2">
        <v>45219</v>
      </c>
      <c r="J278" s="2">
        <v>45262</v>
      </c>
    </row>
    <row r="279" spans="1:11" x14ac:dyDescent="0.25">
      <c r="A279" t="s">
        <v>60</v>
      </c>
      <c r="B279" t="s">
        <v>23</v>
      </c>
      <c r="C279">
        <v>23</v>
      </c>
      <c r="D279">
        <v>84</v>
      </c>
      <c r="E279" t="s">
        <v>19</v>
      </c>
      <c r="F279" t="s">
        <v>170</v>
      </c>
      <c r="G279">
        <v>493.58</v>
      </c>
      <c r="H279" t="s">
        <v>26</v>
      </c>
      <c r="I279" s="2">
        <v>44979</v>
      </c>
      <c r="J279" s="2">
        <v>44999</v>
      </c>
      <c r="K279" t="s">
        <v>21</v>
      </c>
    </row>
    <row r="280" spans="1:11" x14ac:dyDescent="0.25">
      <c r="A280" t="s">
        <v>34</v>
      </c>
      <c r="B280" t="s">
        <v>12</v>
      </c>
      <c r="C280">
        <v>46</v>
      </c>
      <c r="D280">
        <v>98</v>
      </c>
      <c r="E280" t="s">
        <v>19</v>
      </c>
      <c r="F280" t="s">
        <v>170</v>
      </c>
      <c r="G280">
        <v>379.38</v>
      </c>
      <c r="H280" t="s">
        <v>26</v>
      </c>
      <c r="I280" s="2">
        <v>45067</v>
      </c>
      <c r="J280" s="2">
        <v>45092</v>
      </c>
      <c r="K280" t="s">
        <v>172</v>
      </c>
    </row>
    <row r="281" spans="1:11" x14ac:dyDescent="0.25">
      <c r="A281" t="s">
        <v>38</v>
      </c>
      <c r="B281" t="s">
        <v>12</v>
      </c>
      <c r="C281">
        <v>40</v>
      </c>
      <c r="D281">
        <v>95</v>
      </c>
      <c r="E281" t="s">
        <v>19</v>
      </c>
      <c r="F281" t="s">
        <v>170</v>
      </c>
      <c r="G281">
        <v>433.82</v>
      </c>
      <c r="H281" t="s">
        <v>20</v>
      </c>
      <c r="I281" s="2">
        <v>45142</v>
      </c>
      <c r="J281" s="2">
        <v>45229</v>
      </c>
      <c r="K281" t="s">
        <v>17</v>
      </c>
    </row>
    <row r="282" spans="1:11" x14ac:dyDescent="0.25">
      <c r="A282" t="s">
        <v>24</v>
      </c>
      <c r="B282" t="s">
        <v>30</v>
      </c>
      <c r="C282">
        <v>62</v>
      </c>
      <c r="D282">
        <v>83</v>
      </c>
      <c r="E282" t="s">
        <v>19</v>
      </c>
      <c r="F282" t="s">
        <v>170</v>
      </c>
      <c r="G282">
        <v>254.07</v>
      </c>
      <c r="H282" t="s">
        <v>14</v>
      </c>
      <c r="I282" s="2">
        <v>45139</v>
      </c>
      <c r="J282" s="2">
        <v>45221</v>
      </c>
      <c r="K282" t="s">
        <v>172</v>
      </c>
    </row>
    <row r="283" spans="1:11" x14ac:dyDescent="0.25">
      <c r="A283" t="s">
        <v>22</v>
      </c>
      <c r="B283" t="s">
        <v>28</v>
      </c>
      <c r="C283">
        <v>52</v>
      </c>
      <c r="D283">
        <v>81</v>
      </c>
      <c r="E283" t="s">
        <v>19</v>
      </c>
      <c r="F283" t="s">
        <v>170</v>
      </c>
      <c r="G283">
        <v>477.87</v>
      </c>
      <c r="H283" t="s">
        <v>14</v>
      </c>
      <c r="I283" s="2">
        <v>45086</v>
      </c>
      <c r="J283" s="2">
        <v>45133</v>
      </c>
      <c r="K283" t="s">
        <v>17</v>
      </c>
    </row>
    <row r="284" spans="1:11" x14ac:dyDescent="0.25">
      <c r="A284" t="s">
        <v>39</v>
      </c>
      <c r="B284" t="s">
        <v>23</v>
      </c>
      <c r="C284">
        <v>4</v>
      </c>
      <c r="D284">
        <v>47</v>
      </c>
      <c r="E284" t="s">
        <v>19</v>
      </c>
      <c r="F284" t="s">
        <v>173</v>
      </c>
      <c r="G284">
        <v>455.79</v>
      </c>
      <c r="H284" t="s">
        <v>14</v>
      </c>
      <c r="I284" s="2">
        <v>45026</v>
      </c>
      <c r="J284" s="2">
        <v>45081</v>
      </c>
      <c r="K284" t="s">
        <v>172</v>
      </c>
    </row>
    <row r="285" spans="1:11" x14ac:dyDescent="0.25">
      <c r="A285" t="s">
        <v>27</v>
      </c>
      <c r="B285" t="s">
        <v>30</v>
      </c>
      <c r="C285">
        <v>7</v>
      </c>
      <c r="D285">
        <v>83</v>
      </c>
      <c r="E285" t="s">
        <v>19</v>
      </c>
      <c r="F285" t="s">
        <v>170</v>
      </c>
      <c r="G285">
        <v>250.96</v>
      </c>
      <c r="H285" t="s">
        <v>20</v>
      </c>
      <c r="I285" s="2">
        <v>45149</v>
      </c>
      <c r="J285" s="2">
        <v>45197</v>
      </c>
      <c r="K285" t="s">
        <v>17</v>
      </c>
    </row>
    <row r="286" spans="1:11" x14ac:dyDescent="0.25">
      <c r="A286" t="s">
        <v>36</v>
      </c>
      <c r="B286" t="s">
        <v>16</v>
      </c>
      <c r="C286">
        <v>15</v>
      </c>
      <c r="D286">
        <v>91</v>
      </c>
      <c r="E286" t="s">
        <v>19</v>
      </c>
      <c r="F286" t="s">
        <v>173</v>
      </c>
      <c r="G286">
        <v>273.8</v>
      </c>
      <c r="H286" t="s">
        <v>14</v>
      </c>
      <c r="I286" s="2">
        <v>45191</v>
      </c>
      <c r="J286" s="2">
        <v>45266</v>
      </c>
    </row>
    <row r="287" spans="1:11" x14ac:dyDescent="0.25">
      <c r="A287" t="s">
        <v>60</v>
      </c>
      <c r="B287" t="s">
        <v>12</v>
      </c>
      <c r="C287">
        <v>54</v>
      </c>
      <c r="D287">
        <v>59</v>
      </c>
      <c r="E287" t="s">
        <v>19</v>
      </c>
      <c r="F287" t="s">
        <v>173</v>
      </c>
      <c r="G287">
        <v>26.77</v>
      </c>
      <c r="H287" t="s">
        <v>14</v>
      </c>
      <c r="I287" s="2">
        <v>44986</v>
      </c>
      <c r="J287" s="2">
        <v>45029</v>
      </c>
    </row>
    <row r="288" spans="1:11" x14ac:dyDescent="0.25">
      <c r="A288" t="s">
        <v>60</v>
      </c>
      <c r="B288" t="s">
        <v>30</v>
      </c>
      <c r="C288">
        <v>53</v>
      </c>
      <c r="D288">
        <v>81</v>
      </c>
      <c r="E288" t="s">
        <v>19</v>
      </c>
      <c r="F288" t="s">
        <v>170</v>
      </c>
      <c r="G288">
        <v>118.77</v>
      </c>
      <c r="H288" t="s">
        <v>14</v>
      </c>
      <c r="I288" s="2">
        <v>45178</v>
      </c>
      <c r="J288" s="2">
        <v>45248</v>
      </c>
    </row>
    <row r="289" spans="1:11" x14ac:dyDescent="0.25">
      <c r="A289" t="s">
        <v>66</v>
      </c>
      <c r="B289" t="s">
        <v>30</v>
      </c>
      <c r="C289">
        <v>33</v>
      </c>
      <c r="D289">
        <v>70</v>
      </c>
      <c r="E289" t="s">
        <v>19</v>
      </c>
      <c r="F289" t="s">
        <v>173</v>
      </c>
      <c r="G289">
        <v>212.81</v>
      </c>
      <c r="H289" t="s">
        <v>20</v>
      </c>
      <c r="I289" s="2">
        <v>44927</v>
      </c>
      <c r="J289" s="2">
        <v>45002</v>
      </c>
      <c r="K289" t="s">
        <v>21</v>
      </c>
    </row>
    <row r="290" spans="1:11" x14ac:dyDescent="0.25">
      <c r="A290" t="s">
        <v>64</v>
      </c>
      <c r="B290" t="s">
        <v>28</v>
      </c>
      <c r="C290">
        <v>69</v>
      </c>
      <c r="D290">
        <v>73</v>
      </c>
      <c r="E290" t="s">
        <v>19</v>
      </c>
      <c r="F290" t="s">
        <v>173</v>
      </c>
      <c r="G290">
        <v>452.98</v>
      </c>
      <c r="H290" t="s">
        <v>20</v>
      </c>
      <c r="I290" s="2">
        <v>45045</v>
      </c>
      <c r="J290" s="2">
        <v>45121</v>
      </c>
    </row>
    <row r="291" spans="1:11" x14ac:dyDescent="0.25">
      <c r="A291" t="s">
        <v>41</v>
      </c>
      <c r="B291" t="s">
        <v>16</v>
      </c>
      <c r="C291">
        <v>1</v>
      </c>
      <c r="D291">
        <v>78</v>
      </c>
      <c r="E291" t="s">
        <v>19</v>
      </c>
      <c r="F291" t="s">
        <v>170</v>
      </c>
      <c r="G291">
        <v>90.74</v>
      </c>
      <c r="H291" t="s">
        <v>26</v>
      </c>
      <c r="I291" s="2">
        <v>45242</v>
      </c>
      <c r="J291" s="2">
        <v>45287</v>
      </c>
      <c r="K291" t="s">
        <v>17</v>
      </c>
    </row>
    <row r="292" spans="1:11" x14ac:dyDescent="0.25">
      <c r="A292" t="s">
        <v>11</v>
      </c>
      <c r="B292" t="s">
        <v>12</v>
      </c>
      <c r="C292">
        <v>19</v>
      </c>
      <c r="D292">
        <v>57</v>
      </c>
      <c r="E292" t="s">
        <v>19</v>
      </c>
      <c r="F292" t="s">
        <v>170</v>
      </c>
      <c r="G292">
        <v>461.4</v>
      </c>
      <c r="H292" t="s">
        <v>20</v>
      </c>
      <c r="I292" s="2">
        <v>45287</v>
      </c>
      <c r="J292" s="2">
        <v>45375</v>
      </c>
    </row>
    <row r="293" spans="1:11" x14ac:dyDescent="0.25">
      <c r="A293" t="s">
        <v>42</v>
      </c>
      <c r="B293" t="s">
        <v>16</v>
      </c>
      <c r="C293">
        <v>28</v>
      </c>
      <c r="D293">
        <v>90</v>
      </c>
      <c r="E293" t="s">
        <v>19</v>
      </c>
      <c r="F293" t="s">
        <v>170</v>
      </c>
      <c r="G293">
        <v>148.86000000000001</v>
      </c>
      <c r="H293" t="s">
        <v>20</v>
      </c>
      <c r="I293" s="2">
        <v>45082</v>
      </c>
      <c r="J293" s="2">
        <v>45137</v>
      </c>
      <c r="K293" t="s">
        <v>17</v>
      </c>
    </row>
    <row r="294" spans="1:11" x14ac:dyDescent="0.25">
      <c r="A294" t="s">
        <v>71</v>
      </c>
      <c r="B294" t="s">
        <v>28</v>
      </c>
      <c r="C294">
        <v>1</v>
      </c>
      <c r="D294">
        <v>46</v>
      </c>
      <c r="E294" t="s">
        <v>19</v>
      </c>
      <c r="F294" t="s">
        <v>170</v>
      </c>
      <c r="G294">
        <v>231.06</v>
      </c>
      <c r="H294" t="s">
        <v>26</v>
      </c>
      <c r="I294" s="2">
        <v>44995</v>
      </c>
      <c r="J294" s="2">
        <v>45024</v>
      </c>
      <c r="K294" t="s">
        <v>172</v>
      </c>
    </row>
    <row r="295" spans="1:11" x14ac:dyDescent="0.25">
      <c r="A295" t="s">
        <v>40</v>
      </c>
      <c r="B295" t="s">
        <v>12</v>
      </c>
      <c r="C295">
        <v>20</v>
      </c>
      <c r="D295">
        <v>33</v>
      </c>
      <c r="E295" t="s">
        <v>19</v>
      </c>
      <c r="F295" t="s">
        <v>174</v>
      </c>
      <c r="G295">
        <v>134.62</v>
      </c>
      <c r="H295" t="s">
        <v>20</v>
      </c>
      <c r="I295" s="2">
        <v>44929</v>
      </c>
      <c r="J295" s="2">
        <v>44965</v>
      </c>
      <c r="K295" t="s">
        <v>17</v>
      </c>
    </row>
    <row r="296" spans="1:11" x14ac:dyDescent="0.25">
      <c r="A296" t="s">
        <v>27</v>
      </c>
      <c r="B296" t="s">
        <v>23</v>
      </c>
      <c r="C296">
        <v>58</v>
      </c>
      <c r="D296">
        <v>73</v>
      </c>
      <c r="E296" t="s">
        <v>19</v>
      </c>
      <c r="F296" t="s">
        <v>173</v>
      </c>
      <c r="G296">
        <v>78.849999999999994</v>
      </c>
      <c r="H296" t="s">
        <v>26</v>
      </c>
      <c r="I296" s="2">
        <v>45140</v>
      </c>
      <c r="J296" s="2">
        <v>45175</v>
      </c>
      <c r="K296" t="s">
        <v>172</v>
      </c>
    </row>
    <row r="297" spans="1:11" x14ac:dyDescent="0.25">
      <c r="A297" t="s">
        <v>24</v>
      </c>
      <c r="B297" t="s">
        <v>23</v>
      </c>
      <c r="C297">
        <v>47</v>
      </c>
      <c r="D297">
        <v>96</v>
      </c>
      <c r="E297" t="s">
        <v>19</v>
      </c>
      <c r="F297" t="s">
        <v>174</v>
      </c>
      <c r="G297">
        <v>495.73</v>
      </c>
      <c r="H297" t="s">
        <v>20</v>
      </c>
      <c r="I297" s="2">
        <v>45037</v>
      </c>
      <c r="J297" s="2">
        <v>45117</v>
      </c>
    </row>
    <row r="298" spans="1:11" x14ac:dyDescent="0.25">
      <c r="A298" t="s">
        <v>77</v>
      </c>
      <c r="B298" t="s">
        <v>28</v>
      </c>
      <c r="C298">
        <v>36</v>
      </c>
      <c r="D298">
        <v>66</v>
      </c>
      <c r="E298" t="s">
        <v>19</v>
      </c>
      <c r="F298" t="s">
        <v>170</v>
      </c>
      <c r="G298">
        <v>366.03</v>
      </c>
      <c r="H298" t="s">
        <v>26</v>
      </c>
      <c r="I298" s="2">
        <v>45345</v>
      </c>
      <c r="J298" s="2">
        <v>45417</v>
      </c>
      <c r="K298" t="s">
        <v>172</v>
      </c>
    </row>
    <row r="299" spans="1:11" x14ac:dyDescent="0.25">
      <c r="A299" t="s">
        <v>82</v>
      </c>
      <c r="B299" t="s">
        <v>28</v>
      </c>
      <c r="C299">
        <v>30</v>
      </c>
      <c r="D299">
        <v>93</v>
      </c>
      <c r="E299" t="s">
        <v>19</v>
      </c>
      <c r="F299" t="s">
        <v>173</v>
      </c>
      <c r="G299">
        <v>424.97</v>
      </c>
      <c r="H299" t="s">
        <v>20</v>
      </c>
      <c r="I299" s="2">
        <v>45337</v>
      </c>
      <c r="J299" s="2">
        <v>45388</v>
      </c>
      <c r="K299" t="s">
        <v>172</v>
      </c>
    </row>
    <row r="300" spans="1:11" x14ac:dyDescent="0.25">
      <c r="A300" t="s">
        <v>43</v>
      </c>
      <c r="B300" t="s">
        <v>23</v>
      </c>
      <c r="C300">
        <v>39</v>
      </c>
      <c r="D300">
        <v>66</v>
      </c>
      <c r="E300" t="s">
        <v>19</v>
      </c>
      <c r="F300" t="s">
        <v>170</v>
      </c>
      <c r="G300">
        <v>409.31</v>
      </c>
      <c r="H300" t="s">
        <v>26</v>
      </c>
      <c r="I300" s="2">
        <v>45478</v>
      </c>
      <c r="J300" s="2">
        <v>45522</v>
      </c>
      <c r="K300" t="s">
        <v>172</v>
      </c>
    </row>
    <row r="301" spans="1:11" x14ac:dyDescent="0.25">
      <c r="A301" t="s">
        <v>87</v>
      </c>
      <c r="B301" t="s">
        <v>16</v>
      </c>
      <c r="C301">
        <v>40</v>
      </c>
      <c r="D301">
        <v>95</v>
      </c>
      <c r="E301" t="s">
        <v>19</v>
      </c>
      <c r="F301" t="s">
        <v>170</v>
      </c>
      <c r="G301">
        <v>94.9</v>
      </c>
      <c r="H301" t="s">
        <v>14</v>
      </c>
      <c r="I301" s="2">
        <v>45460</v>
      </c>
      <c r="J301" s="2">
        <v>45519</v>
      </c>
      <c r="K301" t="s">
        <v>21</v>
      </c>
    </row>
    <row r="302" spans="1:11" x14ac:dyDescent="0.25">
      <c r="A302" t="s">
        <v>88</v>
      </c>
      <c r="B302" t="s">
        <v>23</v>
      </c>
      <c r="C302">
        <v>10</v>
      </c>
      <c r="D302">
        <v>91</v>
      </c>
      <c r="E302" t="s">
        <v>19</v>
      </c>
      <c r="F302" t="s">
        <v>173</v>
      </c>
      <c r="G302">
        <v>188.62</v>
      </c>
      <c r="H302" t="s">
        <v>26</v>
      </c>
      <c r="I302" s="2">
        <v>45434</v>
      </c>
      <c r="J302" s="2">
        <v>45466</v>
      </c>
      <c r="K302" t="s">
        <v>172</v>
      </c>
    </row>
    <row r="303" spans="1:11" x14ac:dyDescent="0.25">
      <c r="A303" t="s">
        <v>90</v>
      </c>
      <c r="B303" t="s">
        <v>30</v>
      </c>
      <c r="C303">
        <v>0</v>
      </c>
      <c r="D303">
        <v>87</v>
      </c>
      <c r="E303" t="s">
        <v>19</v>
      </c>
      <c r="F303" t="s">
        <v>174</v>
      </c>
      <c r="G303">
        <v>404.31</v>
      </c>
      <c r="H303" t="s">
        <v>26</v>
      </c>
      <c r="I303" s="2">
        <v>45370</v>
      </c>
      <c r="J303" s="2">
        <v>45420</v>
      </c>
    </row>
    <row r="304" spans="1:11" x14ac:dyDescent="0.25">
      <c r="A304" t="s">
        <v>91</v>
      </c>
      <c r="B304" t="s">
        <v>23</v>
      </c>
      <c r="C304">
        <v>45</v>
      </c>
      <c r="D304">
        <v>52</v>
      </c>
      <c r="E304" t="s">
        <v>19</v>
      </c>
      <c r="F304" t="s">
        <v>170</v>
      </c>
      <c r="G304">
        <v>492.5</v>
      </c>
      <c r="H304" t="s">
        <v>14</v>
      </c>
      <c r="I304" s="2">
        <v>45381</v>
      </c>
      <c r="J304" s="2">
        <v>45447</v>
      </c>
      <c r="K304" t="s">
        <v>17</v>
      </c>
    </row>
    <row r="305" spans="1:11" x14ac:dyDescent="0.25">
      <c r="A305" t="s">
        <v>96</v>
      </c>
      <c r="B305" t="s">
        <v>12</v>
      </c>
      <c r="C305">
        <v>56</v>
      </c>
      <c r="D305">
        <v>67</v>
      </c>
      <c r="E305" t="s">
        <v>19</v>
      </c>
      <c r="F305" t="s">
        <v>173</v>
      </c>
      <c r="G305">
        <v>356.11</v>
      </c>
      <c r="H305" t="s">
        <v>14</v>
      </c>
      <c r="I305" s="2">
        <v>45535</v>
      </c>
      <c r="J305" s="2">
        <v>45615</v>
      </c>
      <c r="K305" t="s">
        <v>21</v>
      </c>
    </row>
    <row r="306" spans="1:11" x14ac:dyDescent="0.25">
      <c r="A306" t="s">
        <v>97</v>
      </c>
      <c r="B306" t="s">
        <v>16</v>
      </c>
      <c r="C306">
        <v>0</v>
      </c>
      <c r="D306">
        <v>88</v>
      </c>
      <c r="E306" t="s">
        <v>19</v>
      </c>
      <c r="F306" t="s">
        <v>170</v>
      </c>
      <c r="G306">
        <v>87.82</v>
      </c>
      <c r="H306" t="s">
        <v>26</v>
      </c>
      <c r="I306" s="2">
        <v>45298</v>
      </c>
      <c r="J306" s="2">
        <v>45381</v>
      </c>
      <c r="K306" t="s">
        <v>21</v>
      </c>
    </row>
    <row r="307" spans="1:11" x14ac:dyDescent="0.25">
      <c r="A307" t="s">
        <v>88</v>
      </c>
      <c r="B307" t="s">
        <v>23</v>
      </c>
      <c r="C307">
        <v>62</v>
      </c>
      <c r="D307">
        <v>81</v>
      </c>
      <c r="E307" t="s">
        <v>19</v>
      </c>
      <c r="F307" t="s">
        <v>173</v>
      </c>
      <c r="G307">
        <v>391.41</v>
      </c>
      <c r="H307" t="s">
        <v>20</v>
      </c>
      <c r="I307" s="2">
        <v>45437</v>
      </c>
      <c r="J307" s="2">
        <v>45506</v>
      </c>
      <c r="K307" t="s">
        <v>21</v>
      </c>
    </row>
    <row r="308" spans="1:11" x14ac:dyDescent="0.25">
      <c r="A308" t="s">
        <v>98</v>
      </c>
      <c r="B308" t="s">
        <v>12</v>
      </c>
      <c r="C308">
        <v>54</v>
      </c>
      <c r="D308">
        <v>83</v>
      </c>
      <c r="E308" t="s">
        <v>19</v>
      </c>
      <c r="F308" t="s">
        <v>170</v>
      </c>
      <c r="G308">
        <v>476.35</v>
      </c>
      <c r="H308" t="s">
        <v>20</v>
      </c>
      <c r="I308" s="2">
        <v>45587</v>
      </c>
      <c r="J308" s="2">
        <v>45643</v>
      </c>
      <c r="K308" t="s">
        <v>21</v>
      </c>
    </row>
    <row r="309" spans="1:11" x14ac:dyDescent="0.25">
      <c r="A309" t="s">
        <v>101</v>
      </c>
      <c r="B309" t="s">
        <v>12</v>
      </c>
      <c r="C309">
        <v>52</v>
      </c>
      <c r="D309">
        <v>67</v>
      </c>
      <c r="E309" t="s">
        <v>19</v>
      </c>
      <c r="F309" t="s">
        <v>170</v>
      </c>
      <c r="G309">
        <v>380.71</v>
      </c>
      <c r="H309" t="s">
        <v>14</v>
      </c>
      <c r="I309" s="2">
        <v>45317</v>
      </c>
      <c r="J309" s="2">
        <v>45382</v>
      </c>
      <c r="K309" t="s">
        <v>172</v>
      </c>
    </row>
    <row r="310" spans="1:11" x14ac:dyDescent="0.25">
      <c r="A310" t="s">
        <v>103</v>
      </c>
      <c r="B310" t="s">
        <v>16</v>
      </c>
      <c r="C310">
        <v>56</v>
      </c>
      <c r="D310">
        <v>96</v>
      </c>
      <c r="E310" t="s">
        <v>19</v>
      </c>
      <c r="F310" t="s">
        <v>173</v>
      </c>
      <c r="G310">
        <v>256.89999999999998</v>
      </c>
      <c r="H310" t="s">
        <v>20</v>
      </c>
      <c r="I310" s="2">
        <v>45443</v>
      </c>
      <c r="J310" s="2">
        <v>45522</v>
      </c>
      <c r="K310" t="s">
        <v>21</v>
      </c>
    </row>
    <row r="311" spans="1:11" x14ac:dyDescent="0.25">
      <c r="A311" t="s">
        <v>108</v>
      </c>
      <c r="B311" t="s">
        <v>30</v>
      </c>
      <c r="C311">
        <v>24</v>
      </c>
      <c r="D311">
        <v>89</v>
      </c>
      <c r="E311" t="s">
        <v>19</v>
      </c>
      <c r="F311" t="s">
        <v>174</v>
      </c>
      <c r="G311">
        <v>233.55</v>
      </c>
      <c r="H311" t="s">
        <v>20</v>
      </c>
      <c r="I311" s="2">
        <v>45333</v>
      </c>
      <c r="J311" s="2">
        <v>45405</v>
      </c>
      <c r="K311" t="s">
        <v>17</v>
      </c>
    </row>
    <row r="312" spans="1:11" x14ac:dyDescent="0.25">
      <c r="A312" t="s">
        <v>109</v>
      </c>
      <c r="B312" t="s">
        <v>16</v>
      </c>
      <c r="C312">
        <v>37</v>
      </c>
      <c r="D312">
        <v>94</v>
      </c>
      <c r="E312" t="s">
        <v>19</v>
      </c>
      <c r="F312" t="s">
        <v>170</v>
      </c>
      <c r="G312">
        <v>365.85</v>
      </c>
      <c r="H312" t="s">
        <v>26</v>
      </c>
      <c r="I312" s="2">
        <v>45622</v>
      </c>
      <c r="J312" s="2">
        <v>45688</v>
      </c>
      <c r="K312" t="s">
        <v>17</v>
      </c>
    </row>
    <row r="313" spans="1:11" x14ac:dyDescent="0.25">
      <c r="A313" t="s">
        <v>91</v>
      </c>
      <c r="B313" t="s">
        <v>28</v>
      </c>
      <c r="C313">
        <v>16</v>
      </c>
      <c r="D313">
        <v>84</v>
      </c>
      <c r="E313" t="s">
        <v>19</v>
      </c>
      <c r="F313" t="s">
        <v>174</v>
      </c>
      <c r="G313">
        <v>175.94</v>
      </c>
      <c r="H313" t="s">
        <v>26</v>
      </c>
      <c r="I313" s="2">
        <v>45650</v>
      </c>
      <c r="J313" s="2">
        <v>45727</v>
      </c>
      <c r="K313" t="s">
        <v>21</v>
      </c>
    </row>
    <row r="314" spans="1:11" x14ac:dyDescent="0.25">
      <c r="A314" t="s">
        <v>77</v>
      </c>
      <c r="B314" t="s">
        <v>23</v>
      </c>
      <c r="C314">
        <v>24</v>
      </c>
      <c r="D314">
        <v>68</v>
      </c>
      <c r="E314" t="s">
        <v>19</v>
      </c>
      <c r="F314" t="s">
        <v>173</v>
      </c>
      <c r="G314">
        <v>250.65</v>
      </c>
      <c r="H314" t="s">
        <v>26</v>
      </c>
      <c r="I314" s="2">
        <v>45447</v>
      </c>
      <c r="J314" s="2">
        <v>45497</v>
      </c>
    </row>
    <row r="315" spans="1:11" x14ac:dyDescent="0.25">
      <c r="A315" t="s">
        <v>77</v>
      </c>
      <c r="B315" t="s">
        <v>23</v>
      </c>
      <c r="C315">
        <v>87</v>
      </c>
      <c r="D315">
        <v>91</v>
      </c>
      <c r="E315" t="s">
        <v>19</v>
      </c>
      <c r="F315" t="s">
        <v>170</v>
      </c>
      <c r="G315">
        <v>368.55</v>
      </c>
      <c r="H315" t="s">
        <v>14</v>
      </c>
      <c r="I315" s="2">
        <v>45615</v>
      </c>
      <c r="J315" s="2">
        <v>45630</v>
      </c>
      <c r="K315" t="s">
        <v>17</v>
      </c>
    </row>
    <row r="316" spans="1:11" x14ac:dyDescent="0.25">
      <c r="A316" t="s">
        <v>93</v>
      </c>
      <c r="B316" t="s">
        <v>23</v>
      </c>
      <c r="C316">
        <v>28</v>
      </c>
      <c r="D316">
        <v>85</v>
      </c>
      <c r="E316" t="s">
        <v>19</v>
      </c>
      <c r="F316" t="s">
        <v>173</v>
      </c>
      <c r="G316">
        <v>420.3</v>
      </c>
      <c r="H316" t="s">
        <v>26</v>
      </c>
      <c r="I316" s="2">
        <v>45484</v>
      </c>
      <c r="J316" s="2">
        <v>45519</v>
      </c>
      <c r="K316" t="s">
        <v>21</v>
      </c>
    </row>
    <row r="317" spans="1:11" x14ac:dyDescent="0.25">
      <c r="A317" t="s">
        <v>117</v>
      </c>
      <c r="B317" t="s">
        <v>23</v>
      </c>
      <c r="C317">
        <v>62</v>
      </c>
      <c r="D317">
        <v>65</v>
      </c>
      <c r="E317" t="s">
        <v>19</v>
      </c>
      <c r="F317" t="s">
        <v>174</v>
      </c>
      <c r="G317">
        <v>10.65</v>
      </c>
      <c r="H317" t="s">
        <v>20</v>
      </c>
      <c r="I317" s="2">
        <v>45650</v>
      </c>
      <c r="J317" s="2">
        <v>45720</v>
      </c>
      <c r="K317" t="s">
        <v>172</v>
      </c>
    </row>
    <row r="318" spans="1:11" x14ac:dyDescent="0.25">
      <c r="A318" t="s">
        <v>98</v>
      </c>
      <c r="B318" t="s">
        <v>28</v>
      </c>
      <c r="C318">
        <v>48</v>
      </c>
      <c r="D318">
        <v>67</v>
      </c>
      <c r="E318" t="s">
        <v>19</v>
      </c>
      <c r="F318" t="s">
        <v>170</v>
      </c>
      <c r="G318">
        <v>353.91</v>
      </c>
      <c r="H318" t="s">
        <v>26</v>
      </c>
      <c r="I318" s="2">
        <v>45651</v>
      </c>
      <c r="J318" s="2">
        <v>45670</v>
      </c>
      <c r="K318" t="s">
        <v>21</v>
      </c>
    </row>
    <row r="319" spans="1:11" x14ac:dyDescent="0.25">
      <c r="A319" t="s">
        <v>83</v>
      </c>
      <c r="B319" t="s">
        <v>30</v>
      </c>
      <c r="C319">
        <v>80</v>
      </c>
      <c r="D319">
        <v>89</v>
      </c>
      <c r="E319" t="s">
        <v>19</v>
      </c>
      <c r="F319" t="s">
        <v>170</v>
      </c>
      <c r="G319">
        <v>275.48</v>
      </c>
      <c r="H319" t="s">
        <v>26</v>
      </c>
      <c r="I319" s="2">
        <v>45523</v>
      </c>
      <c r="J319" s="2">
        <v>45555</v>
      </c>
      <c r="K319" t="s">
        <v>17</v>
      </c>
    </row>
    <row r="320" spans="1:11" x14ac:dyDescent="0.25">
      <c r="A320" t="s">
        <v>126</v>
      </c>
      <c r="B320" t="s">
        <v>23</v>
      </c>
      <c r="C320">
        <v>0</v>
      </c>
      <c r="D320">
        <v>67</v>
      </c>
      <c r="E320" t="s">
        <v>19</v>
      </c>
      <c r="F320" t="s">
        <v>174</v>
      </c>
      <c r="G320">
        <v>82.85</v>
      </c>
      <c r="H320" t="s">
        <v>26</v>
      </c>
      <c r="I320" s="2">
        <v>45468</v>
      </c>
      <c r="J320" s="2">
        <v>45537</v>
      </c>
    </row>
    <row r="321" spans="1:11" x14ac:dyDescent="0.25">
      <c r="A321" t="s">
        <v>116</v>
      </c>
      <c r="B321" t="s">
        <v>30</v>
      </c>
      <c r="C321">
        <v>31</v>
      </c>
      <c r="D321">
        <v>99</v>
      </c>
      <c r="E321" t="s">
        <v>19</v>
      </c>
      <c r="F321" t="s">
        <v>170</v>
      </c>
      <c r="G321">
        <v>128.97999999999999</v>
      </c>
      <c r="H321" t="s">
        <v>20</v>
      </c>
      <c r="I321" s="2">
        <v>45473</v>
      </c>
      <c r="J321" s="2">
        <v>45560</v>
      </c>
      <c r="K321" t="s">
        <v>21</v>
      </c>
    </row>
    <row r="322" spans="1:11" x14ac:dyDescent="0.25">
      <c r="A322" t="s">
        <v>74</v>
      </c>
      <c r="B322" t="s">
        <v>28</v>
      </c>
      <c r="C322">
        <v>28</v>
      </c>
      <c r="D322">
        <v>34</v>
      </c>
      <c r="E322" t="s">
        <v>19</v>
      </c>
      <c r="F322" t="s">
        <v>170</v>
      </c>
      <c r="G322">
        <v>288.01</v>
      </c>
      <c r="H322" t="s">
        <v>26</v>
      </c>
      <c r="I322" s="2">
        <v>45435</v>
      </c>
      <c r="J322" s="2">
        <v>45468</v>
      </c>
      <c r="K322" t="s">
        <v>17</v>
      </c>
    </row>
    <row r="323" spans="1:11" x14ac:dyDescent="0.25">
      <c r="A323" t="s">
        <v>128</v>
      </c>
      <c r="B323" t="s">
        <v>30</v>
      </c>
      <c r="C323">
        <v>29</v>
      </c>
      <c r="D323">
        <v>94</v>
      </c>
      <c r="E323" t="s">
        <v>19</v>
      </c>
      <c r="F323" t="s">
        <v>173</v>
      </c>
      <c r="G323">
        <v>11.02</v>
      </c>
      <c r="H323" t="s">
        <v>14</v>
      </c>
      <c r="I323" s="2">
        <v>45478</v>
      </c>
      <c r="J323" s="2">
        <v>45534</v>
      </c>
      <c r="K323" t="s">
        <v>17</v>
      </c>
    </row>
    <row r="324" spans="1:11" x14ac:dyDescent="0.25">
      <c r="A324" t="s">
        <v>84</v>
      </c>
      <c r="B324" t="s">
        <v>23</v>
      </c>
      <c r="C324">
        <v>18</v>
      </c>
      <c r="D324">
        <v>87</v>
      </c>
      <c r="E324" t="s">
        <v>19</v>
      </c>
      <c r="F324" t="s">
        <v>173</v>
      </c>
      <c r="G324">
        <v>276.69</v>
      </c>
      <c r="H324" t="s">
        <v>14</v>
      </c>
      <c r="I324" s="2">
        <v>45433</v>
      </c>
      <c r="J324" s="2">
        <v>45467</v>
      </c>
      <c r="K324" t="s">
        <v>172</v>
      </c>
    </row>
    <row r="325" spans="1:11" x14ac:dyDescent="0.25">
      <c r="A325" t="s">
        <v>129</v>
      </c>
      <c r="B325" t="s">
        <v>16</v>
      </c>
      <c r="C325">
        <v>17</v>
      </c>
      <c r="D325">
        <v>40</v>
      </c>
      <c r="E325" t="s">
        <v>19</v>
      </c>
      <c r="F325" t="s">
        <v>170</v>
      </c>
      <c r="G325">
        <v>147.38</v>
      </c>
      <c r="H325" t="s">
        <v>14</v>
      </c>
      <c r="I325" s="2">
        <v>45443</v>
      </c>
      <c r="J325" s="2">
        <v>45530</v>
      </c>
      <c r="K325" t="s">
        <v>17</v>
      </c>
    </row>
    <row r="326" spans="1:11" x14ac:dyDescent="0.25">
      <c r="A326" t="s">
        <v>79</v>
      </c>
      <c r="B326" t="s">
        <v>30</v>
      </c>
      <c r="C326">
        <v>0</v>
      </c>
      <c r="D326">
        <v>32</v>
      </c>
      <c r="E326" t="s">
        <v>19</v>
      </c>
      <c r="F326" t="s">
        <v>173</v>
      </c>
      <c r="G326">
        <v>156.85</v>
      </c>
      <c r="H326" t="s">
        <v>14</v>
      </c>
      <c r="I326" s="2">
        <v>45598</v>
      </c>
      <c r="J326" s="2">
        <v>45629</v>
      </c>
    </row>
    <row r="327" spans="1:11" x14ac:dyDescent="0.25">
      <c r="A327" t="s">
        <v>88</v>
      </c>
      <c r="B327" t="s">
        <v>16</v>
      </c>
      <c r="C327">
        <v>7</v>
      </c>
      <c r="D327">
        <v>55</v>
      </c>
      <c r="E327" t="s">
        <v>19</v>
      </c>
      <c r="F327" t="s">
        <v>170</v>
      </c>
      <c r="G327">
        <v>33.01</v>
      </c>
      <c r="H327" t="s">
        <v>20</v>
      </c>
      <c r="I327" s="2">
        <v>45650</v>
      </c>
      <c r="J327" s="2">
        <v>45700</v>
      </c>
      <c r="K327" t="s">
        <v>17</v>
      </c>
    </row>
    <row r="328" spans="1:11" x14ac:dyDescent="0.25">
      <c r="A328" t="s">
        <v>109</v>
      </c>
      <c r="B328" t="s">
        <v>23</v>
      </c>
      <c r="C328">
        <v>31</v>
      </c>
      <c r="D328">
        <v>96</v>
      </c>
      <c r="E328" t="s">
        <v>19</v>
      </c>
      <c r="F328" t="s">
        <v>170</v>
      </c>
      <c r="G328">
        <v>317.98</v>
      </c>
      <c r="H328" t="s">
        <v>20</v>
      </c>
      <c r="I328" s="2">
        <v>45485</v>
      </c>
      <c r="J328" s="2">
        <v>45568</v>
      </c>
      <c r="K328" t="s">
        <v>172</v>
      </c>
    </row>
    <row r="329" spans="1:11" x14ac:dyDescent="0.25">
      <c r="A329" t="s">
        <v>108</v>
      </c>
      <c r="B329" t="s">
        <v>28</v>
      </c>
      <c r="C329">
        <v>9</v>
      </c>
      <c r="D329">
        <v>23</v>
      </c>
      <c r="E329" t="s">
        <v>19</v>
      </c>
      <c r="F329" t="s">
        <v>174</v>
      </c>
      <c r="G329">
        <v>103.5</v>
      </c>
      <c r="H329" t="s">
        <v>14</v>
      </c>
      <c r="I329" s="2">
        <v>45570</v>
      </c>
      <c r="J329" s="2">
        <v>45614</v>
      </c>
      <c r="K329" t="s">
        <v>172</v>
      </c>
    </row>
    <row r="330" spans="1:11" x14ac:dyDescent="0.25">
      <c r="A330" t="s">
        <v>99</v>
      </c>
      <c r="B330" t="s">
        <v>28</v>
      </c>
      <c r="C330">
        <v>31</v>
      </c>
      <c r="D330">
        <v>50</v>
      </c>
      <c r="E330" t="s">
        <v>19</v>
      </c>
      <c r="F330" t="s">
        <v>174</v>
      </c>
      <c r="G330">
        <v>218.85</v>
      </c>
      <c r="H330" t="s">
        <v>14</v>
      </c>
      <c r="I330" s="2">
        <v>45594</v>
      </c>
      <c r="J330" s="2">
        <v>45632</v>
      </c>
      <c r="K330" t="s">
        <v>172</v>
      </c>
    </row>
    <row r="331" spans="1:11" x14ac:dyDescent="0.25">
      <c r="A331" t="s">
        <v>114</v>
      </c>
      <c r="B331" t="s">
        <v>23</v>
      </c>
      <c r="C331">
        <v>7</v>
      </c>
      <c r="D331">
        <v>61</v>
      </c>
      <c r="E331" t="s">
        <v>19</v>
      </c>
      <c r="F331" t="s">
        <v>173</v>
      </c>
      <c r="G331">
        <v>93.79</v>
      </c>
      <c r="H331" t="s">
        <v>20</v>
      </c>
      <c r="I331" s="2">
        <v>45430</v>
      </c>
      <c r="J331" s="2">
        <v>45486</v>
      </c>
    </row>
    <row r="332" spans="1:11" x14ac:dyDescent="0.25">
      <c r="A332" t="s">
        <v>102</v>
      </c>
      <c r="B332" t="s">
        <v>28</v>
      </c>
      <c r="C332">
        <v>64</v>
      </c>
      <c r="D332">
        <v>80</v>
      </c>
      <c r="E332" t="s">
        <v>19</v>
      </c>
      <c r="F332" t="s">
        <v>173</v>
      </c>
      <c r="G332">
        <v>485.48</v>
      </c>
      <c r="H332" t="s">
        <v>14</v>
      </c>
      <c r="I332" s="2">
        <v>45609</v>
      </c>
      <c r="J332" s="2">
        <v>45680</v>
      </c>
    </row>
    <row r="333" spans="1:11" x14ac:dyDescent="0.25">
      <c r="A333" t="s">
        <v>18</v>
      </c>
      <c r="B333" t="s">
        <v>12</v>
      </c>
      <c r="C333">
        <v>56</v>
      </c>
      <c r="D333">
        <v>61</v>
      </c>
      <c r="E333" t="s">
        <v>19</v>
      </c>
      <c r="F333" t="s">
        <v>170</v>
      </c>
      <c r="G333">
        <v>61.09</v>
      </c>
      <c r="H333" t="s">
        <v>14</v>
      </c>
      <c r="I333" s="2">
        <v>45433</v>
      </c>
      <c r="J333" s="2">
        <v>45459</v>
      </c>
      <c r="K333" t="s">
        <v>17</v>
      </c>
    </row>
    <row r="334" spans="1:11" x14ac:dyDescent="0.25">
      <c r="A334" t="s">
        <v>126</v>
      </c>
      <c r="B334" t="s">
        <v>12</v>
      </c>
      <c r="C334">
        <v>66</v>
      </c>
      <c r="D334">
        <v>75</v>
      </c>
      <c r="E334" t="s">
        <v>19</v>
      </c>
      <c r="F334" t="s">
        <v>173</v>
      </c>
      <c r="G334">
        <v>204.78</v>
      </c>
      <c r="H334" t="s">
        <v>14</v>
      </c>
      <c r="I334" s="2">
        <v>45654</v>
      </c>
      <c r="J334" s="2">
        <v>45685</v>
      </c>
      <c r="K334" t="s">
        <v>17</v>
      </c>
    </row>
    <row r="335" spans="1:11" x14ac:dyDescent="0.25">
      <c r="A335" t="s">
        <v>139</v>
      </c>
      <c r="B335" t="s">
        <v>16</v>
      </c>
      <c r="C335">
        <v>71</v>
      </c>
      <c r="D335">
        <v>87</v>
      </c>
      <c r="E335" t="s">
        <v>19</v>
      </c>
      <c r="F335" t="s">
        <v>174</v>
      </c>
      <c r="G335">
        <v>353.75</v>
      </c>
      <c r="H335" t="s">
        <v>14</v>
      </c>
      <c r="I335" s="2">
        <v>45558</v>
      </c>
      <c r="J335" s="2">
        <v>45647</v>
      </c>
    </row>
    <row r="336" spans="1:11" x14ac:dyDescent="0.25">
      <c r="A336" t="s">
        <v>75</v>
      </c>
      <c r="B336" t="s">
        <v>28</v>
      </c>
      <c r="C336">
        <v>66</v>
      </c>
      <c r="D336">
        <v>73</v>
      </c>
      <c r="E336" t="s">
        <v>19</v>
      </c>
      <c r="F336" t="s">
        <v>174</v>
      </c>
      <c r="G336">
        <v>176.53</v>
      </c>
      <c r="H336" t="s">
        <v>26</v>
      </c>
      <c r="I336" s="2">
        <v>45387</v>
      </c>
      <c r="J336" s="2">
        <v>45402</v>
      </c>
      <c r="K336" t="s">
        <v>21</v>
      </c>
    </row>
    <row r="337" spans="1:11" x14ac:dyDescent="0.25">
      <c r="A337" t="s">
        <v>141</v>
      </c>
      <c r="B337" t="s">
        <v>23</v>
      </c>
      <c r="C337">
        <v>7</v>
      </c>
      <c r="D337">
        <v>66</v>
      </c>
      <c r="E337" t="s">
        <v>19</v>
      </c>
      <c r="F337" t="s">
        <v>170</v>
      </c>
      <c r="G337">
        <v>244.1</v>
      </c>
      <c r="H337" t="s">
        <v>14</v>
      </c>
      <c r="I337" s="2">
        <v>45384</v>
      </c>
      <c r="J337" s="2">
        <v>45426</v>
      </c>
    </row>
    <row r="338" spans="1:11" x14ac:dyDescent="0.25">
      <c r="A338" t="s">
        <v>130</v>
      </c>
      <c r="B338" t="s">
        <v>23</v>
      </c>
      <c r="C338">
        <v>34</v>
      </c>
      <c r="D338">
        <v>41</v>
      </c>
      <c r="E338" t="s">
        <v>19</v>
      </c>
      <c r="F338" t="s">
        <v>173</v>
      </c>
      <c r="G338">
        <v>147.29</v>
      </c>
      <c r="H338" t="s">
        <v>20</v>
      </c>
      <c r="I338" s="2">
        <v>45541</v>
      </c>
      <c r="J338" s="2">
        <v>45615</v>
      </c>
    </row>
    <row r="339" spans="1:11" x14ac:dyDescent="0.25">
      <c r="A339" t="s">
        <v>102</v>
      </c>
      <c r="B339" t="s">
        <v>12</v>
      </c>
      <c r="C339">
        <v>6</v>
      </c>
      <c r="D339">
        <v>87</v>
      </c>
      <c r="E339" t="s">
        <v>19</v>
      </c>
      <c r="F339" t="s">
        <v>173</v>
      </c>
      <c r="G339">
        <v>482.68</v>
      </c>
      <c r="H339" t="s">
        <v>14</v>
      </c>
      <c r="I339" s="2">
        <v>45578</v>
      </c>
      <c r="J339" s="2">
        <v>45619</v>
      </c>
      <c r="K339" t="s">
        <v>17</v>
      </c>
    </row>
    <row r="340" spans="1:11" x14ac:dyDescent="0.25">
      <c r="A340" t="s">
        <v>128</v>
      </c>
      <c r="B340" t="s">
        <v>30</v>
      </c>
      <c r="C340">
        <v>6</v>
      </c>
      <c r="D340">
        <v>43</v>
      </c>
      <c r="E340" t="s">
        <v>19</v>
      </c>
      <c r="F340" t="s">
        <v>170</v>
      </c>
      <c r="G340">
        <v>339.63</v>
      </c>
      <c r="H340" t="s">
        <v>26</v>
      </c>
      <c r="I340" s="2">
        <v>45610</v>
      </c>
      <c r="J340" s="2">
        <v>45663</v>
      </c>
    </row>
    <row r="341" spans="1:11" x14ac:dyDescent="0.25">
      <c r="A341" t="s">
        <v>80</v>
      </c>
      <c r="B341" t="s">
        <v>23</v>
      </c>
      <c r="C341">
        <v>35</v>
      </c>
      <c r="D341">
        <v>93</v>
      </c>
      <c r="E341" t="s">
        <v>19</v>
      </c>
      <c r="F341" t="s">
        <v>173</v>
      </c>
      <c r="G341">
        <v>57.42</v>
      </c>
      <c r="H341" t="s">
        <v>26</v>
      </c>
      <c r="I341" s="2">
        <v>45388</v>
      </c>
      <c r="J341" s="2">
        <v>45420</v>
      </c>
      <c r="K341" t="s">
        <v>21</v>
      </c>
    </row>
    <row r="342" spans="1:11" x14ac:dyDescent="0.25">
      <c r="A342" t="s">
        <v>135</v>
      </c>
      <c r="B342" t="s">
        <v>30</v>
      </c>
      <c r="C342">
        <v>28</v>
      </c>
      <c r="D342">
        <v>74</v>
      </c>
      <c r="E342" t="s">
        <v>19</v>
      </c>
      <c r="F342" t="s">
        <v>173</v>
      </c>
      <c r="G342">
        <v>81.64</v>
      </c>
      <c r="H342" t="s">
        <v>26</v>
      </c>
      <c r="I342" s="2">
        <v>45656</v>
      </c>
      <c r="J342" s="2">
        <v>45708</v>
      </c>
    </row>
    <row r="343" spans="1:11" x14ac:dyDescent="0.25">
      <c r="A343" t="s">
        <v>146</v>
      </c>
      <c r="B343" t="s">
        <v>23</v>
      </c>
      <c r="C343">
        <v>1</v>
      </c>
      <c r="D343">
        <v>68</v>
      </c>
      <c r="E343" t="s">
        <v>19</v>
      </c>
      <c r="F343" t="s">
        <v>170</v>
      </c>
      <c r="G343">
        <v>442.08</v>
      </c>
      <c r="H343" t="s">
        <v>20</v>
      </c>
      <c r="I343" s="2">
        <v>45421</v>
      </c>
      <c r="J343" s="2">
        <v>45508</v>
      </c>
      <c r="K343" t="s">
        <v>21</v>
      </c>
    </row>
    <row r="344" spans="1:11" x14ac:dyDescent="0.25">
      <c r="A344" t="s">
        <v>83</v>
      </c>
      <c r="B344" t="s">
        <v>28</v>
      </c>
      <c r="C344">
        <v>10</v>
      </c>
      <c r="D344">
        <v>56</v>
      </c>
      <c r="E344" t="s">
        <v>19</v>
      </c>
      <c r="F344" t="s">
        <v>174</v>
      </c>
      <c r="G344">
        <v>207.04</v>
      </c>
      <c r="H344" t="s">
        <v>14</v>
      </c>
      <c r="I344" s="2">
        <v>45465</v>
      </c>
      <c r="J344" s="2">
        <v>45493</v>
      </c>
      <c r="K344" t="s">
        <v>21</v>
      </c>
    </row>
    <row r="345" spans="1:11" x14ac:dyDescent="0.25">
      <c r="A345" t="s">
        <v>147</v>
      </c>
      <c r="B345" t="s">
        <v>16</v>
      </c>
      <c r="C345">
        <v>19</v>
      </c>
      <c r="D345">
        <v>30</v>
      </c>
      <c r="E345" t="s">
        <v>19</v>
      </c>
      <c r="F345" t="s">
        <v>173</v>
      </c>
      <c r="G345">
        <v>479</v>
      </c>
      <c r="H345" t="s">
        <v>26</v>
      </c>
      <c r="I345" s="2">
        <v>45347</v>
      </c>
      <c r="J345" s="2">
        <v>45386</v>
      </c>
      <c r="K345" t="s">
        <v>21</v>
      </c>
    </row>
    <row r="346" spans="1:11" x14ac:dyDescent="0.25">
      <c r="A346" t="s">
        <v>126</v>
      </c>
      <c r="B346" t="s">
        <v>16</v>
      </c>
      <c r="C346">
        <v>4</v>
      </c>
      <c r="D346">
        <v>29</v>
      </c>
      <c r="E346" t="s">
        <v>19</v>
      </c>
      <c r="F346" t="s">
        <v>173</v>
      </c>
      <c r="G346">
        <v>202.52</v>
      </c>
      <c r="H346" t="s">
        <v>20</v>
      </c>
      <c r="I346" s="2">
        <v>45448</v>
      </c>
      <c r="J346" s="2">
        <v>45490</v>
      </c>
      <c r="K346" t="s">
        <v>21</v>
      </c>
    </row>
    <row r="347" spans="1:11" x14ac:dyDescent="0.25">
      <c r="A347" t="s">
        <v>93</v>
      </c>
      <c r="B347" t="s">
        <v>23</v>
      </c>
      <c r="C347">
        <v>36</v>
      </c>
      <c r="D347">
        <v>92</v>
      </c>
      <c r="E347" t="s">
        <v>19</v>
      </c>
      <c r="F347" t="s">
        <v>170</v>
      </c>
      <c r="G347">
        <v>420.7</v>
      </c>
      <c r="H347" t="s">
        <v>26</v>
      </c>
      <c r="I347" s="2">
        <v>45300</v>
      </c>
      <c r="J347" s="2">
        <v>45380</v>
      </c>
      <c r="K347" t="s">
        <v>172</v>
      </c>
    </row>
    <row r="348" spans="1:11" x14ac:dyDescent="0.25">
      <c r="A348" t="s">
        <v>72</v>
      </c>
      <c r="B348" t="s">
        <v>30</v>
      </c>
      <c r="C348">
        <v>52</v>
      </c>
      <c r="D348">
        <v>76</v>
      </c>
      <c r="E348" t="s">
        <v>19</v>
      </c>
      <c r="F348" t="s">
        <v>173</v>
      </c>
      <c r="G348">
        <v>488.62</v>
      </c>
      <c r="H348" t="s">
        <v>20</v>
      </c>
      <c r="I348" s="2">
        <v>45563</v>
      </c>
      <c r="J348" s="2">
        <v>45600</v>
      </c>
      <c r="K348" t="s">
        <v>17</v>
      </c>
    </row>
    <row r="349" spans="1:11" x14ac:dyDescent="0.25">
      <c r="A349" t="s">
        <v>142</v>
      </c>
      <c r="B349" t="s">
        <v>16</v>
      </c>
      <c r="C349">
        <v>23</v>
      </c>
      <c r="D349">
        <v>26</v>
      </c>
      <c r="E349" t="s">
        <v>19</v>
      </c>
      <c r="F349" t="s">
        <v>170</v>
      </c>
      <c r="G349">
        <v>375.45</v>
      </c>
      <c r="H349" t="s">
        <v>26</v>
      </c>
      <c r="I349" s="2">
        <v>45635</v>
      </c>
      <c r="J349" s="2">
        <v>45717</v>
      </c>
      <c r="K349" t="s">
        <v>21</v>
      </c>
    </row>
    <row r="350" spans="1:11" x14ac:dyDescent="0.25">
      <c r="A350" t="s">
        <v>149</v>
      </c>
      <c r="B350" t="s">
        <v>12</v>
      </c>
      <c r="C350">
        <v>13</v>
      </c>
      <c r="D350">
        <v>79</v>
      </c>
      <c r="E350" t="s">
        <v>19</v>
      </c>
      <c r="F350" t="s">
        <v>174</v>
      </c>
      <c r="G350">
        <v>308.58</v>
      </c>
      <c r="H350" t="s">
        <v>14</v>
      </c>
      <c r="I350" s="2">
        <v>45321</v>
      </c>
      <c r="J350" s="2">
        <v>45347</v>
      </c>
      <c r="K350" t="s">
        <v>17</v>
      </c>
    </row>
    <row r="351" spans="1:11" x14ac:dyDescent="0.25">
      <c r="A351" t="s">
        <v>150</v>
      </c>
      <c r="B351" t="s">
        <v>30</v>
      </c>
      <c r="C351">
        <v>8</v>
      </c>
      <c r="D351">
        <v>65</v>
      </c>
      <c r="E351" t="s">
        <v>19</v>
      </c>
      <c r="F351" t="s">
        <v>173</v>
      </c>
      <c r="G351">
        <v>320.66000000000003</v>
      </c>
      <c r="H351" t="s">
        <v>14</v>
      </c>
      <c r="I351" s="2">
        <v>45527</v>
      </c>
      <c r="J351" s="2">
        <v>45559</v>
      </c>
      <c r="K351" t="s">
        <v>17</v>
      </c>
    </row>
    <row r="352" spans="1:11" x14ac:dyDescent="0.25">
      <c r="A352" t="s">
        <v>135</v>
      </c>
      <c r="B352" t="s">
        <v>12</v>
      </c>
      <c r="C352">
        <v>24</v>
      </c>
      <c r="D352">
        <v>61</v>
      </c>
      <c r="E352" t="s">
        <v>19</v>
      </c>
      <c r="F352" t="s">
        <v>170</v>
      </c>
      <c r="G352">
        <v>50.24</v>
      </c>
      <c r="H352" t="s">
        <v>14</v>
      </c>
      <c r="I352" s="2">
        <v>45307</v>
      </c>
      <c r="J352" s="2">
        <v>45338</v>
      </c>
      <c r="K352" t="s">
        <v>17</v>
      </c>
    </row>
    <row r="353" spans="1:11" x14ac:dyDescent="0.25">
      <c r="A353" t="s">
        <v>132</v>
      </c>
      <c r="B353" t="s">
        <v>12</v>
      </c>
      <c r="C353">
        <v>21</v>
      </c>
      <c r="D353">
        <v>58</v>
      </c>
      <c r="E353" t="s">
        <v>19</v>
      </c>
      <c r="F353" t="s">
        <v>170</v>
      </c>
      <c r="G353">
        <v>439.35</v>
      </c>
      <c r="H353" t="s">
        <v>26</v>
      </c>
      <c r="I353" s="2">
        <v>45332</v>
      </c>
      <c r="J353" s="2">
        <v>45417</v>
      </c>
      <c r="K353" t="s">
        <v>21</v>
      </c>
    </row>
    <row r="354" spans="1:11" x14ac:dyDescent="0.25">
      <c r="A354" t="s">
        <v>146</v>
      </c>
      <c r="B354" t="s">
        <v>23</v>
      </c>
      <c r="C354">
        <v>3</v>
      </c>
      <c r="D354">
        <v>55</v>
      </c>
      <c r="E354" t="s">
        <v>19</v>
      </c>
      <c r="F354" t="s">
        <v>170</v>
      </c>
      <c r="G354">
        <v>370.67</v>
      </c>
      <c r="H354" t="s">
        <v>26</v>
      </c>
      <c r="I354" s="2">
        <v>45588</v>
      </c>
      <c r="J354" s="2">
        <v>45664</v>
      </c>
      <c r="K354" t="s">
        <v>17</v>
      </c>
    </row>
    <row r="355" spans="1:11" x14ac:dyDescent="0.25">
      <c r="A355" t="s">
        <v>80</v>
      </c>
      <c r="B355" t="s">
        <v>23</v>
      </c>
      <c r="C355">
        <v>28</v>
      </c>
      <c r="D355">
        <v>92</v>
      </c>
      <c r="E355" t="s">
        <v>19</v>
      </c>
      <c r="F355" t="s">
        <v>174</v>
      </c>
      <c r="G355">
        <v>111.13</v>
      </c>
      <c r="H355" t="s">
        <v>14</v>
      </c>
      <c r="I355" s="2">
        <v>45350</v>
      </c>
      <c r="J355" s="2">
        <v>45434</v>
      </c>
      <c r="K355" t="s">
        <v>21</v>
      </c>
    </row>
    <row r="356" spans="1:11" x14ac:dyDescent="0.25">
      <c r="A356" t="s">
        <v>104</v>
      </c>
      <c r="B356" t="s">
        <v>12</v>
      </c>
      <c r="C356">
        <v>36</v>
      </c>
      <c r="D356">
        <v>60</v>
      </c>
      <c r="E356" t="s">
        <v>19</v>
      </c>
      <c r="F356" t="s">
        <v>173</v>
      </c>
      <c r="G356">
        <v>35.950000000000003</v>
      </c>
      <c r="H356" t="s">
        <v>14</v>
      </c>
      <c r="I356" s="2">
        <v>45456</v>
      </c>
      <c r="J356" s="2">
        <v>45521</v>
      </c>
      <c r="K356" t="s">
        <v>21</v>
      </c>
    </row>
    <row r="357" spans="1:11" x14ac:dyDescent="0.25">
      <c r="A357" t="s">
        <v>102</v>
      </c>
      <c r="B357" t="s">
        <v>12</v>
      </c>
      <c r="C357">
        <v>74</v>
      </c>
      <c r="D357">
        <v>87</v>
      </c>
      <c r="E357" t="s">
        <v>19</v>
      </c>
      <c r="F357" t="s">
        <v>173</v>
      </c>
      <c r="G357">
        <v>232.18</v>
      </c>
      <c r="H357" t="s">
        <v>20</v>
      </c>
      <c r="I357" s="2">
        <v>45460</v>
      </c>
      <c r="J357" s="2">
        <v>45508</v>
      </c>
      <c r="K357" t="s">
        <v>21</v>
      </c>
    </row>
    <row r="358" spans="1:11" x14ac:dyDescent="0.25">
      <c r="A358" t="s">
        <v>109</v>
      </c>
      <c r="B358" t="s">
        <v>16</v>
      </c>
      <c r="C358">
        <v>41</v>
      </c>
      <c r="D358">
        <v>79</v>
      </c>
      <c r="E358" t="s">
        <v>19</v>
      </c>
      <c r="F358" t="s">
        <v>174</v>
      </c>
      <c r="G358">
        <v>475.99</v>
      </c>
      <c r="H358" t="s">
        <v>26</v>
      </c>
      <c r="I358" s="2">
        <v>45557</v>
      </c>
      <c r="J358" s="2">
        <v>45603</v>
      </c>
      <c r="K358" t="s">
        <v>21</v>
      </c>
    </row>
    <row r="359" spans="1:11" x14ac:dyDescent="0.25">
      <c r="A359" t="s">
        <v>67</v>
      </c>
      <c r="B359" t="s">
        <v>12</v>
      </c>
      <c r="C359">
        <v>40</v>
      </c>
      <c r="D359">
        <v>63</v>
      </c>
      <c r="E359" t="s">
        <v>19</v>
      </c>
      <c r="F359" t="s">
        <v>170</v>
      </c>
      <c r="G359">
        <v>403.52</v>
      </c>
      <c r="H359" t="s">
        <v>26</v>
      </c>
      <c r="I359" s="2">
        <v>45337</v>
      </c>
      <c r="J359" s="2">
        <v>45354</v>
      </c>
    </row>
    <row r="360" spans="1:11" x14ac:dyDescent="0.25">
      <c r="A360" t="s">
        <v>151</v>
      </c>
      <c r="B360" t="s">
        <v>30</v>
      </c>
      <c r="C360">
        <v>33</v>
      </c>
      <c r="D360">
        <v>51</v>
      </c>
      <c r="E360" t="s">
        <v>19</v>
      </c>
      <c r="F360" t="s">
        <v>170</v>
      </c>
      <c r="G360">
        <v>466.69</v>
      </c>
      <c r="H360" t="s">
        <v>20</v>
      </c>
      <c r="I360" s="2">
        <v>45379</v>
      </c>
      <c r="J360" s="2">
        <v>45444</v>
      </c>
      <c r="K360" t="s">
        <v>172</v>
      </c>
    </row>
    <row r="361" spans="1:11" x14ac:dyDescent="0.25">
      <c r="A361" t="s">
        <v>82</v>
      </c>
      <c r="B361" t="s">
        <v>30</v>
      </c>
      <c r="C361">
        <v>16</v>
      </c>
      <c r="D361">
        <v>40</v>
      </c>
      <c r="E361" t="s">
        <v>19</v>
      </c>
      <c r="F361" t="s">
        <v>173</v>
      </c>
      <c r="G361">
        <v>274.41000000000003</v>
      </c>
      <c r="H361" t="s">
        <v>20</v>
      </c>
      <c r="I361" s="2">
        <v>45495</v>
      </c>
      <c r="J361" s="2">
        <v>45576</v>
      </c>
      <c r="K361" t="s">
        <v>172</v>
      </c>
    </row>
    <row r="362" spans="1:11" x14ac:dyDescent="0.25">
      <c r="A362" t="s">
        <v>124</v>
      </c>
      <c r="B362" t="s">
        <v>23</v>
      </c>
      <c r="C362">
        <v>75</v>
      </c>
      <c r="D362">
        <v>86</v>
      </c>
      <c r="E362" t="s">
        <v>19</v>
      </c>
      <c r="F362" t="s">
        <v>170</v>
      </c>
      <c r="G362">
        <v>370.27</v>
      </c>
      <c r="H362" t="s">
        <v>20</v>
      </c>
      <c r="I362" s="2">
        <v>45639</v>
      </c>
      <c r="J362" s="2">
        <v>45666</v>
      </c>
    </row>
    <row r="363" spans="1:11" x14ac:dyDescent="0.25">
      <c r="A363" t="s">
        <v>128</v>
      </c>
      <c r="B363" t="s">
        <v>23</v>
      </c>
      <c r="C363">
        <v>85</v>
      </c>
      <c r="D363">
        <v>89</v>
      </c>
      <c r="E363" t="s">
        <v>19</v>
      </c>
      <c r="F363" t="s">
        <v>173</v>
      </c>
      <c r="G363">
        <v>460.78</v>
      </c>
      <c r="H363" t="s">
        <v>26</v>
      </c>
      <c r="I363" s="2">
        <v>45441</v>
      </c>
      <c r="J363" s="2">
        <v>45472</v>
      </c>
      <c r="K363" t="s">
        <v>172</v>
      </c>
    </row>
    <row r="364" spans="1:11" x14ac:dyDescent="0.25">
      <c r="A364" t="s">
        <v>94</v>
      </c>
      <c r="B364" t="s">
        <v>16</v>
      </c>
      <c r="C364">
        <v>56</v>
      </c>
      <c r="D364">
        <v>63</v>
      </c>
      <c r="E364" t="s">
        <v>19</v>
      </c>
      <c r="F364" t="s">
        <v>174</v>
      </c>
      <c r="G364">
        <v>271.47000000000003</v>
      </c>
      <c r="H364" t="s">
        <v>26</v>
      </c>
      <c r="I364" s="2">
        <v>45397</v>
      </c>
      <c r="J364" s="2">
        <v>45417</v>
      </c>
      <c r="K364" t="s">
        <v>17</v>
      </c>
    </row>
    <row r="365" spans="1:11" x14ac:dyDescent="0.25">
      <c r="A365" t="s">
        <v>145</v>
      </c>
      <c r="B365" t="s">
        <v>12</v>
      </c>
      <c r="C365">
        <v>11</v>
      </c>
      <c r="D365">
        <v>41</v>
      </c>
      <c r="E365" t="s">
        <v>19</v>
      </c>
      <c r="F365" t="s">
        <v>173</v>
      </c>
      <c r="G365">
        <v>394.76</v>
      </c>
      <c r="H365" t="s">
        <v>20</v>
      </c>
      <c r="I365" s="2">
        <v>45598</v>
      </c>
      <c r="J365" s="2">
        <v>45636</v>
      </c>
      <c r="K365" t="s">
        <v>21</v>
      </c>
    </row>
    <row r="366" spans="1:11" x14ac:dyDescent="0.25">
      <c r="A366" t="s">
        <v>78</v>
      </c>
      <c r="B366" t="s">
        <v>30</v>
      </c>
      <c r="C366">
        <v>52</v>
      </c>
      <c r="D366">
        <v>63</v>
      </c>
      <c r="E366" t="s">
        <v>19</v>
      </c>
      <c r="F366" t="s">
        <v>173</v>
      </c>
      <c r="G366">
        <v>229.9</v>
      </c>
      <c r="H366" t="s">
        <v>14</v>
      </c>
      <c r="I366" s="2">
        <v>45625</v>
      </c>
      <c r="J366" s="2">
        <v>45643</v>
      </c>
      <c r="K366" t="s">
        <v>17</v>
      </c>
    </row>
    <row r="367" spans="1:11" x14ac:dyDescent="0.25">
      <c r="A367" t="s">
        <v>147</v>
      </c>
      <c r="B367" t="s">
        <v>12</v>
      </c>
      <c r="C367">
        <v>45</v>
      </c>
      <c r="D367">
        <v>99</v>
      </c>
      <c r="E367" t="s">
        <v>19</v>
      </c>
      <c r="F367" t="s">
        <v>174</v>
      </c>
      <c r="G367">
        <v>36.68</v>
      </c>
      <c r="H367" t="s">
        <v>26</v>
      </c>
      <c r="I367" s="2">
        <v>45339</v>
      </c>
      <c r="J367" s="2">
        <v>45388</v>
      </c>
      <c r="K367" t="s">
        <v>17</v>
      </c>
    </row>
    <row r="368" spans="1:11" x14ac:dyDescent="0.25">
      <c r="A368" t="s">
        <v>152</v>
      </c>
      <c r="B368" t="s">
        <v>30</v>
      </c>
      <c r="C368">
        <v>63</v>
      </c>
      <c r="D368">
        <v>81</v>
      </c>
      <c r="E368" t="s">
        <v>19</v>
      </c>
      <c r="F368" t="s">
        <v>170</v>
      </c>
      <c r="G368">
        <v>413.25</v>
      </c>
      <c r="H368" t="s">
        <v>26</v>
      </c>
      <c r="I368" s="2">
        <v>45367</v>
      </c>
      <c r="J368" s="2">
        <v>45437</v>
      </c>
      <c r="K368" t="s">
        <v>21</v>
      </c>
    </row>
    <row r="369" spans="1:11" x14ac:dyDescent="0.25">
      <c r="A369" t="s">
        <v>154</v>
      </c>
      <c r="B369" t="s">
        <v>23</v>
      </c>
      <c r="C369">
        <v>53</v>
      </c>
      <c r="D369">
        <v>74</v>
      </c>
      <c r="E369" t="s">
        <v>19</v>
      </c>
      <c r="F369" t="s">
        <v>170</v>
      </c>
      <c r="G369">
        <v>224.74</v>
      </c>
      <c r="H369" t="s">
        <v>26</v>
      </c>
      <c r="I369" s="2">
        <v>45295</v>
      </c>
      <c r="J369" s="2">
        <v>45377</v>
      </c>
      <c r="K369" t="s">
        <v>21</v>
      </c>
    </row>
    <row r="370" spans="1:11" x14ac:dyDescent="0.25">
      <c r="A370" t="s">
        <v>128</v>
      </c>
      <c r="B370" t="s">
        <v>16</v>
      </c>
      <c r="C370">
        <v>28</v>
      </c>
      <c r="D370">
        <v>35</v>
      </c>
      <c r="E370" t="s">
        <v>19</v>
      </c>
      <c r="F370" t="s">
        <v>170</v>
      </c>
      <c r="G370">
        <v>383.4</v>
      </c>
      <c r="H370" t="s">
        <v>26</v>
      </c>
      <c r="I370" s="2">
        <v>45486</v>
      </c>
      <c r="J370" s="2">
        <v>45552</v>
      </c>
      <c r="K370" t="s">
        <v>17</v>
      </c>
    </row>
    <row r="371" spans="1:11" x14ac:dyDescent="0.25">
      <c r="A371" t="s">
        <v>78</v>
      </c>
      <c r="B371" t="s">
        <v>28</v>
      </c>
      <c r="C371">
        <v>10</v>
      </c>
      <c r="D371">
        <v>42</v>
      </c>
      <c r="E371" t="s">
        <v>19</v>
      </c>
      <c r="F371" t="s">
        <v>173</v>
      </c>
      <c r="G371">
        <v>329.31</v>
      </c>
      <c r="H371" t="s">
        <v>14</v>
      </c>
      <c r="I371" s="2">
        <v>45468</v>
      </c>
      <c r="J371" s="2">
        <v>45534</v>
      </c>
      <c r="K371" t="s">
        <v>172</v>
      </c>
    </row>
    <row r="372" spans="1:11" x14ac:dyDescent="0.25">
      <c r="A372" t="s">
        <v>54</v>
      </c>
      <c r="B372" t="s">
        <v>23</v>
      </c>
      <c r="C372">
        <v>10</v>
      </c>
      <c r="D372">
        <v>84</v>
      </c>
      <c r="E372" t="s">
        <v>19</v>
      </c>
      <c r="F372" t="s">
        <v>174</v>
      </c>
      <c r="G372">
        <v>83.95</v>
      </c>
      <c r="H372" t="s">
        <v>26</v>
      </c>
      <c r="I372" s="2">
        <v>45511</v>
      </c>
      <c r="J372" s="2">
        <v>45547</v>
      </c>
      <c r="K372" t="s">
        <v>17</v>
      </c>
    </row>
    <row r="373" spans="1:11" x14ac:dyDescent="0.25">
      <c r="A373" t="s">
        <v>54</v>
      </c>
      <c r="B373" t="s">
        <v>28</v>
      </c>
      <c r="C373">
        <v>38</v>
      </c>
      <c r="D373">
        <v>41</v>
      </c>
      <c r="E373" t="s">
        <v>19</v>
      </c>
      <c r="F373" t="s">
        <v>173</v>
      </c>
      <c r="G373">
        <v>333.79</v>
      </c>
      <c r="H373" t="s">
        <v>26</v>
      </c>
      <c r="I373" s="2">
        <v>45303</v>
      </c>
      <c r="J373" s="2">
        <v>45375</v>
      </c>
      <c r="K373" t="s">
        <v>21</v>
      </c>
    </row>
    <row r="374" spans="1:11" x14ac:dyDescent="0.25">
      <c r="A374" t="s">
        <v>134</v>
      </c>
      <c r="B374" t="s">
        <v>23</v>
      </c>
      <c r="C374">
        <v>53</v>
      </c>
      <c r="D374">
        <v>91</v>
      </c>
      <c r="E374" t="s">
        <v>19</v>
      </c>
      <c r="F374" t="s">
        <v>174</v>
      </c>
      <c r="G374">
        <v>441.44</v>
      </c>
      <c r="H374" t="s">
        <v>14</v>
      </c>
      <c r="I374" s="2">
        <v>45343</v>
      </c>
      <c r="J374" s="2">
        <v>45369</v>
      </c>
      <c r="K374" t="s">
        <v>21</v>
      </c>
    </row>
    <row r="375" spans="1:11" x14ac:dyDescent="0.25">
      <c r="A375" t="s">
        <v>114</v>
      </c>
      <c r="B375" t="s">
        <v>12</v>
      </c>
      <c r="C375">
        <v>32</v>
      </c>
      <c r="D375">
        <v>42</v>
      </c>
      <c r="E375" t="s">
        <v>19</v>
      </c>
      <c r="F375" t="s">
        <v>170</v>
      </c>
      <c r="G375">
        <v>270.10000000000002</v>
      </c>
      <c r="H375" t="s">
        <v>26</v>
      </c>
      <c r="I375" s="2">
        <v>45361</v>
      </c>
      <c r="J375" s="2">
        <v>45388</v>
      </c>
      <c r="K375" t="s">
        <v>17</v>
      </c>
    </row>
    <row r="376" spans="1:11" x14ac:dyDescent="0.25">
      <c r="A376" t="s">
        <v>145</v>
      </c>
      <c r="B376" t="s">
        <v>12</v>
      </c>
      <c r="C376">
        <v>35</v>
      </c>
      <c r="D376">
        <v>85</v>
      </c>
      <c r="E376" t="s">
        <v>19</v>
      </c>
      <c r="F376" t="s">
        <v>174</v>
      </c>
      <c r="G376">
        <v>181.66</v>
      </c>
      <c r="H376" t="s">
        <v>20</v>
      </c>
      <c r="I376" s="2">
        <v>45587</v>
      </c>
      <c r="J376" s="2">
        <v>45675</v>
      </c>
      <c r="K376" t="s">
        <v>17</v>
      </c>
    </row>
    <row r="377" spans="1:11" x14ac:dyDescent="0.25">
      <c r="A377" t="s">
        <v>128</v>
      </c>
      <c r="B377" t="s">
        <v>16</v>
      </c>
      <c r="C377">
        <v>80</v>
      </c>
      <c r="D377">
        <v>92</v>
      </c>
      <c r="E377" t="s">
        <v>19</v>
      </c>
      <c r="F377" t="s">
        <v>170</v>
      </c>
      <c r="G377">
        <v>415.14</v>
      </c>
      <c r="H377" t="s">
        <v>20</v>
      </c>
      <c r="I377" s="2">
        <v>45589</v>
      </c>
      <c r="J377" s="2">
        <v>45643</v>
      </c>
    </row>
    <row r="378" spans="1:11" x14ac:dyDescent="0.25">
      <c r="A378" t="s">
        <v>77</v>
      </c>
      <c r="B378" t="s">
        <v>28</v>
      </c>
      <c r="C378">
        <v>72</v>
      </c>
      <c r="D378">
        <v>81</v>
      </c>
      <c r="E378" t="s">
        <v>19</v>
      </c>
      <c r="F378" t="s">
        <v>174</v>
      </c>
      <c r="G378">
        <v>166.74</v>
      </c>
      <c r="H378" t="s">
        <v>14</v>
      </c>
      <c r="I378" s="2">
        <v>45323</v>
      </c>
      <c r="J378" s="2">
        <v>45348</v>
      </c>
      <c r="K378" t="s">
        <v>17</v>
      </c>
    </row>
    <row r="379" spans="1:11" x14ac:dyDescent="0.25">
      <c r="A379" t="s">
        <v>126</v>
      </c>
      <c r="B379" t="s">
        <v>23</v>
      </c>
      <c r="C379">
        <v>39</v>
      </c>
      <c r="D379">
        <v>42</v>
      </c>
      <c r="E379" t="s">
        <v>19</v>
      </c>
      <c r="F379" t="s">
        <v>174</v>
      </c>
      <c r="G379">
        <v>180.44</v>
      </c>
      <c r="H379" t="s">
        <v>26</v>
      </c>
      <c r="I379" s="2">
        <v>45648</v>
      </c>
      <c r="J379" s="2">
        <v>45733</v>
      </c>
      <c r="K379" t="s">
        <v>21</v>
      </c>
    </row>
    <row r="380" spans="1:11" x14ac:dyDescent="0.25">
      <c r="A380" t="s">
        <v>79</v>
      </c>
      <c r="B380" t="s">
        <v>28</v>
      </c>
      <c r="C380">
        <v>16</v>
      </c>
      <c r="D380">
        <v>45</v>
      </c>
      <c r="E380" t="s">
        <v>19</v>
      </c>
      <c r="F380" t="s">
        <v>170</v>
      </c>
      <c r="G380">
        <v>255.29</v>
      </c>
      <c r="H380" t="s">
        <v>14</v>
      </c>
      <c r="I380" s="2">
        <v>45406</v>
      </c>
      <c r="J380" s="2">
        <v>45476</v>
      </c>
    </row>
    <row r="381" spans="1:11" x14ac:dyDescent="0.25">
      <c r="A381" t="s">
        <v>100</v>
      </c>
      <c r="B381" t="s">
        <v>23</v>
      </c>
      <c r="C381">
        <v>60</v>
      </c>
      <c r="D381">
        <v>74</v>
      </c>
      <c r="E381" t="s">
        <v>19</v>
      </c>
      <c r="F381" t="s">
        <v>170</v>
      </c>
      <c r="G381">
        <v>438.78</v>
      </c>
      <c r="H381" t="s">
        <v>14</v>
      </c>
      <c r="I381" s="2">
        <v>45359</v>
      </c>
      <c r="J381" s="2">
        <v>45407</v>
      </c>
      <c r="K381" t="s">
        <v>17</v>
      </c>
    </row>
    <row r="382" spans="1:11" x14ac:dyDescent="0.25">
      <c r="A382" t="s">
        <v>111</v>
      </c>
      <c r="B382" t="s">
        <v>23</v>
      </c>
      <c r="C382">
        <v>24</v>
      </c>
      <c r="D382">
        <v>62</v>
      </c>
      <c r="E382" t="s">
        <v>19</v>
      </c>
      <c r="F382" t="s">
        <v>174</v>
      </c>
      <c r="G382">
        <v>254.05</v>
      </c>
      <c r="H382" t="s">
        <v>20</v>
      </c>
      <c r="I382" s="2">
        <v>45529</v>
      </c>
      <c r="J382" s="2">
        <v>45618</v>
      </c>
    </row>
    <row r="383" spans="1:11" x14ac:dyDescent="0.25">
      <c r="A383" t="s">
        <v>94</v>
      </c>
      <c r="B383" t="s">
        <v>28</v>
      </c>
      <c r="C383">
        <v>34</v>
      </c>
      <c r="D383">
        <v>79</v>
      </c>
      <c r="E383" t="s">
        <v>19</v>
      </c>
      <c r="F383" t="s">
        <v>170</v>
      </c>
      <c r="G383">
        <v>430.11</v>
      </c>
      <c r="H383" t="s">
        <v>20</v>
      </c>
      <c r="I383" s="2">
        <v>45329</v>
      </c>
      <c r="J383" s="2">
        <v>45409</v>
      </c>
    </row>
    <row r="384" spans="1:11" x14ac:dyDescent="0.25">
      <c r="A384" t="s">
        <v>119</v>
      </c>
      <c r="B384" t="s">
        <v>30</v>
      </c>
      <c r="C384">
        <v>11</v>
      </c>
      <c r="D384">
        <v>49</v>
      </c>
      <c r="E384" t="s">
        <v>19</v>
      </c>
      <c r="F384" t="s">
        <v>174</v>
      </c>
      <c r="G384">
        <v>84.38</v>
      </c>
      <c r="H384" t="s">
        <v>20</v>
      </c>
      <c r="I384" s="2">
        <v>45472</v>
      </c>
      <c r="J384" s="2">
        <v>45536</v>
      </c>
      <c r="K384" t="s">
        <v>17</v>
      </c>
    </row>
    <row r="385" spans="1:11" x14ac:dyDescent="0.25">
      <c r="A385" t="s">
        <v>94</v>
      </c>
      <c r="B385" t="s">
        <v>28</v>
      </c>
      <c r="C385">
        <v>18</v>
      </c>
      <c r="D385">
        <v>49</v>
      </c>
      <c r="E385" t="s">
        <v>19</v>
      </c>
      <c r="F385" t="s">
        <v>170</v>
      </c>
      <c r="G385">
        <v>338.45</v>
      </c>
      <c r="H385" t="s">
        <v>26</v>
      </c>
      <c r="I385" s="2">
        <v>45341</v>
      </c>
      <c r="J385" s="2">
        <v>45380</v>
      </c>
      <c r="K385" t="s">
        <v>17</v>
      </c>
    </row>
    <row r="386" spans="1:11" x14ac:dyDescent="0.25">
      <c r="A386" t="s">
        <v>144</v>
      </c>
      <c r="B386" t="s">
        <v>23</v>
      </c>
      <c r="C386">
        <v>48</v>
      </c>
      <c r="D386">
        <v>99</v>
      </c>
      <c r="E386" t="s">
        <v>19</v>
      </c>
      <c r="F386" t="s">
        <v>173</v>
      </c>
      <c r="G386">
        <v>63.19</v>
      </c>
      <c r="H386" t="s">
        <v>26</v>
      </c>
      <c r="I386" s="2">
        <v>45635</v>
      </c>
      <c r="J386" s="2">
        <v>45666</v>
      </c>
      <c r="K386" t="s">
        <v>21</v>
      </c>
    </row>
    <row r="387" spans="1:11" x14ac:dyDescent="0.25">
      <c r="A387" t="s">
        <v>80</v>
      </c>
      <c r="B387" t="s">
        <v>28</v>
      </c>
      <c r="C387">
        <v>16</v>
      </c>
      <c r="D387">
        <v>71</v>
      </c>
      <c r="E387" t="s">
        <v>19</v>
      </c>
      <c r="F387" t="s">
        <v>173</v>
      </c>
      <c r="G387">
        <v>5.99</v>
      </c>
      <c r="H387" t="s">
        <v>20</v>
      </c>
      <c r="I387" s="2">
        <v>45531</v>
      </c>
      <c r="J387" s="2">
        <v>45556</v>
      </c>
      <c r="K387" t="s">
        <v>172</v>
      </c>
    </row>
    <row r="388" spans="1:11" x14ac:dyDescent="0.25">
      <c r="A388" t="s">
        <v>80</v>
      </c>
      <c r="B388" t="s">
        <v>12</v>
      </c>
      <c r="C388">
        <v>56</v>
      </c>
      <c r="D388">
        <v>92</v>
      </c>
      <c r="E388" t="s">
        <v>19</v>
      </c>
      <c r="F388" t="s">
        <v>174</v>
      </c>
      <c r="G388">
        <v>367.54</v>
      </c>
      <c r="H388" t="s">
        <v>26</v>
      </c>
      <c r="I388" s="2">
        <v>45559</v>
      </c>
      <c r="J388" s="2">
        <v>45596</v>
      </c>
      <c r="K388" t="s">
        <v>17</v>
      </c>
    </row>
    <row r="389" spans="1:11" x14ac:dyDescent="0.25">
      <c r="A389" t="s">
        <v>152</v>
      </c>
      <c r="B389" t="s">
        <v>16</v>
      </c>
      <c r="C389">
        <v>11</v>
      </c>
      <c r="D389">
        <v>54</v>
      </c>
      <c r="E389" t="s">
        <v>19</v>
      </c>
      <c r="F389" t="s">
        <v>174</v>
      </c>
      <c r="G389">
        <v>46.36</v>
      </c>
      <c r="H389" t="s">
        <v>20</v>
      </c>
      <c r="I389" s="2">
        <v>45545</v>
      </c>
      <c r="J389" s="2">
        <v>45561</v>
      </c>
    </row>
    <row r="390" spans="1:11" x14ac:dyDescent="0.25">
      <c r="A390" t="s">
        <v>72</v>
      </c>
      <c r="B390" t="s">
        <v>16</v>
      </c>
      <c r="C390">
        <v>61</v>
      </c>
      <c r="D390">
        <v>85</v>
      </c>
      <c r="E390" t="s">
        <v>19</v>
      </c>
      <c r="F390" t="s">
        <v>170</v>
      </c>
      <c r="G390">
        <v>14.47</v>
      </c>
      <c r="H390" t="s">
        <v>20</v>
      </c>
      <c r="I390" s="2">
        <v>45410</v>
      </c>
      <c r="J390" s="2">
        <v>45496</v>
      </c>
      <c r="K390" t="s">
        <v>17</v>
      </c>
    </row>
    <row r="391" spans="1:11" x14ac:dyDescent="0.25">
      <c r="A391" t="s">
        <v>75</v>
      </c>
      <c r="B391" t="s">
        <v>16</v>
      </c>
      <c r="C391">
        <v>7</v>
      </c>
      <c r="D391">
        <v>97</v>
      </c>
      <c r="E391" t="s">
        <v>19</v>
      </c>
      <c r="F391" t="s">
        <v>173</v>
      </c>
      <c r="G391">
        <v>124.56</v>
      </c>
      <c r="H391" t="s">
        <v>26</v>
      </c>
      <c r="I391" s="2">
        <v>45363</v>
      </c>
      <c r="J391" s="2">
        <v>45429</v>
      </c>
    </row>
    <row r="392" spans="1:11" x14ac:dyDescent="0.25">
      <c r="A392" t="s">
        <v>82</v>
      </c>
      <c r="B392" t="s">
        <v>30</v>
      </c>
      <c r="C392">
        <v>24</v>
      </c>
      <c r="D392">
        <v>73</v>
      </c>
      <c r="E392" t="s">
        <v>19</v>
      </c>
      <c r="F392" t="s">
        <v>173</v>
      </c>
      <c r="G392">
        <v>126.45</v>
      </c>
      <c r="H392" t="s">
        <v>20</v>
      </c>
      <c r="I392" s="2">
        <v>45366</v>
      </c>
      <c r="J392" s="2">
        <v>45417</v>
      </c>
      <c r="K392" t="s">
        <v>17</v>
      </c>
    </row>
    <row r="393" spans="1:11" x14ac:dyDescent="0.25">
      <c r="A393" t="s">
        <v>92</v>
      </c>
      <c r="B393" t="s">
        <v>12</v>
      </c>
      <c r="C393">
        <v>11</v>
      </c>
      <c r="D393">
        <v>55</v>
      </c>
      <c r="E393" t="s">
        <v>19</v>
      </c>
      <c r="F393" t="s">
        <v>173</v>
      </c>
      <c r="G393">
        <v>198.56</v>
      </c>
      <c r="H393" t="s">
        <v>14</v>
      </c>
      <c r="I393" s="2">
        <v>45349</v>
      </c>
      <c r="J393" s="2">
        <v>45373</v>
      </c>
    </row>
    <row r="394" spans="1:11" x14ac:dyDescent="0.25">
      <c r="A394" t="s">
        <v>135</v>
      </c>
      <c r="B394" t="s">
        <v>16</v>
      </c>
      <c r="C394">
        <v>58</v>
      </c>
      <c r="D394">
        <v>84</v>
      </c>
      <c r="E394" t="s">
        <v>19</v>
      </c>
      <c r="F394" t="s">
        <v>173</v>
      </c>
      <c r="G394">
        <v>113.68</v>
      </c>
      <c r="H394" t="s">
        <v>14</v>
      </c>
      <c r="I394" s="2">
        <v>45459</v>
      </c>
      <c r="J394" s="2">
        <v>45521</v>
      </c>
      <c r="K394" t="s">
        <v>17</v>
      </c>
    </row>
    <row r="395" spans="1:11" x14ac:dyDescent="0.25">
      <c r="A395" t="s">
        <v>119</v>
      </c>
      <c r="B395" t="s">
        <v>16</v>
      </c>
      <c r="C395">
        <v>25</v>
      </c>
      <c r="D395">
        <v>71</v>
      </c>
      <c r="E395" t="s">
        <v>19</v>
      </c>
      <c r="F395" t="s">
        <v>173</v>
      </c>
      <c r="G395">
        <v>280.64999999999998</v>
      </c>
      <c r="H395" t="s">
        <v>26</v>
      </c>
      <c r="I395" s="2">
        <v>45438</v>
      </c>
      <c r="J395" s="2">
        <v>45506</v>
      </c>
      <c r="K395" t="s">
        <v>172</v>
      </c>
    </row>
    <row r="396" spans="1:11" x14ac:dyDescent="0.25">
      <c r="A396" t="s">
        <v>116</v>
      </c>
      <c r="B396" t="s">
        <v>28</v>
      </c>
      <c r="C396">
        <v>31</v>
      </c>
      <c r="D396">
        <v>60</v>
      </c>
      <c r="E396" t="s">
        <v>19</v>
      </c>
      <c r="F396" t="s">
        <v>170</v>
      </c>
      <c r="G396">
        <v>217.33</v>
      </c>
      <c r="H396" t="s">
        <v>20</v>
      </c>
      <c r="I396" s="2">
        <v>45641</v>
      </c>
      <c r="J396" s="2">
        <v>45683</v>
      </c>
      <c r="K396" t="s">
        <v>21</v>
      </c>
    </row>
    <row r="397" spans="1:11" x14ac:dyDescent="0.25">
      <c r="A397" t="s">
        <v>18</v>
      </c>
      <c r="B397" t="s">
        <v>23</v>
      </c>
      <c r="C397">
        <v>9</v>
      </c>
      <c r="D397">
        <v>25</v>
      </c>
      <c r="E397" t="s">
        <v>19</v>
      </c>
      <c r="F397" t="s">
        <v>173</v>
      </c>
      <c r="G397">
        <v>272.75</v>
      </c>
      <c r="H397" t="s">
        <v>14</v>
      </c>
      <c r="I397" s="2">
        <v>45596</v>
      </c>
      <c r="J397" s="2">
        <v>45612</v>
      </c>
      <c r="K397" t="s">
        <v>17</v>
      </c>
    </row>
    <row r="398" spans="1:11" x14ac:dyDescent="0.25">
      <c r="A398" t="s">
        <v>107</v>
      </c>
      <c r="B398" t="s">
        <v>16</v>
      </c>
      <c r="C398">
        <v>15</v>
      </c>
      <c r="D398">
        <v>44</v>
      </c>
      <c r="E398" t="s">
        <v>19</v>
      </c>
      <c r="F398" t="s">
        <v>174</v>
      </c>
      <c r="G398">
        <v>349.73</v>
      </c>
      <c r="H398" t="s">
        <v>26</v>
      </c>
      <c r="I398" s="2">
        <v>45603</v>
      </c>
      <c r="J398" s="2">
        <v>45630</v>
      </c>
      <c r="K398" t="s">
        <v>17</v>
      </c>
    </row>
    <row r="399" spans="1:11" x14ac:dyDescent="0.25">
      <c r="A399" t="s">
        <v>136</v>
      </c>
      <c r="B399" t="s">
        <v>23</v>
      </c>
      <c r="C399">
        <v>25</v>
      </c>
      <c r="D399">
        <v>87</v>
      </c>
      <c r="E399" t="s">
        <v>19</v>
      </c>
      <c r="F399" t="s">
        <v>173</v>
      </c>
      <c r="G399">
        <v>208.92</v>
      </c>
      <c r="H399" t="s">
        <v>14</v>
      </c>
      <c r="I399" s="2">
        <v>45592</v>
      </c>
      <c r="J399" s="2">
        <v>45659</v>
      </c>
      <c r="K399" t="s">
        <v>17</v>
      </c>
    </row>
    <row r="400" spans="1:11" x14ac:dyDescent="0.25">
      <c r="A400" t="s">
        <v>153</v>
      </c>
      <c r="B400" t="s">
        <v>12</v>
      </c>
      <c r="C400">
        <v>13</v>
      </c>
      <c r="D400">
        <v>87</v>
      </c>
      <c r="E400" t="s">
        <v>19</v>
      </c>
      <c r="F400" t="s">
        <v>170</v>
      </c>
      <c r="G400">
        <v>268.58999999999997</v>
      </c>
      <c r="H400" t="s">
        <v>26</v>
      </c>
      <c r="I400" s="2">
        <v>45465</v>
      </c>
      <c r="J400" s="2">
        <v>45503</v>
      </c>
    </row>
    <row r="401" spans="1:11" x14ac:dyDescent="0.25">
      <c r="A401" t="s">
        <v>125</v>
      </c>
      <c r="B401" t="s">
        <v>16</v>
      </c>
      <c r="C401">
        <v>6</v>
      </c>
      <c r="D401">
        <v>31</v>
      </c>
      <c r="E401" t="s">
        <v>19</v>
      </c>
      <c r="F401" t="s">
        <v>170</v>
      </c>
      <c r="G401">
        <v>63.02</v>
      </c>
      <c r="H401" t="s">
        <v>20</v>
      </c>
      <c r="I401" s="2">
        <v>45470</v>
      </c>
      <c r="J401" s="2">
        <v>45511</v>
      </c>
    </row>
    <row r="402" spans="1:11" x14ac:dyDescent="0.25">
      <c r="A402" t="s">
        <v>133</v>
      </c>
      <c r="B402" t="s">
        <v>28</v>
      </c>
      <c r="C402">
        <v>71</v>
      </c>
      <c r="D402">
        <v>97</v>
      </c>
      <c r="E402" t="s">
        <v>19</v>
      </c>
      <c r="F402" t="s">
        <v>173</v>
      </c>
      <c r="G402">
        <v>107.09</v>
      </c>
      <c r="H402" t="s">
        <v>14</v>
      </c>
      <c r="I402" s="2">
        <v>45549</v>
      </c>
      <c r="J402" s="2">
        <v>45610</v>
      </c>
      <c r="K402" t="s">
        <v>172</v>
      </c>
    </row>
    <row r="403" spans="1:11" x14ac:dyDescent="0.25">
      <c r="A403" t="s">
        <v>136</v>
      </c>
      <c r="B403" t="s">
        <v>28</v>
      </c>
      <c r="C403">
        <v>16</v>
      </c>
      <c r="D403">
        <v>21</v>
      </c>
      <c r="E403" t="s">
        <v>19</v>
      </c>
      <c r="F403" t="s">
        <v>170</v>
      </c>
      <c r="G403">
        <v>39.18</v>
      </c>
      <c r="H403" t="s">
        <v>20</v>
      </c>
      <c r="I403" s="2">
        <v>45561</v>
      </c>
      <c r="J403" s="2">
        <v>45623</v>
      </c>
      <c r="K403" t="s">
        <v>21</v>
      </c>
    </row>
    <row r="404" spans="1:11" x14ac:dyDescent="0.25">
      <c r="A404" t="s">
        <v>90</v>
      </c>
      <c r="B404" t="s">
        <v>30</v>
      </c>
      <c r="C404">
        <v>13</v>
      </c>
      <c r="D404">
        <v>79</v>
      </c>
      <c r="E404" t="s">
        <v>19</v>
      </c>
      <c r="F404" t="s">
        <v>174</v>
      </c>
      <c r="G404">
        <v>239.76</v>
      </c>
      <c r="H404" t="s">
        <v>14</v>
      </c>
      <c r="I404" s="2">
        <v>45510</v>
      </c>
      <c r="J404" s="2">
        <v>45543</v>
      </c>
      <c r="K404" t="s">
        <v>172</v>
      </c>
    </row>
    <row r="405" spans="1:11" x14ac:dyDescent="0.25">
      <c r="A405" t="s">
        <v>121</v>
      </c>
      <c r="B405" t="s">
        <v>23</v>
      </c>
      <c r="C405">
        <v>36</v>
      </c>
      <c r="D405">
        <v>69</v>
      </c>
      <c r="E405" t="s">
        <v>19</v>
      </c>
      <c r="F405" t="s">
        <v>174</v>
      </c>
      <c r="G405">
        <v>418.88</v>
      </c>
      <c r="H405" t="s">
        <v>20</v>
      </c>
      <c r="I405" s="2">
        <v>45369</v>
      </c>
      <c r="J405" s="2">
        <v>45447</v>
      </c>
      <c r="K405" t="s">
        <v>17</v>
      </c>
    </row>
    <row r="406" spans="1:11" x14ac:dyDescent="0.25">
      <c r="A406" t="s">
        <v>120</v>
      </c>
      <c r="B406" t="s">
        <v>16</v>
      </c>
      <c r="C406">
        <v>14</v>
      </c>
      <c r="D406">
        <v>40</v>
      </c>
      <c r="E406" t="s">
        <v>19</v>
      </c>
      <c r="F406" t="s">
        <v>173</v>
      </c>
      <c r="G406">
        <v>228.39</v>
      </c>
      <c r="H406" t="s">
        <v>14</v>
      </c>
      <c r="I406" s="2">
        <v>45459</v>
      </c>
      <c r="J406" s="2">
        <v>45494</v>
      </c>
    </row>
    <row r="407" spans="1:11" x14ac:dyDescent="0.25">
      <c r="A407" t="s">
        <v>118</v>
      </c>
      <c r="B407" t="s">
        <v>30</v>
      </c>
      <c r="C407">
        <v>3</v>
      </c>
      <c r="D407">
        <v>47</v>
      </c>
      <c r="E407" t="s">
        <v>19</v>
      </c>
      <c r="F407" t="s">
        <v>174</v>
      </c>
      <c r="G407">
        <v>428.21</v>
      </c>
      <c r="H407" t="s">
        <v>26</v>
      </c>
      <c r="I407" s="2">
        <v>45612</v>
      </c>
      <c r="J407" s="2">
        <v>45672</v>
      </c>
      <c r="K407" t="s">
        <v>21</v>
      </c>
    </row>
    <row r="408" spans="1:11" x14ac:dyDescent="0.25">
      <c r="A408" t="s">
        <v>101</v>
      </c>
      <c r="B408" t="s">
        <v>28</v>
      </c>
      <c r="C408">
        <v>15</v>
      </c>
      <c r="D408">
        <v>23</v>
      </c>
      <c r="E408" t="s">
        <v>19</v>
      </c>
      <c r="F408" t="s">
        <v>173</v>
      </c>
      <c r="G408">
        <v>402.75</v>
      </c>
      <c r="H408" t="s">
        <v>14</v>
      </c>
      <c r="I408" s="2">
        <v>45613</v>
      </c>
      <c r="J408" s="2">
        <v>45690</v>
      </c>
    </row>
    <row r="409" spans="1:11" x14ac:dyDescent="0.25">
      <c r="A409" t="s">
        <v>147</v>
      </c>
      <c r="B409" t="s">
        <v>28</v>
      </c>
      <c r="C409">
        <v>54</v>
      </c>
      <c r="D409">
        <v>71</v>
      </c>
      <c r="E409" t="s">
        <v>19</v>
      </c>
      <c r="F409" t="s">
        <v>173</v>
      </c>
      <c r="G409">
        <v>197.76</v>
      </c>
      <c r="H409" t="s">
        <v>14</v>
      </c>
      <c r="I409" s="2">
        <v>45548</v>
      </c>
      <c r="J409" s="2">
        <v>45587</v>
      </c>
      <c r="K409" t="s">
        <v>17</v>
      </c>
    </row>
    <row r="410" spans="1:11" x14ac:dyDescent="0.25">
      <c r="A410" t="s">
        <v>126</v>
      </c>
      <c r="B410" t="s">
        <v>16</v>
      </c>
      <c r="C410">
        <v>33</v>
      </c>
      <c r="D410">
        <v>57</v>
      </c>
      <c r="E410" t="s">
        <v>19</v>
      </c>
      <c r="F410" t="s">
        <v>170</v>
      </c>
      <c r="G410">
        <v>484.19</v>
      </c>
      <c r="H410" t="s">
        <v>14</v>
      </c>
      <c r="I410" s="2">
        <v>45465</v>
      </c>
      <c r="J410" s="2">
        <v>45546</v>
      </c>
    </row>
    <row r="411" spans="1:11" x14ac:dyDescent="0.25">
      <c r="A411" t="s">
        <v>126</v>
      </c>
      <c r="B411" t="s">
        <v>30</v>
      </c>
      <c r="C411">
        <v>12</v>
      </c>
      <c r="D411">
        <v>82</v>
      </c>
      <c r="E411" t="s">
        <v>19</v>
      </c>
      <c r="F411" t="s">
        <v>170</v>
      </c>
      <c r="G411">
        <v>325.92</v>
      </c>
      <c r="H411" t="s">
        <v>26</v>
      </c>
      <c r="I411" s="2">
        <v>45472</v>
      </c>
      <c r="J411" s="2">
        <v>45537</v>
      </c>
      <c r="K411" t="s">
        <v>172</v>
      </c>
    </row>
    <row r="412" spans="1:11" x14ac:dyDescent="0.25">
      <c r="A412" t="s">
        <v>101</v>
      </c>
      <c r="B412" t="s">
        <v>30</v>
      </c>
      <c r="C412">
        <v>17</v>
      </c>
      <c r="D412">
        <v>81</v>
      </c>
      <c r="E412" t="s">
        <v>19</v>
      </c>
      <c r="F412" t="s">
        <v>173</v>
      </c>
      <c r="G412">
        <v>190.86</v>
      </c>
      <c r="H412" t="s">
        <v>14</v>
      </c>
      <c r="I412" s="2">
        <v>45340</v>
      </c>
      <c r="J412" s="2">
        <v>45418</v>
      </c>
    </row>
    <row r="413" spans="1:11" x14ac:dyDescent="0.25">
      <c r="A413" t="s">
        <v>130</v>
      </c>
      <c r="B413" t="s">
        <v>28</v>
      </c>
      <c r="C413">
        <v>38</v>
      </c>
      <c r="D413">
        <v>90</v>
      </c>
      <c r="E413" t="s">
        <v>19</v>
      </c>
      <c r="F413" t="s">
        <v>173</v>
      </c>
      <c r="G413">
        <v>281.73</v>
      </c>
      <c r="H413" t="s">
        <v>14</v>
      </c>
      <c r="I413" s="2">
        <v>45321</v>
      </c>
      <c r="J413" s="2">
        <v>45337</v>
      </c>
      <c r="K413" t="s">
        <v>17</v>
      </c>
    </row>
    <row r="414" spans="1:11" x14ac:dyDescent="0.25">
      <c r="A414" t="s">
        <v>127</v>
      </c>
      <c r="B414" t="s">
        <v>28</v>
      </c>
      <c r="C414">
        <v>28</v>
      </c>
      <c r="D414">
        <v>74</v>
      </c>
      <c r="E414" t="s">
        <v>19</v>
      </c>
      <c r="F414" t="s">
        <v>173</v>
      </c>
      <c r="G414">
        <v>113.96</v>
      </c>
      <c r="H414" t="s">
        <v>20</v>
      </c>
      <c r="I414" s="2">
        <v>45363</v>
      </c>
      <c r="J414" s="2">
        <v>45437</v>
      </c>
      <c r="K414" t="s">
        <v>172</v>
      </c>
    </row>
    <row r="415" spans="1:11" x14ac:dyDescent="0.25">
      <c r="A415" t="s">
        <v>127</v>
      </c>
      <c r="B415" t="s">
        <v>23</v>
      </c>
      <c r="C415">
        <v>61</v>
      </c>
      <c r="D415">
        <v>81</v>
      </c>
      <c r="E415" t="s">
        <v>19</v>
      </c>
      <c r="F415" t="s">
        <v>173</v>
      </c>
      <c r="G415">
        <v>189.4</v>
      </c>
      <c r="H415" t="s">
        <v>20</v>
      </c>
      <c r="I415" s="2">
        <v>45449</v>
      </c>
      <c r="J415" s="2">
        <v>45494</v>
      </c>
      <c r="K415" t="s">
        <v>21</v>
      </c>
    </row>
    <row r="416" spans="1:11" x14ac:dyDescent="0.25">
      <c r="A416" t="s">
        <v>80</v>
      </c>
      <c r="B416" t="s">
        <v>12</v>
      </c>
      <c r="C416">
        <v>15</v>
      </c>
      <c r="D416">
        <v>98</v>
      </c>
      <c r="E416" t="s">
        <v>19</v>
      </c>
      <c r="F416" t="s">
        <v>170</v>
      </c>
      <c r="G416">
        <v>187.94</v>
      </c>
      <c r="H416" t="s">
        <v>26</v>
      </c>
      <c r="I416" s="2">
        <v>45503</v>
      </c>
      <c r="J416" s="2">
        <v>45553</v>
      </c>
      <c r="K416" t="s">
        <v>17</v>
      </c>
    </row>
    <row r="417" spans="1:11" x14ac:dyDescent="0.25">
      <c r="A417" t="s">
        <v>105</v>
      </c>
      <c r="B417" t="s">
        <v>28</v>
      </c>
      <c r="C417">
        <v>9</v>
      </c>
      <c r="D417">
        <v>77</v>
      </c>
      <c r="E417" t="s">
        <v>19</v>
      </c>
      <c r="F417" t="s">
        <v>170</v>
      </c>
      <c r="G417">
        <v>330.08</v>
      </c>
      <c r="H417" t="s">
        <v>20</v>
      </c>
      <c r="I417" s="2">
        <v>45590</v>
      </c>
      <c r="J417" s="2">
        <v>45653</v>
      </c>
      <c r="K417" t="s">
        <v>17</v>
      </c>
    </row>
    <row r="418" spans="1:11" x14ac:dyDescent="0.25">
      <c r="A418" t="s">
        <v>122</v>
      </c>
      <c r="B418" t="s">
        <v>16</v>
      </c>
      <c r="C418">
        <v>2</v>
      </c>
      <c r="D418">
        <v>55</v>
      </c>
      <c r="E418" t="s">
        <v>19</v>
      </c>
      <c r="F418" t="s">
        <v>170</v>
      </c>
      <c r="G418">
        <v>387.54</v>
      </c>
      <c r="H418" t="s">
        <v>20</v>
      </c>
      <c r="I418" s="2">
        <v>45654</v>
      </c>
      <c r="J418" s="2">
        <v>45683</v>
      </c>
    </row>
    <row r="419" spans="1:11" x14ac:dyDescent="0.25">
      <c r="A419" t="s">
        <v>77</v>
      </c>
      <c r="B419" t="s">
        <v>16</v>
      </c>
      <c r="C419">
        <v>67</v>
      </c>
      <c r="D419">
        <v>71</v>
      </c>
      <c r="E419" t="s">
        <v>19</v>
      </c>
      <c r="F419" t="s">
        <v>173</v>
      </c>
      <c r="G419">
        <v>392.07</v>
      </c>
      <c r="H419" t="s">
        <v>26</v>
      </c>
      <c r="I419" s="2">
        <v>45614</v>
      </c>
      <c r="J419" s="2">
        <v>45631</v>
      </c>
      <c r="K419" t="s">
        <v>172</v>
      </c>
    </row>
    <row r="420" spans="1:11" x14ac:dyDescent="0.25">
      <c r="A420" t="s">
        <v>114</v>
      </c>
      <c r="B420" t="s">
        <v>23</v>
      </c>
      <c r="C420">
        <v>36</v>
      </c>
      <c r="D420">
        <v>87</v>
      </c>
      <c r="E420" t="s">
        <v>19</v>
      </c>
      <c r="F420" t="s">
        <v>174</v>
      </c>
      <c r="G420">
        <v>261.41000000000003</v>
      </c>
      <c r="H420" t="s">
        <v>14</v>
      </c>
      <c r="I420" s="2">
        <v>45596</v>
      </c>
      <c r="J420" s="2">
        <v>45623</v>
      </c>
      <c r="K420" t="s">
        <v>17</v>
      </c>
    </row>
    <row r="421" spans="1:11" x14ac:dyDescent="0.25">
      <c r="A421" t="s">
        <v>100</v>
      </c>
      <c r="B421" t="s">
        <v>23</v>
      </c>
      <c r="C421">
        <v>36</v>
      </c>
      <c r="D421">
        <v>60</v>
      </c>
      <c r="E421" t="s">
        <v>19</v>
      </c>
      <c r="F421" t="s">
        <v>174</v>
      </c>
      <c r="G421">
        <v>445.12</v>
      </c>
      <c r="H421" t="s">
        <v>14</v>
      </c>
      <c r="I421" s="2">
        <v>45448</v>
      </c>
      <c r="J421" s="2">
        <v>45533</v>
      </c>
    </row>
    <row r="422" spans="1:11" x14ac:dyDescent="0.25">
      <c r="A422" t="s">
        <v>54</v>
      </c>
      <c r="B422" t="s">
        <v>12</v>
      </c>
      <c r="C422">
        <v>38</v>
      </c>
      <c r="D422">
        <v>48</v>
      </c>
      <c r="E422" t="s">
        <v>19</v>
      </c>
      <c r="F422" t="s">
        <v>173</v>
      </c>
      <c r="G422">
        <v>359.62</v>
      </c>
      <c r="H422" t="s">
        <v>20</v>
      </c>
      <c r="I422" s="2">
        <v>45487</v>
      </c>
      <c r="J422" s="2">
        <v>45565</v>
      </c>
    </row>
    <row r="423" spans="1:11" x14ac:dyDescent="0.25">
      <c r="A423" t="s">
        <v>105</v>
      </c>
      <c r="B423" t="s">
        <v>30</v>
      </c>
      <c r="C423">
        <v>62</v>
      </c>
      <c r="D423">
        <v>77</v>
      </c>
      <c r="E423" t="s">
        <v>19</v>
      </c>
      <c r="F423" t="s">
        <v>174</v>
      </c>
      <c r="G423">
        <v>105.12</v>
      </c>
      <c r="H423" t="s">
        <v>14</v>
      </c>
      <c r="I423" s="2">
        <v>45453</v>
      </c>
      <c r="J423" s="2">
        <v>45475</v>
      </c>
      <c r="K423" t="s">
        <v>21</v>
      </c>
    </row>
    <row r="424" spans="1:11" x14ac:dyDescent="0.25">
      <c r="A424" t="s">
        <v>159</v>
      </c>
      <c r="B424" t="s">
        <v>30</v>
      </c>
      <c r="C424">
        <v>45</v>
      </c>
      <c r="D424">
        <v>79</v>
      </c>
      <c r="E424" t="s">
        <v>19</v>
      </c>
      <c r="F424" t="s">
        <v>170</v>
      </c>
      <c r="G424">
        <v>160.34</v>
      </c>
      <c r="H424" t="s">
        <v>14</v>
      </c>
      <c r="I424" s="2">
        <v>45601</v>
      </c>
      <c r="J424" s="2">
        <v>45673</v>
      </c>
      <c r="K424" t="s">
        <v>172</v>
      </c>
    </row>
    <row r="425" spans="1:11" x14ac:dyDescent="0.25">
      <c r="A425" t="s">
        <v>140</v>
      </c>
      <c r="B425" t="s">
        <v>12</v>
      </c>
      <c r="C425">
        <v>10</v>
      </c>
      <c r="D425">
        <v>47</v>
      </c>
      <c r="E425" t="s">
        <v>19</v>
      </c>
      <c r="F425" t="s">
        <v>174</v>
      </c>
      <c r="G425">
        <v>111.38</v>
      </c>
      <c r="H425" t="s">
        <v>14</v>
      </c>
      <c r="I425" s="2">
        <v>45616</v>
      </c>
      <c r="J425" s="2">
        <v>45661</v>
      </c>
    </row>
    <row r="426" spans="1:11" x14ac:dyDescent="0.25">
      <c r="A426" t="s">
        <v>135</v>
      </c>
      <c r="B426" t="s">
        <v>12</v>
      </c>
      <c r="C426">
        <v>61</v>
      </c>
      <c r="D426">
        <v>94</v>
      </c>
      <c r="E426" t="s">
        <v>19</v>
      </c>
      <c r="F426" t="s">
        <v>173</v>
      </c>
      <c r="G426">
        <v>215.3</v>
      </c>
      <c r="H426" t="s">
        <v>14</v>
      </c>
      <c r="I426" s="2">
        <v>45625</v>
      </c>
      <c r="J426" s="2">
        <v>45648</v>
      </c>
    </row>
    <row r="427" spans="1:11" x14ac:dyDescent="0.25">
      <c r="A427" t="s">
        <v>118</v>
      </c>
      <c r="B427" t="s">
        <v>30</v>
      </c>
      <c r="C427">
        <v>51</v>
      </c>
      <c r="D427">
        <v>91</v>
      </c>
      <c r="E427" t="s">
        <v>19</v>
      </c>
      <c r="F427" t="s">
        <v>170</v>
      </c>
      <c r="G427">
        <v>43.1</v>
      </c>
      <c r="H427" t="s">
        <v>26</v>
      </c>
      <c r="I427" s="2">
        <v>45373</v>
      </c>
      <c r="J427" s="2">
        <v>45416</v>
      </c>
      <c r="K427" t="s">
        <v>17</v>
      </c>
    </row>
    <row r="428" spans="1:11" x14ac:dyDescent="0.25">
      <c r="A428" t="s">
        <v>39</v>
      </c>
      <c r="B428" t="s">
        <v>30</v>
      </c>
      <c r="C428">
        <v>3</v>
      </c>
      <c r="D428">
        <v>68</v>
      </c>
      <c r="E428" t="s">
        <v>19</v>
      </c>
      <c r="F428" t="s">
        <v>170</v>
      </c>
      <c r="G428">
        <v>349.6</v>
      </c>
      <c r="H428" t="s">
        <v>14</v>
      </c>
      <c r="I428" s="2">
        <v>45448</v>
      </c>
      <c r="J428" s="2">
        <v>45498</v>
      </c>
      <c r="K428" t="s">
        <v>21</v>
      </c>
    </row>
    <row r="429" spans="1:11" x14ac:dyDescent="0.25">
      <c r="A429" t="s">
        <v>77</v>
      </c>
      <c r="B429" t="s">
        <v>16</v>
      </c>
      <c r="C429">
        <v>58</v>
      </c>
      <c r="D429">
        <v>98</v>
      </c>
      <c r="E429" t="s">
        <v>19</v>
      </c>
      <c r="F429" t="s">
        <v>173</v>
      </c>
      <c r="G429">
        <v>194.49</v>
      </c>
      <c r="H429" t="s">
        <v>14</v>
      </c>
      <c r="I429" s="2">
        <v>45337</v>
      </c>
      <c r="J429" s="2">
        <v>45388</v>
      </c>
      <c r="K429" t="s">
        <v>172</v>
      </c>
    </row>
    <row r="430" spans="1:11" x14ac:dyDescent="0.25">
      <c r="A430" t="s">
        <v>132</v>
      </c>
      <c r="B430" t="s">
        <v>28</v>
      </c>
      <c r="C430">
        <v>62</v>
      </c>
      <c r="D430">
        <v>88</v>
      </c>
      <c r="E430" t="s">
        <v>19</v>
      </c>
      <c r="F430" t="s">
        <v>170</v>
      </c>
      <c r="G430">
        <v>139.61000000000001</v>
      </c>
      <c r="H430" t="s">
        <v>14</v>
      </c>
      <c r="I430" s="2">
        <v>45365</v>
      </c>
      <c r="J430" s="2">
        <v>45407</v>
      </c>
    </row>
    <row r="431" spans="1:11" x14ac:dyDescent="0.25">
      <c r="A431" t="s">
        <v>87</v>
      </c>
      <c r="B431" t="s">
        <v>12</v>
      </c>
      <c r="C431">
        <v>56</v>
      </c>
      <c r="D431">
        <v>91</v>
      </c>
      <c r="E431" t="s">
        <v>19</v>
      </c>
      <c r="F431" t="s">
        <v>173</v>
      </c>
      <c r="G431">
        <v>138.41</v>
      </c>
      <c r="H431" t="s">
        <v>20</v>
      </c>
      <c r="I431" s="2">
        <v>45442</v>
      </c>
      <c r="J431" s="2">
        <v>45485</v>
      </c>
    </row>
    <row r="432" spans="1:11" x14ac:dyDescent="0.25">
      <c r="A432" t="s">
        <v>115</v>
      </c>
      <c r="B432" t="s">
        <v>16</v>
      </c>
      <c r="C432">
        <v>2</v>
      </c>
      <c r="D432">
        <v>20</v>
      </c>
      <c r="E432" t="s">
        <v>19</v>
      </c>
      <c r="F432" t="s">
        <v>174</v>
      </c>
      <c r="G432">
        <v>348.85</v>
      </c>
      <c r="H432" t="s">
        <v>14</v>
      </c>
      <c r="I432" s="2">
        <v>45454</v>
      </c>
      <c r="J432" s="2">
        <v>45517</v>
      </c>
    </row>
    <row r="433" spans="1:11" x14ac:dyDescent="0.25">
      <c r="A433" t="s">
        <v>159</v>
      </c>
      <c r="B433" t="s">
        <v>16</v>
      </c>
      <c r="C433">
        <v>5</v>
      </c>
      <c r="D433">
        <v>43</v>
      </c>
      <c r="E433" t="s">
        <v>19</v>
      </c>
      <c r="F433" t="s">
        <v>174</v>
      </c>
      <c r="G433">
        <v>299.68</v>
      </c>
      <c r="H433" t="s">
        <v>14</v>
      </c>
      <c r="I433" s="2">
        <v>45632</v>
      </c>
      <c r="J433" s="2">
        <v>45718</v>
      </c>
      <c r="K433" t="s">
        <v>21</v>
      </c>
    </row>
    <row r="434" spans="1:11" x14ac:dyDescent="0.25">
      <c r="A434" t="s">
        <v>146</v>
      </c>
      <c r="B434" t="s">
        <v>16</v>
      </c>
      <c r="C434">
        <v>4</v>
      </c>
      <c r="D434">
        <v>43</v>
      </c>
      <c r="E434" t="s">
        <v>19</v>
      </c>
      <c r="F434" t="s">
        <v>174</v>
      </c>
      <c r="G434">
        <v>135.99</v>
      </c>
      <c r="H434" t="s">
        <v>14</v>
      </c>
      <c r="I434" s="2">
        <v>45556</v>
      </c>
      <c r="J434" s="2">
        <v>45575</v>
      </c>
      <c r="K434" t="s">
        <v>21</v>
      </c>
    </row>
    <row r="435" spans="1:11" x14ac:dyDescent="0.25">
      <c r="A435" t="s">
        <v>27</v>
      </c>
      <c r="B435" t="s">
        <v>16</v>
      </c>
      <c r="C435">
        <v>4</v>
      </c>
      <c r="D435">
        <v>36</v>
      </c>
      <c r="E435" t="s">
        <v>19</v>
      </c>
      <c r="F435" t="s">
        <v>173</v>
      </c>
      <c r="G435">
        <v>332.67</v>
      </c>
      <c r="H435" t="s">
        <v>14</v>
      </c>
      <c r="I435" s="2">
        <v>45481</v>
      </c>
      <c r="J435" s="2">
        <v>45537</v>
      </c>
      <c r="K435" t="s">
        <v>172</v>
      </c>
    </row>
    <row r="436" spans="1:11" x14ac:dyDescent="0.25">
      <c r="A436" t="s">
        <v>136</v>
      </c>
      <c r="B436" t="s">
        <v>23</v>
      </c>
      <c r="C436">
        <v>8</v>
      </c>
      <c r="D436">
        <v>77</v>
      </c>
      <c r="E436" t="s">
        <v>19</v>
      </c>
      <c r="F436" t="s">
        <v>173</v>
      </c>
      <c r="G436">
        <v>97.92</v>
      </c>
      <c r="H436" t="s">
        <v>26</v>
      </c>
      <c r="I436" s="2">
        <v>45313</v>
      </c>
      <c r="J436" s="2">
        <v>45354</v>
      </c>
      <c r="K436" t="s">
        <v>21</v>
      </c>
    </row>
    <row r="437" spans="1:11" x14ac:dyDescent="0.25">
      <c r="A437" t="s">
        <v>110</v>
      </c>
      <c r="B437" t="s">
        <v>28</v>
      </c>
      <c r="C437">
        <v>19</v>
      </c>
      <c r="D437">
        <v>30</v>
      </c>
      <c r="E437" t="s">
        <v>19</v>
      </c>
      <c r="F437" t="s">
        <v>170</v>
      </c>
      <c r="G437">
        <v>350.98</v>
      </c>
      <c r="H437" t="s">
        <v>26</v>
      </c>
      <c r="I437" s="2">
        <v>45560</v>
      </c>
      <c r="J437" s="2">
        <v>45620</v>
      </c>
      <c r="K437" t="s">
        <v>172</v>
      </c>
    </row>
    <row r="438" spans="1:11" x14ac:dyDescent="0.25">
      <c r="A438" t="s">
        <v>39</v>
      </c>
      <c r="B438" t="s">
        <v>30</v>
      </c>
      <c r="C438">
        <v>2</v>
      </c>
      <c r="D438">
        <v>27</v>
      </c>
      <c r="E438" t="s">
        <v>19</v>
      </c>
      <c r="F438" t="s">
        <v>170</v>
      </c>
      <c r="G438">
        <v>24.29</v>
      </c>
      <c r="H438" t="s">
        <v>20</v>
      </c>
      <c r="I438" s="2">
        <v>45333</v>
      </c>
      <c r="J438" s="2">
        <v>45372</v>
      </c>
      <c r="K438" t="s">
        <v>172</v>
      </c>
    </row>
    <row r="439" spans="1:11" x14ac:dyDescent="0.25">
      <c r="A439" t="s">
        <v>92</v>
      </c>
      <c r="B439" t="s">
        <v>16</v>
      </c>
      <c r="C439">
        <v>12</v>
      </c>
      <c r="D439">
        <v>29</v>
      </c>
      <c r="E439" t="s">
        <v>19</v>
      </c>
      <c r="F439" t="s">
        <v>174</v>
      </c>
      <c r="G439">
        <v>164.9</v>
      </c>
      <c r="H439" t="s">
        <v>26</v>
      </c>
      <c r="I439" s="2">
        <v>45384</v>
      </c>
      <c r="J439" s="2">
        <v>45465</v>
      </c>
    </row>
    <row r="440" spans="1:11" x14ac:dyDescent="0.25">
      <c r="A440" t="s">
        <v>160</v>
      </c>
      <c r="B440" t="s">
        <v>30</v>
      </c>
      <c r="C440">
        <v>72</v>
      </c>
      <c r="D440">
        <v>92</v>
      </c>
      <c r="E440" t="s">
        <v>19</v>
      </c>
      <c r="F440" t="s">
        <v>174</v>
      </c>
      <c r="G440">
        <v>450.98</v>
      </c>
      <c r="H440" t="s">
        <v>14</v>
      </c>
      <c r="I440" s="2">
        <v>45489</v>
      </c>
      <c r="J440" s="2">
        <v>45556</v>
      </c>
      <c r="K440" t="s">
        <v>17</v>
      </c>
    </row>
    <row r="441" spans="1:11" x14ac:dyDescent="0.25">
      <c r="A441" t="s">
        <v>123</v>
      </c>
      <c r="B441" t="s">
        <v>12</v>
      </c>
      <c r="C441">
        <v>67</v>
      </c>
      <c r="D441">
        <v>85</v>
      </c>
      <c r="E441" t="s">
        <v>19</v>
      </c>
      <c r="F441" t="s">
        <v>174</v>
      </c>
      <c r="G441">
        <v>498.1</v>
      </c>
      <c r="H441" t="s">
        <v>20</v>
      </c>
      <c r="I441" s="2">
        <v>45454</v>
      </c>
      <c r="J441" s="2">
        <v>45534</v>
      </c>
      <c r="K441" t="s">
        <v>17</v>
      </c>
    </row>
    <row r="442" spans="1:11" x14ac:dyDescent="0.25">
      <c r="A442" t="s">
        <v>87</v>
      </c>
      <c r="B442" t="s">
        <v>28</v>
      </c>
      <c r="C442">
        <v>10</v>
      </c>
      <c r="D442">
        <v>68</v>
      </c>
      <c r="E442" t="s">
        <v>19</v>
      </c>
      <c r="F442" t="s">
        <v>174</v>
      </c>
      <c r="G442">
        <v>290.47000000000003</v>
      </c>
      <c r="H442" t="s">
        <v>14</v>
      </c>
      <c r="I442" s="2">
        <v>45505</v>
      </c>
      <c r="J442" s="2">
        <v>45556</v>
      </c>
      <c r="K442" t="s">
        <v>17</v>
      </c>
    </row>
    <row r="443" spans="1:11" x14ac:dyDescent="0.25">
      <c r="A443" t="s">
        <v>86</v>
      </c>
      <c r="B443" t="s">
        <v>28</v>
      </c>
      <c r="C443">
        <v>66</v>
      </c>
      <c r="D443">
        <v>97</v>
      </c>
      <c r="E443" t="s">
        <v>19</v>
      </c>
      <c r="F443" t="s">
        <v>173</v>
      </c>
      <c r="G443">
        <v>499.45</v>
      </c>
      <c r="H443" t="s">
        <v>14</v>
      </c>
      <c r="I443" s="2">
        <v>45615</v>
      </c>
      <c r="J443" s="2">
        <v>45694</v>
      </c>
      <c r="K443" t="s">
        <v>17</v>
      </c>
    </row>
    <row r="444" spans="1:11" x14ac:dyDescent="0.25">
      <c r="A444" t="s">
        <v>137</v>
      </c>
      <c r="B444" t="s">
        <v>12</v>
      </c>
      <c r="C444">
        <v>28</v>
      </c>
      <c r="D444">
        <v>81</v>
      </c>
      <c r="E444" t="s">
        <v>19</v>
      </c>
      <c r="F444" t="s">
        <v>174</v>
      </c>
      <c r="G444">
        <v>375.35</v>
      </c>
      <c r="H444" t="s">
        <v>14</v>
      </c>
      <c r="I444" s="2">
        <v>45556</v>
      </c>
      <c r="J444" s="2">
        <v>45571</v>
      </c>
    </row>
    <row r="445" spans="1:11" x14ac:dyDescent="0.25">
      <c r="A445" t="s">
        <v>18</v>
      </c>
      <c r="B445" t="s">
        <v>28</v>
      </c>
      <c r="C445">
        <v>8</v>
      </c>
      <c r="D445">
        <v>32</v>
      </c>
      <c r="E445" t="s">
        <v>19</v>
      </c>
      <c r="F445" t="s">
        <v>170</v>
      </c>
      <c r="G445">
        <v>208.54</v>
      </c>
      <c r="H445" t="s">
        <v>20</v>
      </c>
      <c r="I445" s="2">
        <v>45500</v>
      </c>
      <c r="J445" s="2">
        <v>45559</v>
      </c>
      <c r="K445" t="s">
        <v>172</v>
      </c>
    </row>
    <row r="446" spans="1:11" x14ac:dyDescent="0.25">
      <c r="A446" t="s">
        <v>86</v>
      </c>
      <c r="B446" t="s">
        <v>12</v>
      </c>
      <c r="C446">
        <v>39</v>
      </c>
      <c r="D446">
        <v>72</v>
      </c>
      <c r="E446" t="s">
        <v>19</v>
      </c>
      <c r="F446" t="s">
        <v>173</v>
      </c>
      <c r="G446">
        <v>69.39</v>
      </c>
      <c r="H446" t="s">
        <v>26</v>
      </c>
      <c r="I446" s="2">
        <v>45434</v>
      </c>
      <c r="J446" s="2">
        <v>45474</v>
      </c>
      <c r="K446" t="s">
        <v>17</v>
      </c>
    </row>
    <row r="447" spans="1:11" x14ac:dyDescent="0.25">
      <c r="A447" t="s">
        <v>107</v>
      </c>
      <c r="B447" t="s">
        <v>12</v>
      </c>
      <c r="C447">
        <v>24</v>
      </c>
      <c r="D447">
        <v>51</v>
      </c>
      <c r="E447" t="s">
        <v>19</v>
      </c>
      <c r="F447" t="s">
        <v>170</v>
      </c>
      <c r="G447">
        <v>16.100000000000001</v>
      </c>
      <c r="H447" t="s">
        <v>20</v>
      </c>
      <c r="I447" s="2">
        <v>45525</v>
      </c>
      <c r="J447" s="2">
        <v>45604</v>
      </c>
      <c r="K447" t="s">
        <v>172</v>
      </c>
    </row>
    <row r="448" spans="1:11" x14ac:dyDescent="0.25">
      <c r="A448" t="s">
        <v>104</v>
      </c>
      <c r="B448" t="s">
        <v>30</v>
      </c>
      <c r="C448">
        <v>4</v>
      </c>
      <c r="D448">
        <v>35</v>
      </c>
      <c r="E448" t="s">
        <v>19</v>
      </c>
      <c r="F448" t="s">
        <v>170</v>
      </c>
      <c r="G448">
        <v>183.41</v>
      </c>
      <c r="H448" t="s">
        <v>14</v>
      </c>
      <c r="I448" s="2">
        <v>45319</v>
      </c>
      <c r="J448" s="2">
        <v>45357</v>
      </c>
      <c r="K448" t="s">
        <v>17</v>
      </c>
    </row>
    <row r="449" spans="1:11" x14ac:dyDescent="0.25">
      <c r="A449" t="s">
        <v>147</v>
      </c>
      <c r="B449" t="s">
        <v>16</v>
      </c>
      <c r="C449">
        <v>36</v>
      </c>
      <c r="D449">
        <v>44</v>
      </c>
      <c r="E449" t="s">
        <v>19</v>
      </c>
      <c r="F449" t="s">
        <v>174</v>
      </c>
      <c r="G449">
        <v>419.37</v>
      </c>
      <c r="H449" t="s">
        <v>20</v>
      </c>
      <c r="I449" s="2">
        <v>45311</v>
      </c>
      <c r="J449" s="2">
        <v>45390</v>
      </c>
    </row>
    <row r="450" spans="1:11" x14ac:dyDescent="0.25">
      <c r="A450" t="s">
        <v>90</v>
      </c>
      <c r="B450" t="s">
        <v>28</v>
      </c>
      <c r="C450">
        <v>59</v>
      </c>
      <c r="D450">
        <v>78</v>
      </c>
      <c r="E450" t="s">
        <v>19</v>
      </c>
      <c r="F450" t="s">
        <v>173</v>
      </c>
      <c r="G450">
        <v>311.67</v>
      </c>
      <c r="H450" t="s">
        <v>14</v>
      </c>
      <c r="I450" s="2">
        <v>45631</v>
      </c>
      <c r="J450" s="2">
        <v>45713</v>
      </c>
    </row>
    <row r="451" spans="1:11" x14ac:dyDescent="0.25">
      <c r="A451" t="s">
        <v>105</v>
      </c>
      <c r="B451" t="s">
        <v>12</v>
      </c>
      <c r="C451">
        <v>27</v>
      </c>
      <c r="D451">
        <v>41</v>
      </c>
      <c r="E451" t="s">
        <v>19</v>
      </c>
      <c r="F451" t="s">
        <v>173</v>
      </c>
      <c r="G451">
        <v>314.18</v>
      </c>
      <c r="H451" t="s">
        <v>20</v>
      </c>
      <c r="I451" s="2">
        <v>45503</v>
      </c>
      <c r="J451" s="2">
        <v>45586</v>
      </c>
      <c r="K451" t="s">
        <v>17</v>
      </c>
    </row>
    <row r="452" spans="1:11" x14ac:dyDescent="0.25">
      <c r="A452" t="s">
        <v>93</v>
      </c>
      <c r="B452" t="s">
        <v>12</v>
      </c>
      <c r="C452">
        <v>39</v>
      </c>
      <c r="D452">
        <v>70</v>
      </c>
      <c r="E452" t="s">
        <v>19</v>
      </c>
      <c r="F452" t="s">
        <v>174</v>
      </c>
      <c r="G452">
        <v>495.39</v>
      </c>
      <c r="H452" t="s">
        <v>14</v>
      </c>
      <c r="I452" s="2">
        <v>45319</v>
      </c>
      <c r="J452" s="2">
        <v>45374</v>
      </c>
      <c r="K452" t="s">
        <v>172</v>
      </c>
    </row>
    <row r="453" spans="1:11" x14ac:dyDescent="0.25">
      <c r="A453" t="s">
        <v>149</v>
      </c>
      <c r="B453" t="s">
        <v>28</v>
      </c>
      <c r="C453">
        <v>44</v>
      </c>
      <c r="D453">
        <v>65</v>
      </c>
      <c r="E453" t="s">
        <v>19</v>
      </c>
      <c r="F453" t="s">
        <v>174</v>
      </c>
      <c r="G453">
        <v>379.58</v>
      </c>
      <c r="H453" t="s">
        <v>14</v>
      </c>
      <c r="I453" s="2">
        <v>45476</v>
      </c>
      <c r="J453" s="2">
        <v>45540</v>
      </c>
    </row>
    <row r="454" spans="1:11" x14ac:dyDescent="0.25">
      <c r="A454" t="s">
        <v>88</v>
      </c>
      <c r="B454" t="s">
        <v>16</v>
      </c>
      <c r="C454">
        <v>39</v>
      </c>
      <c r="D454">
        <v>40</v>
      </c>
      <c r="E454" t="s">
        <v>19</v>
      </c>
      <c r="F454" t="s">
        <v>174</v>
      </c>
      <c r="G454">
        <v>464.92</v>
      </c>
      <c r="H454" t="s">
        <v>26</v>
      </c>
      <c r="I454" s="2">
        <v>45473</v>
      </c>
      <c r="J454" s="2">
        <v>45513</v>
      </c>
      <c r="K454" t="s">
        <v>172</v>
      </c>
    </row>
    <row r="455" spans="1:11" x14ac:dyDescent="0.25">
      <c r="A455" t="s">
        <v>118</v>
      </c>
      <c r="B455" t="s">
        <v>28</v>
      </c>
      <c r="C455">
        <v>39</v>
      </c>
      <c r="D455">
        <v>40</v>
      </c>
      <c r="E455" t="s">
        <v>19</v>
      </c>
      <c r="F455" t="s">
        <v>173</v>
      </c>
      <c r="G455">
        <v>266.2</v>
      </c>
      <c r="H455" t="s">
        <v>26</v>
      </c>
      <c r="I455" s="2">
        <v>45526</v>
      </c>
      <c r="J455" s="2">
        <v>45588</v>
      </c>
      <c r="K455" t="s">
        <v>17</v>
      </c>
    </row>
    <row r="456" spans="1:11" x14ac:dyDescent="0.25">
      <c r="A456" t="s">
        <v>137</v>
      </c>
      <c r="B456" t="s">
        <v>28</v>
      </c>
      <c r="C456">
        <v>32</v>
      </c>
      <c r="D456">
        <v>65</v>
      </c>
      <c r="E456" t="s">
        <v>19</v>
      </c>
      <c r="F456" t="s">
        <v>173</v>
      </c>
      <c r="G456">
        <v>497.84</v>
      </c>
      <c r="H456" t="s">
        <v>26</v>
      </c>
      <c r="I456" s="2">
        <v>45608</v>
      </c>
      <c r="J456" s="2">
        <v>45693</v>
      </c>
      <c r="K456" t="s">
        <v>172</v>
      </c>
    </row>
    <row r="457" spans="1:11" x14ac:dyDescent="0.25">
      <c r="A457" t="s">
        <v>39</v>
      </c>
      <c r="B457" t="s">
        <v>12</v>
      </c>
      <c r="C457">
        <v>5</v>
      </c>
      <c r="D457">
        <v>26</v>
      </c>
      <c r="E457" t="s">
        <v>19</v>
      </c>
      <c r="F457" t="s">
        <v>173</v>
      </c>
      <c r="G457">
        <v>490.65</v>
      </c>
      <c r="H457" t="s">
        <v>20</v>
      </c>
      <c r="I457" s="2">
        <v>45602</v>
      </c>
      <c r="J457" s="2">
        <v>45648</v>
      </c>
      <c r="K457" t="s">
        <v>17</v>
      </c>
    </row>
    <row r="458" spans="1:11" x14ac:dyDescent="0.25">
      <c r="A458" t="s">
        <v>73</v>
      </c>
      <c r="B458" t="s">
        <v>16</v>
      </c>
      <c r="C458">
        <v>79</v>
      </c>
      <c r="D458">
        <v>94</v>
      </c>
      <c r="E458" t="s">
        <v>19</v>
      </c>
      <c r="F458" t="s">
        <v>173</v>
      </c>
      <c r="G458">
        <v>403.18</v>
      </c>
      <c r="H458" t="s">
        <v>26</v>
      </c>
      <c r="I458" s="2">
        <v>45302</v>
      </c>
      <c r="J458" s="2">
        <v>45336</v>
      </c>
      <c r="K458" t="s">
        <v>172</v>
      </c>
    </row>
    <row r="459" spans="1:11" x14ac:dyDescent="0.25">
      <c r="A459" t="s">
        <v>125</v>
      </c>
      <c r="B459" t="s">
        <v>30</v>
      </c>
      <c r="C459">
        <v>47</v>
      </c>
      <c r="D459">
        <v>48</v>
      </c>
      <c r="E459" t="s">
        <v>19</v>
      </c>
      <c r="F459" t="s">
        <v>173</v>
      </c>
      <c r="G459">
        <v>340.38</v>
      </c>
      <c r="H459" t="s">
        <v>26</v>
      </c>
      <c r="I459" s="2">
        <v>45611</v>
      </c>
      <c r="J459" s="2">
        <v>45681</v>
      </c>
      <c r="K459" t="s">
        <v>172</v>
      </c>
    </row>
    <row r="460" spans="1:11" x14ac:dyDescent="0.25">
      <c r="A460" t="s">
        <v>143</v>
      </c>
      <c r="B460" t="s">
        <v>28</v>
      </c>
      <c r="C460">
        <v>12</v>
      </c>
      <c r="D460">
        <v>71</v>
      </c>
      <c r="E460" t="s">
        <v>19</v>
      </c>
      <c r="F460" t="s">
        <v>170</v>
      </c>
      <c r="G460">
        <v>471.14</v>
      </c>
      <c r="H460" t="s">
        <v>20</v>
      </c>
      <c r="I460" s="2">
        <v>45301</v>
      </c>
      <c r="J460" s="2">
        <v>45345</v>
      </c>
      <c r="K460" t="s">
        <v>172</v>
      </c>
    </row>
    <row r="461" spans="1:11" x14ac:dyDescent="0.25">
      <c r="A461" t="s">
        <v>138</v>
      </c>
      <c r="B461" t="s">
        <v>30</v>
      </c>
      <c r="C461">
        <v>44</v>
      </c>
      <c r="D461">
        <v>69</v>
      </c>
      <c r="E461" t="s">
        <v>19</v>
      </c>
      <c r="F461" t="s">
        <v>173</v>
      </c>
      <c r="G461">
        <v>252.68</v>
      </c>
      <c r="H461" t="s">
        <v>20</v>
      </c>
      <c r="I461" s="2">
        <v>45347</v>
      </c>
      <c r="J461" s="2">
        <v>45397</v>
      </c>
      <c r="K461" t="s">
        <v>17</v>
      </c>
    </row>
    <row r="462" spans="1:11" x14ac:dyDescent="0.25">
      <c r="A462" t="s">
        <v>154</v>
      </c>
      <c r="B462" t="s">
        <v>16</v>
      </c>
      <c r="C462">
        <v>88</v>
      </c>
      <c r="D462">
        <v>98</v>
      </c>
      <c r="E462" t="s">
        <v>19</v>
      </c>
      <c r="F462" t="s">
        <v>170</v>
      </c>
      <c r="G462">
        <v>346.99</v>
      </c>
      <c r="H462" t="s">
        <v>26</v>
      </c>
      <c r="I462" s="2">
        <v>45339</v>
      </c>
      <c r="J462" s="2">
        <v>45408</v>
      </c>
    </row>
    <row r="463" spans="1:11" x14ac:dyDescent="0.25">
      <c r="A463" t="s">
        <v>139</v>
      </c>
      <c r="B463" t="s">
        <v>28</v>
      </c>
      <c r="C463">
        <v>6</v>
      </c>
      <c r="D463">
        <v>75</v>
      </c>
      <c r="E463" t="s">
        <v>19</v>
      </c>
      <c r="F463" t="s">
        <v>174</v>
      </c>
      <c r="G463">
        <v>354.04</v>
      </c>
      <c r="H463" t="s">
        <v>26</v>
      </c>
      <c r="I463" s="2">
        <v>45500</v>
      </c>
      <c r="J463" s="2">
        <v>45582</v>
      </c>
      <c r="K463" t="s">
        <v>21</v>
      </c>
    </row>
    <row r="464" spans="1:11" x14ac:dyDescent="0.25">
      <c r="A464" t="s">
        <v>157</v>
      </c>
      <c r="B464" t="s">
        <v>23</v>
      </c>
      <c r="C464">
        <v>44</v>
      </c>
      <c r="D464">
        <v>82</v>
      </c>
      <c r="E464" t="s">
        <v>19</v>
      </c>
      <c r="F464" t="s">
        <v>173</v>
      </c>
      <c r="G464">
        <v>335.54</v>
      </c>
      <c r="H464" t="s">
        <v>20</v>
      </c>
      <c r="I464" s="2">
        <v>45523</v>
      </c>
      <c r="J464" s="2">
        <v>45589</v>
      </c>
      <c r="K464" t="s">
        <v>21</v>
      </c>
    </row>
    <row r="465" spans="1:11" x14ac:dyDescent="0.25">
      <c r="A465" t="s">
        <v>89</v>
      </c>
      <c r="B465" t="s">
        <v>30</v>
      </c>
      <c r="C465">
        <v>30</v>
      </c>
      <c r="D465">
        <v>42</v>
      </c>
      <c r="E465" t="s">
        <v>19</v>
      </c>
      <c r="F465" t="s">
        <v>170</v>
      </c>
      <c r="G465">
        <v>89.02</v>
      </c>
      <c r="H465" t="s">
        <v>20</v>
      </c>
      <c r="I465" s="2">
        <v>45321</v>
      </c>
      <c r="J465" s="2">
        <v>45385</v>
      </c>
    </row>
    <row r="466" spans="1:11" x14ac:dyDescent="0.25">
      <c r="A466" t="s">
        <v>158</v>
      </c>
      <c r="B466" t="s">
        <v>28</v>
      </c>
      <c r="C466">
        <v>22</v>
      </c>
      <c r="D466">
        <v>48</v>
      </c>
      <c r="E466" t="s">
        <v>19</v>
      </c>
      <c r="F466" t="s">
        <v>174</v>
      </c>
      <c r="G466">
        <v>14.48</v>
      </c>
      <c r="H466" t="s">
        <v>14</v>
      </c>
      <c r="I466" s="2">
        <v>45586</v>
      </c>
      <c r="J466" s="2">
        <v>45641</v>
      </c>
      <c r="K466" t="s">
        <v>172</v>
      </c>
    </row>
    <row r="467" spans="1:11" x14ac:dyDescent="0.25">
      <c r="A467" t="s">
        <v>90</v>
      </c>
      <c r="B467" t="s">
        <v>12</v>
      </c>
      <c r="C467">
        <v>38</v>
      </c>
      <c r="D467">
        <v>91</v>
      </c>
      <c r="E467" t="s">
        <v>19</v>
      </c>
      <c r="F467" t="s">
        <v>173</v>
      </c>
      <c r="G467">
        <v>270.29000000000002</v>
      </c>
      <c r="H467" t="s">
        <v>26</v>
      </c>
      <c r="I467" s="2">
        <v>45458</v>
      </c>
      <c r="J467" s="2">
        <v>45511</v>
      </c>
      <c r="K467" t="s">
        <v>17</v>
      </c>
    </row>
    <row r="468" spans="1:11" x14ac:dyDescent="0.25">
      <c r="A468" t="s">
        <v>126</v>
      </c>
      <c r="B468" t="s">
        <v>12</v>
      </c>
      <c r="C468">
        <v>1</v>
      </c>
      <c r="D468">
        <v>84</v>
      </c>
      <c r="E468" t="s">
        <v>19</v>
      </c>
      <c r="F468" t="s">
        <v>174</v>
      </c>
      <c r="G468">
        <v>288.44</v>
      </c>
      <c r="H468" t="s">
        <v>14</v>
      </c>
      <c r="I468" s="2">
        <v>45356</v>
      </c>
      <c r="J468" s="2">
        <v>45430</v>
      </c>
      <c r="K468" t="s">
        <v>21</v>
      </c>
    </row>
    <row r="469" spans="1:11" x14ac:dyDescent="0.25">
      <c r="A469" t="s">
        <v>153</v>
      </c>
      <c r="B469" t="s">
        <v>28</v>
      </c>
      <c r="C469">
        <v>11</v>
      </c>
      <c r="D469">
        <v>83</v>
      </c>
      <c r="E469" t="s">
        <v>19</v>
      </c>
      <c r="F469" t="s">
        <v>173</v>
      </c>
      <c r="G469">
        <v>461.05</v>
      </c>
      <c r="H469" t="s">
        <v>14</v>
      </c>
      <c r="I469" s="2">
        <v>45594</v>
      </c>
      <c r="J469" s="2">
        <v>45681</v>
      </c>
      <c r="K469" t="s">
        <v>17</v>
      </c>
    </row>
    <row r="470" spans="1:11" x14ac:dyDescent="0.25">
      <c r="A470" t="s">
        <v>76</v>
      </c>
      <c r="B470" t="s">
        <v>16</v>
      </c>
      <c r="C470">
        <v>12</v>
      </c>
      <c r="D470">
        <v>65</v>
      </c>
      <c r="E470" t="s">
        <v>19</v>
      </c>
      <c r="F470" t="s">
        <v>173</v>
      </c>
      <c r="G470">
        <v>180.69</v>
      </c>
      <c r="H470" t="s">
        <v>14</v>
      </c>
      <c r="I470" s="2">
        <v>45655</v>
      </c>
      <c r="J470" s="2">
        <v>45717</v>
      </c>
      <c r="K470" t="s">
        <v>21</v>
      </c>
    </row>
    <row r="471" spans="1:11" x14ac:dyDescent="0.25">
      <c r="A471" t="s">
        <v>108</v>
      </c>
      <c r="B471" t="s">
        <v>23</v>
      </c>
      <c r="C471">
        <v>45</v>
      </c>
      <c r="D471">
        <v>46</v>
      </c>
      <c r="E471" t="s">
        <v>19</v>
      </c>
      <c r="F471" t="s">
        <v>170</v>
      </c>
      <c r="G471">
        <v>30.73</v>
      </c>
      <c r="H471" t="s">
        <v>26</v>
      </c>
      <c r="I471" s="2">
        <v>45549</v>
      </c>
      <c r="J471" s="2">
        <v>45577</v>
      </c>
      <c r="K471" t="s">
        <v>21</v>
      </c>
    </row>
    <row r="472" spans="1:11" x14ac:dyDescent="0.25">
      <c r="A472" t="s">
        <v>152</v>
      </c>
      <c r="B472" t="s">
        <v>30</v>
      </c>
      <c r="C472">
        <v>16</v>
      </c>
      <c r="D472">
        <v>32</v>
      </c>
      <c r="E472" t="s">
        <v>19</v>
      </c>
      <c r="F472" t="s">
        <v>170</v>
      </c>
      <c r="G472">
        <v>46.86</v>
      </c>
      <c r="H472" t="s">
        <v>20</v>
      </c>
      <c r="I472" s="2">
        <v>45517</v>
      </c>
      <c r="J472" s="2">
        <v>45589</v>
      </c>
    </row>
    <row r="473" spans="1:11" x14ac:dyDescent="0.25">
      <c r="A473" t="s">
        <v>66</v>
      </c>
      <c r="B473" t="s">
        <v>16</v>
      </c>
      <c r="C473">
        <v>73</v>
      </c>
      <c r="D473">
        <v>94</v>
      </c>
      <c r="E473" t="s">
        <v>19</v>
      </c>
      <c r="F473" t="s">
        <v>173</v>
      </c>
      <c r="G473">
        <v>402.31</v>
      </c>
      <c r="H473" t="s">
        <v>14</v>
      </c>
      <c r="I473" s="2">
        <v>45591</v>
      </c>
      <c r="J473" s="2">
        <v>45610</v>
      </c>
      <c r="K473" t="s">
        <v>17</v>
      </c>
    </row>
    <row r="474" spans="1:11" x14ac:dyDescent="0.25">
      <c r="A474" t="s">
        <v>162</v>
      </c>
      <c r="B474" t="s">
        <v>28</v>
      </c>
      <c r="C474">
        <v>59</v>
      </c>
      <c r="D474">
        <v>75</v>
      </c>
      <c r="E474" t="s">
        <v>19</v>
      </c>
      <c r="F474" t="s">
        <v>170</v>
      </c>
      <c r="G474">
        <v>449.2</v>
      </c>
      <c r="H474" t="s">
        <v>14</v>
      </c>
      <c r="I474" s="2">
        <v>45578</v>
      </c>
      <c r="J474" s="2">
        <v>45635</v>
      </c>
      <c r="K474" t="s">
        <v>17</v>
      </c>
    </row>
    <row r="475" spans="1:11" x14ac:dyDescent="0.25">
      <c r="A475" t="s">
        <v>140</v>
      </c>
      <c r="B475" t="s">
        <v>28</v>
      </c>
      <c r="C475">
        <v>21</v>
      </c>
      <c r="D475">
        <v>23</v>
      </c>
      <c r="E475" t="s">
        <v>19</v>
      </c>
      <c r="F475" t="s">
        <v>170</v>
      </c>
      <c r="G475">
        <v>235.18</v>
      </c>
      <c r="H475" t="s">
        <v>14</v>
      </c>
      <c r="I475" s="2">
        <v>45320</v>
      </c>
      <c r="J475" s="2">
        <v>45343</v>
      </c>
    </row>
    <row r="476" spans="1:11" x14ac:dyDescent="0.25">
      <c r="A476" t="s">
        <v>87</v>
      </c>
      <c r="B476" t="s">
        <v>12</v>
      </c>
      <c r="C476">
        <v>16</v>
      </c>
      <c r="D476">
        <v>73</v>
      </c>
      <c r="E476" t="s">
        <v>19</v>
      </c>
      <c r="F476" t="s">
        <v>174</v>
      </c>
      <c r="G476">
        <v>409.4</v>
      </c>
      <c r="H476" t="s">
        <v>14</v>
      </c>
      <c r="I476" s="2">
        <v>45470</v>
      </c>
      <c r="J476" s="2">
        <v>45541</v>
      </c>
      <c r="K476" t="s">
        <v>21</v>
      </c>
    </row>
    <row r="477" spans="1:11" x14ac:dyDescent="0.25">
      <c r="A477" t="s">
        <v>153</v>
      </c>
      <c r="B477" t="s">
        <v>23</v>
      </c>
      <c r="C477">
        <v>11</v>
      </c>
      <c r="D477">
        <v>40</v>
      </c>
      <c r="E477" t="s">
        <v>19</v>
      </c>
      <c r="F477" t="s">
        <v>170</v>
      </c>
      <c r="G477">
        <v>427.01</v>
      </c>
      <c r="H477" t="s">
        <v>20</v>
      </c>
      <c r="I477" s="2">
        <v>45611</v>
      </c>
      <c r="J477" s="2">
        <v>45654</v>
      </c>
      <c r="K477" t="s">
        <v>172</v>
      </c>
    </row>
    <row r="478" spans="1:11" x14ac:dyDescent="0.25">
      <c r="A478" t="s">
        <v>84</v>
      </c>
      <c r="B478" t="s">
        <v>28</v>
      </c>
      <c r="C478">
        <v>21</v>
      </c>
      <c r="D478">
        <v>76</v>
      </c>
      <c r="E478" t="s">
        <v>19</v>
      </c>
      <c r="F478" t="s">
        <v>170</v>
      </c>
      <c r="G478">
        <v>118.54</v>
      </c>
      <c r="H478" t="s">
        <v>20</v>
      </c>
      <c r="I478" s="2">
        <v>45579</v>
      </c>
      <c r="J478" s="2">
        <v>45597</v>
      </c>
      <c r="K478" t="s">
        <v>172</v>
      </c>
    </row>
    <row r="479" spans="1:11" x14ac:dyDescent="0.25">
      <c r="A479" t="s">
        <v>101</v>
      </c>
      <c r="B479" t="s">
        <v>12</v>
      </c>
      <c r="C479">
        <v>13</v>
      </c>
      <c r="D479">
        <v>36</v>
      </c>
      <c r="E479" t="s">
        <v>19</v>
      </c>
      <c r="F479" t="s">
        <v>173</v>
      </c>
      <c r="G479">
        <v>54.98</v>
      </c>
      <c r="H479" t="s">
        <v>26</v>
      </c>
      <c r="I479" s="2">
        <v>45495</v>
      </c>
      <c r="J479" s="2">
        <v>45553</v>
      </c>
      <c r="K479" t="s">
        <v>21</v>
      </c>
    </row>
    <row r="480" spans="1:11" x14ac:dyDescent="0.25">
      <c r="A480" t="s">
        <v>108</v>
      </c>
      <c r="B480" t="s">
        <v>23</v>
      </c>
      <c r="C480">
        <v>28</v>
      </c>
      <c r="D480">
        <v>33</v>
      </c>
      <c r="E480" t="s">
        <v>19</v>
      </c>
      <c r="F480" t="s">
        <v>173</v>
      </c>
      <c r="G480">
        <v>486.67</v>
      </c>
      <c r="H480" t="s">
        <v>26</v>
      </c>
      <c r="I480" s="2">
        <v>45523</v>
      </c>
      <c r="J480" s="2">
        <v>45540</v>
      </c>
    </row>
    <row r="481" spans="1:11" x14ac:dyDescent="0.25">
      <c r="A481" t="s">
        <v>154</v>
      </c>
      <c r="B481" t="s">
        <v>23</v>
      </c>
      <c r="C481">
        <v>6</v>
      </c>
      <c r="D481">
        <v>74</v>
      </c>
      <c r="E481" t="s">
        <v>19</v>
      </c>
      <c r="F481" t="s">
        <v>170</v>
      </c>
      <c r="G481">
        <v>142.79</v>
      </c>
      <c r="H481" t="s">
        <v>26</v>
      </c>
      <c r="I481" s="2">
        <v>45639</v>
      </c>
      <c r="J481" s="2">
        <v>45711</v>
      </c>
      <c r="K481" t="s">
        <v>172</v>
      </c>
    </row>
    <row r="482" spans="1:11" x14ac:dyDescent="0.25">
      <c r="A482" t="s">
        <v>156</v>
      </c>
      <c r="B482" t="s">
        <v>16</v>
      </c>
      <c r="C482">
        <v>32</v>
      </c>
      <c r="D482">
        <v>53</v>
      </c>
      <c r="E482" t="s">
        <v>19</v>
      </c>
      <c r="F482" t="s">
        <v>170</v>
      </c>
      <c r="G482">
        <v>153.19</v>
      </c>
      <c r="H482" t="s">
        <v>20</v>
      </c>
      <c r="I482" s="2">
        <v>45534</v>
      </c>
      <c r="J482" s="2">
        <v>45605</v>
      </c>
      <c r="K482" t="s">
        <v>17</v>
      </c>
    </row>
    <row r="483" spans="1:11" x14ac:dyDescent="0.25">
      <c r="A483" t="s">
        <v>117</v>
      </c>
      <c r="B483" t="s">
        <v>23</v>
      </c>
      <c r="C483">
        <v>25</v>
      </c>
      <c r="D483">
        <v>68</v>
      </c>
      <c r="E483" t="s">
        <v>19</v>
      </c>
      <c r="F483" t="s">
        <v>170</v>
      </c>
      <c r="G483">
        <v>109.2</v>
      </c>
      <c r="H483" t="s">
        <v>14</v>
      </c>
      <c r="I483" s="2">
        <v>45395</v>
      </c>
      <c r="J483" s="2">
        <v>45478</v>
      </c>
      <c r="K483" t="s">
        <v>172</v>
      </c>
    </row>
    <row r="484" spans="1:11" x14ac:dyDescent="0.25">
      <c r="A484" t="s">
        <v>73</v>
      </c>
      <c r="B484" t="s">
        <v>30</v>
      </c>
      <c r="C484">
        <v>28</v>
      </c>
      <c r="D484">
        <v>41</v>
      </c>
      <c r="E484" t="s">
        <v>19</v>
      </c>
      <c r="F484" t="s">
        <v>173</v>
      </c>
      <c r="G484">
        <v>77.73</v>
      </c>
      <c r="H484" t="s">
        <v>26</v>
      </c>
      <c r="I484" s="2">
        <v>45502</v>
      </c>
      <c r="J484" s="2">
        <v>45561</v>
      </c>
    </row>
    <row r="485" spans="1:11" x14ac:dyDescent="0.25">
      <c r="A485" t="s">
        <v>145</v>
      </c>
      <c r="B485" t="s">
        <v>30</v>
      </c>
      <c r="C485">
        <v>3</v>
      </c>
      <c r="D485">
        <v>43</v>
      </c>
      <c r="E485" t="s">
        <v>19</v>
      </c>
      <c r="F485" t="s">
        <v>174</v>
      </c>
      <c r="G485">
        <v>174.61</v>
      </c>
      <c r="H485" t="s">
        <v>26</v>
      </c>
      <c r="I485" s="2">
        <v>45604</v>
      </c>
      <c r="J485" s="2">
        <v>45627</v>
      </c>
      <c r="K485" t="s">
        <v>17</v>
      </c>
    </row>
    <row r="486" spans="1:11" x14ac:dyDescent="0.25">
      <c r="A486" t="s">
        <v>18</v>
      </c>
      <c r="B486" t="s">
        <v>23</v>
      </c>
      <c r="C486">
        <v>38</v>
      </c>
      <c r="D486">
        <v>77</v>
      </c>
      <c r="E486" t="s">
        <v>19</v>
      </c>
      <c r="F486" t="s">
        <v>170</v>
      </c>
      <c r="G486">
        <v>45.95</v>
      </c>
      <c r="H486" t="s">
        <v>14</v>
      </c>
      <c r="I486" s="2">
        <v>45353</v>
      </c>
      <c r="J486" s="2">
        <v>45434</v>
      </c>
      <c r="K486" t="s">
        <v>172</v>
      </c>
    </row>
    <row r="487" spans="1:11" x14ac:dyDescent="0.25">
      <c r="A487" t="s">
        <v>117</v>
      </c>
      <c r="B487" t="s">
        <v>28</v>
      </c>
      <c r="C487">
        <v>14</v>
      </c>
      <c r="D487">
        <v>50</v>
      </c>
      <c r="E487" t="s">
        <v>19</v>
      </c>
      <c r="F487" t="s">
        <v>173</v>
      </c>
      <c r="G487">
        <v>244.85</v>
      </c>
      <c r="H487" t="s">
        <v>26</v>
      </c>
      <c r="I487" s="2">
        <v>45522</v>
      </c>
      <c r="J487" s="2">
        <v>45566</v>
      </c>
      <c r="K487" t="s">
        <v>21</v>
      </c>
    </row>
    <row r="488" spans="1:11" x14ac:dyDescent="0.25">
      <c r="A488" t="s">
        <v>119</v>
      </c>
      <c r="B488" t="s">
        <v>28</v>
      </c>
      <c r="C488">
        <v>28</v>
      </c>
      <c r="D488">
        <v>38</v>
      </c>
      <c r="E488" t="s">
        <v>19</v>
      </c>
      <c r="F488" t="s">
        <v>170</v>
      </c>
      <c r="G488">
        <v>283.89</v>
      </c>
      <c r="H488" t="s">
        <v>20</v>
      </c>
      <c r="I488" s="2">
        <v>45646</v>
      </c>
      <c r="J488" s="2">
        <v>45663</v>
      </c>
      <c r="K488" t="s">
        <v>172</v>
      </c>
    </row>
    <row r="489" spans="1:11" x14ac:dyDescent="0.25">
      <c r="A489" t="s">
        <v>153</v>
      </c>
      <c r="B489" t="s">
        <v>16</v>
      </c>
      <c r="C489">
        <v>31</v>
      </c>
      <c r="D489">
        <v>74</v>
      </c>
      <c r="E489" t="s">
        <v>19</v>
      </c>
      <c r="F489" t="s">
        <v>174</v>
      </c>
      <c r="G489">
        <v>255.23</v>
      </c>
      <c r="H489" t="s">
        <v>14</v>
      </c>
      <c r="I489" s="2">
        <v>45634</v>
      </c>
      <c r="J489" s="2">
        <v>45674</v>
      </c>
      <c r="K489" t="s">
        <v>21</v>
      </c>
    </row>
    <row r="490" spans="1:11" x14ac:dyDescent="0.25">
      <c r="A490" t="s">
        <v>91</v>
      </c>
      <c r="B490" t="s">
        <v>16</v>
      </c>
      <c r="C490">
        <v>21</v>
      </c>
      <c r="D490">
        <v>94</v>
      </c>
      <c r="E490" t="s">
        <v>19</v>
      </c>
      <c r="F490" t="s">
        <v>174</v>
      </c>
      <c r="G490">
        <v>246.48</v>
      </c>
      <c r="H490" t="s">
        <v>26</v>
      </c>
      <c r="I490" s="2">
        <v>45386</v>
      </c>
      <c r="J490" s="2">
        <v>45446</v>
      </c>
    </row>
    <row r="491" spans="1:11" x14ac:dyDescent="0.25">
      <c r="A491" t="s">
        <v>119</v>
      </c>
      <c r="B491" t="s">
        <v>16</v>
      </c>
      <c r="C491">
        <v>26</v>
      </c>
      <c r="D491">
        <v>76</v>
      </c>
      <c r="E491" t="s">
        <v>19</v>
      </c>
      <c r="F491" t="s">
        <v>174</v>
      </c>
      <c r="G491">
        <v>45.72</v>
      </c>
      <c r="H491" t="s">
        <v>20</v>
      </c>
      <c r="I491" s="2">
        <v>45564</v>
      </c>
      <c r="J491" s="2">
        <v>45646</v>
      </c>
      <c r="K491" t="s">
        <v>21</v>
      </c>
    </row>
    <row r="492" spans="1:11" x14ac:dyDescent="0.25">
      <c r="A492" t="s">
        <v>125</v>
      </c>
      <c r="B492" t="s">
        <v>30</v>
      </c>
      <c r="C492">
        <v>20</v>
      </c>
      <c r="D492">
        <v>39</v>
      </c>
      <c r="E492" t="s">
        <v>19</v>
      </c>
      <c r="F492" t="s">
        <v>170</v>
      </c>
      <c r="G492">
        <v>231.92</v>
      </c>
      <c r="H492" t="s">
        <v>26</v>
      </c>
      <c r="I492" s="2">
        <v>45329</v>
      </c>
      <c r="J492" s="2">
        <v>45398</v>
      </c>
      <c r="K492" t="s">
        <v>172</v>
      </c>
    </row>
    <row r="493" spans="1:11" x14ac:dyDescent="0.25">
      <c r="A493" t="s">
        <v>101</v>
      </c>
      <c r="B493" t="s">
        <v>16</v>
      </c>
      <c r="C493">
        <v>46</v>
      </c>
      <c r="D493">
        <v>66</v>
      </c>
      <c r="E493" t="s">
        <v>19</v>
      </c>
      <c r="F493" t="s">
        <v>170</v>
      </c>
      <c r="G493">
        <v>363.88</v>
      </c>
      <c r="H493" t="s">
        <v>26</v>
      </c>
      <c r="I493" s="2">
        <v>45551</v>
      </c>
      <c r="J493" s="2">
        <v>45574</v>
      </c>
      <c r="K493" t="s">
        <v>21</v>
      </c>
    </row>
    <row r="494" spans="1:11" x14ac:dyDescent="0.25">
      <c r="A494" t="s">
        <v>155</v>
      </c>
      <c r="B494" t="s">
        <v>16</v>
      </c>
      <c r="C494">
        <v>5</v>
      </c>
      <c r="D494">
        <v>97</v>
      </c>
      <c r="E494" t="s">
        <v>19</v>
      </c>
      <c r="F494" t="s">
        <v>170</v>
      </c>
      <c r="G494">
        <v>431.79</v>
      </c>
      <c r="H494" t="s">
        <v>20</v>
      </c>
      <c r="I494" s="2">
        <v>45643</v>
      </c>
      <c r="J494" s="2">
        <v>45701</v>
      </c>
      <c r="K494" t="s">
        <v>17</v>
      </c>
    </row>
    <row r="495" spans="1:11" x14ac:dyDescent="0.25">
      <c r="A495" t="s">
        <v>128</v>
      </c>
      <c r="B495" t="s">
        <v>28</v>
      </c>
      <c r="C495">
        <v>0</v>
      </c>
      <c r="D495">
        <v>80</v>
      </c>
      <c r="E495" t="s">
        <v>19</v>
      </c>
      <c r="F495" t="s">
        <v>170</v>
      </c>
      <c r="G495">
        <v>445.31</v>
      </c>
      <c r="H495" t="s">
        <v>14</v>
      </c>
      <c r="I495" s="2">
        <v>45538</v>
      </c>
      <c r="J495" s="2">
        <v>45621</v>
      </c>
      <c r="K495" t="s">
        <v>172</v>
      </c>
    </row>
    <row r="496" spans="1:11" x14ac:dyDescent="0.25">
      <c r="A496" t="s">
        <v>98</v>
      </c>
      <c r="B496" t="s">
        <v>12</v>
      </c>
      <c r="C496">
        <v>14</v>
      </c>
      <c r="D496">
        <v>96</v>
      </c>
      <c r="E496" t="s">
        <v>19</v>
      </c>
      <c r="F496" t="s">
        <v>174</v>
      </c>
      <c r="G496">
        <v>372.11</v>
      </c>
      <c r="H496" t="s">
        <v>20</v>
      </c>
      <c r="I496" s="2">
        <v>45647</v>
      </c>
      <c r="J496" s="2">
        <v>45717</v>
      </c>
      <c r="K496" t="s">
        <v>17</v>
      </c>
    </row>
    <row r="497" spans="1:11" x14ac:dyDescent="0.25">
      <c r="A497" t="s">
        <v>66</v>
      </c>
      <c r="B497" t="s">
        <v>28</v>
      </c>
      <c r="C497">
        <v>24</v>
      </c>
      <c r="D497">
        <v>54</v>
      </c>
      <c r="E497" t="s">
        <v>19</v>
      </c>
      <c r="F497" t="s">
        <v>170</v>
      </c>
      <c r="G497">
        <v>430.6</v>
      </c>
      <c r="H497" t="s">
        <v>14</v>
      </c>
      <c r="I497" s="2">
        <v>45389</v>
      </c>
      <c r="J497" s="2">
        <v>45473</v>
      </c>
      <c r="K497" t="s">
        <v>21</v>
      </c>
    </row>
    <row r="498" spans="1:11" x14ac:dyDescent="0.25">
      <c r="A498" t="s">
        <v>150</v>
      </c>
      <c r="B498" t="s">
        <v>28</v>
      </c>
      <c r="C498">
        <v>23</v>
      </c>
      <c r="D498">
        <v>65</v>
      </c>
      <c r="E498" t="s">
        <v>19</v>
      </c>
      <c r="F498" t="s">
        <v>173</v>
      </c>
      <c r="G498">
        <v>206.37</v>
      </c>
      <c r="H498" t="s">
        <v>20</v>
      </c>
      <c r="I498" s="2">
        <v>45298</v>
      </c>
      <c r="J498" s="2">
        <v>45367</v>
      </c>
      <c r="K498" t="s">
        <v>17</v>
      </c>
    </row>
    <row r="499" spans="1:11" x14ac:dyDescent="0.25">
      <c r="A499" t="s">
        <v>154</v>
      </c>
      <c r="B499" t="s">
        <v>12</v>
      </c>
      <c r="C499">
        <v>11</v>
      </c>
      <c r="D499">
        <v>45</v>
      </c>
      <c r="E499" t="s">
        <v>19</v>
      </c>
      <c r="F499" t="s">
        <v>173</v>
      </c>
      <c r="G499">
        <v>167.48</v>
      </c>
      <c r="H499" t="s">
        <v>26</v>
      </c>
      <c r="I499" s="2">
        <v>45653</v>
      </c>
      <c r="J499" s="2">
        <v>45734</v>
      </c>
    </row>
    <row r="500" spans="1:11" x14ac:dyDescent="0.25">
      <c r="A500" t="s">
        <v>161</v>
      </c>
      <c r="B500" t="s">
        <v>28</v>
      </c>
      <c r="C500">
        <v>17</v>
      </c>
      <c r="D500">
        <v>88</v>
      </c>
      <c r="E500" t="s">
        <v>19</v>
      </c>
      <c r="F500" t="s">
        <v>174</v>
      </c>
      <c r="G500">
        <v>229.73</v>
      </c>
      <c r="H500" t="s">
        <v>20</v>
      </c>
      <c r="I500" s="2">
        <v>45303</v>
      </c>
      <c r="J500" s="2">
        <v>45330</v>
      </c>
      <c r="K500" t="s">
        <v>172</v>
      </c>
    </row>
    <row r="501" spans="1:11" x14ac:dyDescent="0.25">
      <c r="A501" t="s">
        <v>144</v>
      </c>
      <c r="B501" t="s">
        <v>28</v>
      </c>
      <c r="C501">
        <v>14</v>
      </c>
      <c r="D501">
        <v>83</v>
      </c>
      <c r="E501" t="s">
        <v>19</v>
      </c>
      <c r="F501" t="s">
        <v>170</v>
      </c>
      <c r="G501">
        <v>382.41</v>
      </c>
      <c r="H501" t="s">
        <v>14</v>
      </c>
      <c r="I501" s="2">
        <v>45551</v>
      </c>
      <c r="J501" s="2">
        <v>45568</v>
      </c>
      <c r="K501" t="s">
        <v>21</v>
      </c>
    </row>
    <row r="502" spans="1:11" x14ac:dyDescent="0.25">
      <c r="A502" t="s">
        <v>106</v>
      </c>
      <c r="B502" t="s">
        <v>28</v>
      </c>
      <c r="C502">
        <v>26</v>
      </c>
      <c r="D502">
        <v>56</v>
      </c>
      <c r="E502" t="s">
        <v>19</v>
      </c>
      <c r="F502" t="s">
        <v>174</v>
      </c>
      <c r="G502">
        <v>67.37</v>
      </c>
      <c r="H502" t="s">
        <v>26</v>
      </c>
      <c r="I502" s="2">
        <v>45572</v>
      </c>
      <c r="J502" s="2">
        <v>45612</v>
      </c>
      <c r="K502" t="s">
        <v>21</v>
      </c>
    </row>
    <row r="503" spans="1:11" x14ac:dyDescent="0.25">
      <c r="A503" t="s">
        <v>136</v>
      </c>
      <c r="B503" t="s">
        <v>28</v>
      </c>
      <c r="C503">
        <v>52</v>
      </c>
      <c r="D503">
        <v>89</v>
      </c>
      <c r="E503" t="s">
        <v>19</v>
      </c>
      <c r="F503" t="s">
        <v>174</v>
      </c>
      <c r="G503">
        <v>247.36</v>
      </c>
      <c r="H503" t="s">
        <v>20</v>
      </c>
      <c r="I503" s="2">
        <v>45638</v>
      </c>
      <c r="J503" s="2">
        <v>45712</v>
      </c>
      <c r="K503" t="s">
        <v>17</v>
      </c>
    </row>
    <row r="504" spans="1:11" x14ac:dyDescent="0.25">
      <c r="A504" t="s">
        <v>73</v>
      </c>
      <c r="B504" t="s">
        <v>30</v>
      </c>
      <c r="C504">
        <v>7</v>
      </c>
      <c r="D504">
        <v>23</v>
      </c>
      <c r="E504" t="s">
        <v>19</v>
      </c>
      <c r="F504" t="s">
        <v>170</v>
      </c>
      <c r="G504">
        <v>324.14999999999998</v>
      </c>
      <c r="H504" t="s">
        <v>14</v>
      </c>
      <c r="I504" s="2">
        <v>45527</v>
      </c>
      <c r="J504" s="2">
        <v>45599</v>
      </c>
      <c r="K504" t="s">
        <v>21</v>
      </c>
    </row>
    <row r="505" spans="1:11" x14ac:dyDescent="0.25">
      <c r="A505" t="s">
        <v>98</v>
      </c>
      <c r="B505" t="s">
        <v>12</v>
      </c>
      <c r="C505">
        <v>26</v>
      </c>
      <c r="D505">
        <v>54</v>
      </c>
      <c r="E505" t="s">
        <v>19</v>
      </c>
      <c r="F505" t="s">
        <v>173</v>
      </c>
      <c r="G505">
        <v>278.57</v>
      </c>
      <c r="H505" t="s">
        <v>14</v>
      </c>
      <c r="I505" s="2">
        <v>45576</v>
      </c>
      <c r="J505" s="2">
        <v>45632</v>
      </c>
    </row>
    <row r="506" spans="1:11" x14ac:dyDescent="0.25">
      <c r="A506" t="s">
        <v>72</v>
      </c>
      <c r="B506" t="s">
        <v>16</v>
      </c>
      <c r="C506">
        <v>23</v>
      </c>
      <c r="D506">
        <v>79</v>
      </c>
      <c r="E506" t="s">
        <v>19</v>
      </c>
      <c r="F506" t="s">
        <v>174</v>
      </c>
      <c r="G506">
        <v>413.73</v>
      </c>
      <c r="H506" t="s">
        <v>20</v>
      </c>
      <c r="I506" s="2">
        <v>45655</v>
      </c>
      <c r="J506" s="2">
        <v>45728</v>
      </c>
      <c r="K506" t="s">
        <v>21</v>
      </c>
    </row>
    <row r="507" spans="1:11" x14ac:dyDescent="0.25">
      <c r="A507" t="s">
        <v>18</v>
      </c>
      <c r="B507" t="s">
        <v>16</v>
      </c>
      <c r="C507">
        <v>59</v>
      </c>
      <c r="D507">
        <v>76</v>
      </c>
      <c r="E507" t="s">
        <v>19</v>
      </c>
      <c r="F507" t="s">
        <v>170</v>
      </c>
      <c r="G507">
        <v>146.43</v>
      </c>
      <c r="H507" t="s">
        <v>20</v>
      </c>
      <c r="I507" s="2">
        <v>45649</v>
      </c>
      <c r="J507" s="2">
        <v>45693</v>
      </c>
      <c r="K507" t="s">
        <v>172</v>
      </c>
    </row>
    <row r="508" spans="1:11" x14ac:dyDescent="0.25">
      <c r="A508" t="s">
        <v>137</v>
      </c>
      <c r="B508" t="s">
        <v>23</v>
      </c>
      <c r="C508">
        <v>45</v>
      </c>
      <c r="D508">
        <v>49</v>
      </c>
      <c r="E508" t="s">
        <v>19</v>
      </c>
      <c r="F508" t="s">
        <v>173</v>
      </c>
      <c r="G508">
        <v>75.790000000000006</v>
      </c>
      <c r="H508" t="s">
        <v>26</v>
      </c>
      <c r="I508" s="2">
        <v>45348</v>
      </c>
      <c r="J508" s="2">
        <v>45382</v>
      </c>
      <c r="K508" t="s">
        <v>21</v>
      </c>
    </row>
    <row r="509" spans="1:11" x14ac:dyDescent="0.25">
      <c r="A509" t="s">
        <v>43</v>
      </c>
      <c r="B509" t="s">
        <v>30</v>
      </c>
      <c r="C509">
        <v>14</v>
      </c>
      <c r="D509">
        <v>43</v>
      </c>
      <c r="E509" t="s">
        <v>19</v>
      </c>
      <c r="F509" t="s">
        <v>170</v>
      </c>
      <c r="G509">
        <v>190.4</v>
      </c>
      <c r="H509" t="s">
        <v>14</v>
      </c>
      <c r="I509" s="2">
        <v>45429</v>
      </c>
      <c r="J509" s="2">
        <v>45468</v>
      </c>
    </row>
    <row r="510" spans="1:11" x14ac:dyDescent="0.25">
      <c r="A510" t="s">
        <v>97</v>
      </c>
      <c r="B510" t="s">
        <v>12</v>
      </c>
      <c r="C510">
        <v>16</v>
      </c>
      <c r="D510">
        <v>54</v>
      </c>
      <c r="E510" t="s">
        <v>19</v>
      </c>
      <c r="F510" t="s">
        <v>173</v>
      </c>
      <c r="G510">
        <v>48.07</v>
      </c>
      <c r="H510" t="s">
        <v>14</v>
      </c>
      <c r="I510" s="2">
        <v>45545</v>
      </c>
      <c r="J510" s="2">
        <v>45634</v>
      </c>
      <c r="K510" t="s">
        <v>17</v>
      </c>
    </row>
    <row r="511" spans="1:11" x14ac:dyDescent="0.25">
      <c r="A511" t="s">
        <v>43</v>
      </c>
      <c r="B511" t="s">
        <v>28</v>
      </c>
      <c r="C511">
        <v>8</v>
      </c>
      <c r="D511">
        <v>29</v>
      </c>
      <c r="E511" t="s">
        <v>19</v>
      </c>
      <c r="F511" t="s">
        <v>170</v>
      </c>
      <c r="G511">
        <v>398.98</v>
      </c>
      <c r="H511" t="s">
        <v>20</v>
      </c>
      <c r="I511" s="2">
        <v>45295</v>
      </c>
      <c r="J511" s="2">
        <v>45349</v>
      </c>
      <c r="K511" t="s">
        <v>17</v>
      </c>
    </row>
    <row r="512" spans="1:11" x14ac:dyDescent="0.25">
      <c r="A512" t="s">
        <v>95</v>
      </c>
      <c r="B512" t="s">
        <v>12</v>
      </c>
      <c r="C512">
        <v>62</v>
      </c>
      <c r="D512">
        <v>96</v>
      </c>
      <c r="E512" t="s">
        <v>19</v>
      </c>
      <c r="F512" t="s">
        <v>170</v>
      </c>
      <c r="G512">
        <v>113.01</v>
      </c>
      <c r="H512" t="s">
        <v>20</v>
      </c>
      <c r="I512" s="2">
        <v>45415</v>
      </c>
      <c r="J512" s="2">
        <v>45479</v>
      </c>
      <c r="K512" t="s">
        <v>17</v>
      </c>
    </row>
    <row r="513" spans="1:11" x14ac:dyDescent="0.25">
      <c r="A513" t="s">
        <v>89</v>
      </c>
      <c r="B513" t="s">
        <v>16</v>
      </c>
      <c r="C513">
        <v>87</v>
      </c>
      <c r="D513">
        <v>92</v>
      </c>
      <c r="E513" t="s">
        <v>19</v>
      </c>
      <c r="F513" t="s">
        <v>173</v>
      </c>
      <c r="G513">
        <v>135.31</v>
      </c>
      <c r="H513" t="s">
        <v>14</v>
      </c>
      <c r="I513" s="2">
        <v>45421</v>
      </c>
      <c r="J513" s="2">
        <v>45474</v>
      </c>
      <c r="K513" t="s">
        <v>172</v>
      </c>
    </row>
    <row r="514" spans="1:11" x14ac:dyDescent="0.25">
      <c r="A514" t="s">
        <v>117</v>
      </c>
      <c r="B514" t="s">
        <v>12</v>
      </c>
      <c r="C514">
        <v>63</v>
      </c>
      <c r="D514">
        <v>76</v>
      </c>
      <c r="E514" t="s">
        <v>19</v>
      </c>
      <c r="F514" t="s">
        <v>170</v>
      </c>
      <c r="G514">
        <v>397.33</v>
      </c>
      <c r="H514" t="s">
        <v>26</v>
      </c>
      <c r="I514" s="2">
        <v>45637</v>
      </c>
      <c r="J514" s="2">
        <v>45684</v>
      </c>
      <c r="K514" t="s">
        <v>172</v>
      </c>
    </row>
    <row r="515" spans="1:11" x14ac:dyDescent="0.25">
      <c r="A515" t="s">
        <v>84</v>
      </c>
      <c r="B515" t="s">
        <v>16</v>
      </c>
      <c r="C515">
        <v>20</v>
      </c>
      <c r="D515">
        <v>87</v>
      </c>
      <c r="E515" t="s">
        <v>19</v>
      </c>
      <c r="F515" t="s">
        <v>170</v>
      </c>
      <c r="G515">
        <v>376.38</v>
      </c>
      <c r="H515" t="s">
        <v>20</v>
      </c>
      <c r="I515" s="2">
        <v>45314</v>
      </c>
      <c r="J515" s="2">
        <v>45351</v>
      </c>
      <c r="K515" t="s">
        <v>172</v>
      </c>
    </row>
    <row r="516" spans="1:11" x14ac:dyDescent="0.25">
      <c r="A516" t="s">
        <v>113</v>
      </c>
      <c r="B516" t="s">
        <v>23</v>
      </c>
      <c r="C516">
        <v>17</v>
      </c>
      <c r="D516">
        <v>69</v>
      </c>
      <c r="E516" t="s">
        <v>19</v>
      </c>
      <c r="F516" t="s">
        <v>170</v>
      </c>
      <c r="G516">
        <v>80.260000000000005</v>
      </c>
      <c r="H516" t="s">
        <v>26</v>
      </c>
      <c r="I516" s="2">
        <v>45522</v>
      </c>
      <c r="J516" s="2">
        <v>45543</v>
      </c>
      <c r="K516" t="s">
        <v>21</v>
      </c>
    </row>
    <row r="517" spans="1:11" x14ac:dyDescent="0.25">
      <c r="A517" t="s">
        <v>54</v>
      </c>
      <c r="B517" t="s">
        <v>30</v>
      </c>
      <c r="C517">
        <v>31</v>
      </c>
      <c r="D517">
        <v>94</v>
      </c>
      <c r="E517" t="s">
        <v>19</v>
      </c>
      <c r="F517" t="s">
        <v>170</v>
      </c>
      <c r="G517">
        <v>24.83</v>
      </c>
      <c r="H517" t="s">
        <v>26</v>
      </c>
      <c r="I517" s="2">
        <v>45571</v>
      </c>
      <c r="J517" s="2">
        <v>45634</v>
      </c>
      <c r="K517" t="s">
        <v>172</v>
      </c>
    </row>
    <row r="518" spans="1:11" x14ac:dyDescent="0.25">
      <c r="A518" t="s">
        <v>103</v>
      </c>
      <c r="B518" t="s">
        <v>28</v>
      </c>
      <c r="C518">
        <v>10</v>
      </c>
      <c r="D518">
        <v>39</v>
      </c>
      <c r="E518" t="s">
        <v>19</v>
      </c>
      <c r="F518" t="s">
        <v>174</v>
      </c>
      <c r="G518">
        <v>149.27000000000001</v>
      </c>
      <c r="H518" t="s">
        <v>20</v>
      </c>
      <c r="I518" s="2">
        <v>45613</v>
      </c>
      <c r="J518" s="2">
        <v>45653</v>
      </c>
      <c r="K518" t="s">
        <v>21</v>
      </c>
    </row>
    <row r="519" spans="1:11" x14ac:dyDescent="0.25">
      <c r="A519" t="s">
        <v>159</v>
      </c>
      <c r="B519" t="s">
        <v>23</v>
      </c>
      <c r="C519">
        <v>32</v>
      </c>
      <c r="D519">
        <v>67</v>
      </c>
      <c r="E519" t="s">
        <v>19</v>
      </c>
      <c r="F519" t="s">
        <v>170</v>
      </c>
      <c r="G519">
        <v>122.88</v>
      </c>
      <c r="H519" t="s">
        <v>26</v>
      </c>
      <c r="I519" s="2">
        <v>45512</v>
      </c>
      <c r="J519" s="2">
        <v>45548</v>
      </c>
      <c r="K519" t="s">
        <v>172</v>
      </c>
    </row>
    <row r="520" spans="1:11" x14ac:dyDescent="0.25">
      <c r="A520" t="s">
        <v>27</v>
      </c>
      <c r="B520" t="s">
        <v>30</v>
      </c>
      <c r="C520">
        <v>10</v>
      </c>
      <c r="D520">
        <v>45</v>
      </c>
      <c r="E520" t="s">
        <v>19</v>
      </c>
      <c r="F520" t="s">
        <v>174</v>
      </c>
      <c r="G520">
        <v>381.48</v>
      </c>
      <c r="H520" t="s">
        <v>26</v>
      </c>
      <c r="I520" s="2">
        <v>45606</v>
      </c>
      <c r="J520" s="2">
        <v>45643</v>
      </c>
      <c r="K520" t="s">
        <v>17</v>
      </c>
    </row>
    <row r="521" spans="1:11" x14ac:dyDescent="0.25">
      <c r="A521" t="s">
        <v>145</v>
      </c>
      <c r="B521" t="s">
        <v>28</v>
      </c>
      <c r="C521">
        <v>40</v>
      </c>
      <c r="D521">
        <v>56</v>
      </c>
      <c r="E521" t="s">
        <v>19</v>
      </c>
      <c r="F521" t="s">
        <v>170</v>
      </c>
      <c r="G521">
        <v>217.84</v>
      </c>
      <c r="H521" t="s">
        <v>20</v>
      </c>
      <c r="I521" s="2">
        <v>45457</v>
      </c>
      <c r="J521" s="2">
        <v>45497</v>
      </c>
      <c r="K521" t="s">
        <v>17</v>
      </c>
    </row>
    <row r="522" spans="1:11" x14ac:dyDescent="0.25">
      <c r="A522" t="s">
        <v>141</v>
      </c>
      <c r="B522" t="s">
        <v>12</v>
      </c>
      <c r="C522">
        <v>1</v>
      </c>
      <c r="D522">
        <v>52</v>
      </c>
      <c r="E522" t="s">
        <v>19</v>
      </c>
      <c r="F522" t="s">
        <v>173</v>
      </c>
      <c r="G522">
        <v>29.87</v>
      </c>
      <c r="H522" t="s">
        <v>14</v>
      </c>
      <c r="I522" s="2">
        <v>45583</v>
      </c>
      <c r="J522" s="2">
        <v>45638</v>
      </c>
      <c r="K522" t="s">
        <v>172</v>
      </c>
    </row>
    <row r="523" spans="1:11" x14ac:dyDescent="0.25">
      <c r="A523" t="s">
        <v>143</v>
      </c>
      <c r="B523" t="s">
        <v>12</v>
      </c>
      <c r="C523">
        <v>32</v>
      </c>
      <c r="D523">
        <v>43</v>
      </c>
      <c r="E523" t="s">
        <v>19</v>
      </c>
      <c r="F523" t="s">
        <v>170</v>
      </c>
      <c r="G523">
        <v>22.28</v>
      </c>
      <c r="H523" t="s">
        <v>20</v>
      </c>
      <c r="I523" s="2">
        <v>45547</v>
      </c>
      <c r="J523" s="2">
        <v>45633</v>
      </c>
      <c r="K523" t="s">
        <v>172</v>
      </c>
    </row>
    <row r="524" spans="1:11" x14ac:dyDescent="0.25">
      <c r="A524" t="s">
        <v>27</v>
      </c>
      <c r="B524" t="s">
        <v>16</v>
      </c>
      <c r="C524">
        <v>48</v>
      </c>
      <c r="D524">
        <v>85</v>
      </c>
      <c r="E524" t="s">
        <v>19</v>
      </c>
      <c r="F524" t="s">
        <v>174</v>
      </c>
      <c r="G524">
        <v>67.12</v>
      </c>
      <c r="H524" t="s">
        <v>26</v>
      </c>
      <c r="I524" s="2">
        <v>45399</v>
      </c>
      <c r="J524" s="2">
        <v>45463</v>
      </c>
      <c r="K524" t="s">
        <v>172</v>
      </c>
    </row>
    <row r="525" spans="1:11" x14ac:dyDescent="0.25">
      <c r="A525" t="s">
        <v>74</v>
      </c>
      <c r="B525" t="s">
        <v>30</v>
      </c>
      <c r="C525">
        <v>8</v>
      </c>
      <c r="D525">
        <v>59</v>
      </c>
      <c r="E525" t="s">
        <v>19</v>
      </c>
      <c r="F525" t="s">
        <v>170</v>
      </c>
      <c r="G525">
        <v>196.72</v>
      </c>
      <c r="H525" t="s">
        <v>14</v>
      </c>
      <c r="I525" s="2">
        <v>45366</v>
      </c>
      <c r="J525" s="2">
        <v>45382</v>
      </c>
    </row>
    <row r="526" spans="1:11" x14ac:dyDescent="0.25">
      <c r="A526" t="s">
        <v>154</v>
      </c>
      <c r="B526" t="s">
        <v>16</v>
      </c>
      <c r="C526">
        <v>5</v>
      </c>
      <c r="D526">
        <v>57</v>
      </c>
      <c r="E526" t="s">
        <v>19</v>
      </c>
      <c r="F526" t="s">
        <v>173</v>
      </c>
      <c r="G526">
        <v>37.75</v>
      </c>
      <c r="H526" t="s">
        <v>20</v>
      </c>
      <c r="I526" s="2">
        <v>45411</v>
      </c>
      <c r="J526" s="2">
        <v>45450</v>
      </c>
      <c r="K526" t="s">
        <v>172</v>
      </c>
    </row>
    <row r="527" spans="1:11" x14ac:dyDescent="0.25">
      <c r="A527" t="s">
        <v>131</v>
      </c>
      <c r="B527" t="s">
        <v>30</v>
      </c>
      <c r="C527">
        <v>72</v>
      </c>
      <c r="D527">
        <v>79</v>
      </c>
      <c r="E527" t="s">
        <v>19</v>
      </c>
      <c r="F527" t="s">
        <v>174</v>
      </c>
      <c r="G527">
        <v>14.48</v>
      </c>
      <c r="H527" t="s">
        <v>26</v>
      </c>
      <c r="I527" s="2">
        <v>45547</v>
      </c>
      <c r="J527" s="2">
        <v>45574</v>
      </c>
    </row>
    <row r="528" spans="1:11" x14ac:dyDescent="0.25">
      <c r="A528" t="s">
        <v>80</v>
      </c>
      <c r="B528" t="s">
        <v>28</v>
      </c>
      <c r="C528">
        <v>40</v>
      </c>
      <c r="D528">
        <v>83</v>
      </c>
      <c r="E528" t="s">
        <v>19</v>
      </c>
      <c r="F528" t="s">
        <v>174</v>
      </c>
      <c r="G528">
        <v>388.75</v>
      </c>
      <c r="H528" t="s">
        <v>14</v>
      </c>
      <c r="I528" s="2">
        <v>45585</v>
      </c>
      <c r="J528" s="2">
        <v>45633</v>
      </c>
      <c r="K528" t="s">
        <v>21</v>
      </c>
    </row>
    <row r="529" spans="1:11" x14ac:dyDescent="0.25">
      <c r="A529" t="s">
        <v>117</v>
      </c>
      <c r="B529" t="s">
        <v>16</v>
      </c>
      <c r="C529">
        <v>7</v>
      </c>
      <c r="D529">
        <v>68</v>
      </c>
      <c r="E529" t="s">
        <v>19</v>
      </c>
      <c r="F529" t="s">
        <v>174</v>
      </c>
      <c r="G529">
        <v>175.82</v>
      </c>
      <c r="H529" t="s">
        <v>26</v>
      </c>
      <c r="I529" s="2">
        <v>45485</v>
      </c>
      <c r="J529" s="2">
        <v>45502</v>
      </c>
    </row>
    <row r="530" spans="1:11" x14ac:dyDescent="0.25">
      <c r="A530" t="s">
        <v>97</v>
      </c>
      <c r="B530" t="s">
        <v>23</v>
      </c>
      <c r="C530">
        <v>71</v>
      </c>
      <c r="D530">
        <v>83</v>
      </c>
      <c r="E530" t="s">
        <v>19</v>
      </c>
      <c r="F530" t="s">
        <v>173</v>
      </c>
      <c r="G530">
        <v>19.899999999999999</v>
      </c>
      <c r="H530" t="s">
        <v>14</v>
      </c>
      <c r="I530" s="2">
        <v>45348</v>
      </c>
      <c r="J530" s="2">
        <v>45421</v>
      </c>
    </row>
    <row r="531" spans="1:11" x14ac:dyDescent="0.25">
      <c r="A531" t="s">
        <v>78</v>
      </c>
      <c r="B531" t="s">
        <v>16</v>
      </c>
      <c r="C531">
        <v>6</v>
      </c>
      <c r="D531">
        <v>98</v>
      </c>
      <c r="E531" t="s">
        <v>19</v>
      </c>
      <c r="F531" t="s">
        <v>174</v>
      </c>
      <c r="G531">
        <v>424.81</v>
      </c>
      <c r="H531" t="s">
        <v>26</v>
      </c>
      <c r="I531" s="2">
        <v>45496</v>
      </c>
      <c r="J531" s="2">
        <v>45577</v>
      </c>
      <c r="K531" t="s">
        <v>17</v>
      </c>
    </row>
    <row r="532" spans="1:11" x14ac:dyDescent="0.25">
      <c r="A532" t="s">
        <v>110</v>
      </c>
      <c r="B532" t="s">
        <v>12</v>
      </c>
      <c r="C532">
        <v>57</v>
      </c>
      <c r="D532">
        <v>77</v>
      </c>
      <c r="E532" t="s">
        <v>19</v>
      </c>
      <c r="F532" t="s">
        <v>174</v>
      </c>
      <c r="G532">
        <v>142.35</v>
      </c>
      <c r="H532" t="s">
        <v>20</v>
      </c>
      <c r="I532" s="2">
        <v>45333</v>
      </c>
      <c r="J532" s="2">
        <v>45348</v>
      </c>
    </row>
    <row r="533" spans="1:11" x14ac:dyDescent="0.25">
      <c r="A533" t="s">
        <v>39</v>
      </c>
      <c r="B533" t="s">
        <v>12</v>
      </c>
      <c r="C533">
        <v>21</v>
      </c>
      <c r="D533">
        <v>47</v>
      </c>
      <c r="E533" t="s">
        <v>19</v>
      </c>
      <c r="F533" t="s">
        <v>174</v>
      </c>
      <c r="G533">
        <v>144.4</v>
      </c>
      <c r="H533" t="s">
        <v>20</v>
      </c>
      <c r="I533" s="2">
        <v>45615</v>
      </c>
      <c r="J533" s="2">
        <v>45692</v>
      </c>
      <c r="K533" t="s">
        <v>21</v>
      </c>
    </row>
    <row r="534" spans="1:11" x14ac:dyDescent="0.25">
      <c r="A534" t="s">
        <v>74</v>
      </c>
      <c r="B534" t="s">
        <v>28</v>
      </c>
      <c r="C534">
        <v>2</v>
      </c>
      <c r="D534">
        <v>85</v>
      </c>
      <c r="E534" t="s">
        <v>19</v>
      </c>
      <c r="F534" t="s">
        <v>173</v>
      </c>
      <c r="G534">
        <v>359.44</v>
      </c>
      <c r="H534" t="s">
        <v>14</v>
      </c>
      <c r="I534" s="2">
        <v>45307</v>
      </c>
      <c r="J534" s="2">
        <v>45362</v>
      </c>
      <c r="K534" t="s">
        <v>17</v>
      </c>
    </row>
    <row r="535" spans="1:11" x14ac:dyDescent="0.25">
      <c r="A535" t="s">
        <v>150</v>
      </c>
      <c r="B535" t="s">
        <v>30</v>
      </c>
      <c r="C535">
        <v>13</v>
      </c>
      <c r="D535">
        <v>61</v>
      </c>
      <c r="E535" t="s">
        <v>19</v>
      </c>
      <c r="F535" t="s">
        <v>170</v>
      </c>
      <c r="G535">
        <v>173.29</v>
      </c>
      <c r="H535" t="s">
        <v>14</v>
      </c>
      <c r="I535" s="2">
        <v>45449</v>
      </c>
      <c r="J535" s="2">
        <v>45487</v>
      </c>
      <c r="K535" t="s">
        <v>172</v>
      </c>
    </row>
    <row r="536" spans="1:11" x14ac:dyDescent="0.25">
      <c r="A536" t="s">
        <v>89</v>
      </c>
      <c r="B536" t="s">
        <v>28</v>
      </c>
      <c r="C536">
        <v>11</v>
      </c>
      <c r="D536">
        <v>25</v>
      </c>
      <c r="E536" t="s">
        <v>19</v>
      </c>
      <c r="F536" t="s">
        <v>170</v>
      </c>
      <c r="G536">
        <v>44.08</v>
      </c>
      <c r="H536" t="s">
        <v>26</v>
      </c>
      <c r="I536" s="2">
        <v>45336</v>
      </c>
      <c r="J536" s="2">
        <v>45372</v>
      </c>
      <c r="K536" t="s">
        <v>17</v>
      </c>
    </row>
    <row r="537" spans="1:11" x14ac:dyDescent="0.25">
      <c r="A537" t="s">
        <v>129</v>
      </c>
      <c r="B537" t="s">
        <v>16</v>
      </c>
      <c r="C537">
        <v>11</v>
      </c>
      <c r="D537">
        <v>71</v>
      </c>
      <c r="E537" t="s">
        <v>19</v>
      </c>
      <c r="F537" t="s">
        <v>170</v>
      </c>
      <c r="G537">
        <v>134.22</v>
      </c>
      <c r="H537" t="s">
        <v>14</v>
      </c>
      <c r="I537" s="2">
        <v>45377</v>
      </c>
      <c r="J537" s="2">
        <v>45449</v>
      </c>
      <c r="K537" t="s">
        <v>172</v>
      </c>
    </row>
    <row r="538" spans="1:11" x14ac:dyDescent="0.25">
      <c r="A538" t="s">
        <v>85</v>
      </c>
      <c r="B538" t="s">
        <v>30</v>
      </c>
      <c r="C538">
        <v>24</v>
      </c>
      <c r="D538">
        <v>69</v>
      </c>
      <c r="E538" t="s">
        <v>19</v>
      </c>
      <c r="F538" t="s">
        <v>173</v>
      </c>
      <c r="G538">
        <v>418.11</v>
      </c>
      <c r="H538" t="s">
        <v>14</v>
      </c>
      <c r="I538" s="2">
        <v>45348</v>
      </c>
      <c r="J538" s="2">
        <v>45391</v>
      </c>
      <c r="K538" t="s">
        <v>172</v>
      </c>
    </row>
    <row r="539" spans="1:11" x14ac:dyDescent="0.25">
      <c r="A539" t="s">
        <v>129</v>
      </c>
      <c r="B539" t="s">
        <v>16</v>
      </c>
      <c r="C539">
        <v>44</v>
      </c>
      <c r="D539">
        <v>62</v>
      </c>
      <c r="E539" t="s">
        <v>19</v>
      </c>
      <c r="F539" t="s">
        <v>170</v>
      </c>
      <c r="G539">
        <v>468.06</v>
      </c>
      <c r="H539" t="s">
        <v>14</v>
      </c>
      <c r="I539" s="2">
        <v>45639</v>
      </c>
      <c r="J539" s="2">
        <v>45688</v>
      </c>
    </row>
    <row r="540" spans="1:11" x14ac:dyDescent="0.25">
      <c r="A540" t="s">
        <v>143</v>
      </c>
      <c r="B540" t="s">
        <v>30</v>
      </c>
      <c r="C540">
        <v>54</v>
      </c>
      <c r="D540">
        <v>70</v>
      </c>
      <c r="E540" t="s">
        <v>19</v>
      </c>
      <c r="F540" t="s">
        <v>173</v>
      </c>
      <c r="G540">
        <v>464.67</v>
      </c>
      <c r="H540" t="s">
        <v>20</v>
      </c>
      <c r="I540" s="2">
        <v>45652</v>
      </c>
      <c r="J540" s="2">
        <v>45708</v>
      </c>
      <c r="K540" t="s">
        <v>17</v>
      </c>
    </row>
    <row r="541" spans="1:11" x14ac:dyDescent="0.25">
      <c r="A541" t="s">
        <v>136</v>
      </c>
      <c r="B541" t="s">
        <v>30</v>
      </c>
      <c r="C541">
        <v>31</v>
      </c>
      <c r="D541">
        <v>55</v>
      </c>
      <c r="E541" t="s">
        <v>19</v>
      </c>
      <c r="F541" t="s">
        <v>170</v>
      </c>
      <c r="G541">
        <v>226.12</v>
      </c>
      <c r="H541" t="s">
        <v>26</v>
      </c>
      <c r="I541" s="2">
        <v>45553</v>
      </c>
      <c r="J541" s="2">
        <v>45569</v>
      </c>
      <c r="K541" t="s">
        <v>172</v>
      </c>
    </row>
    <row r="542" spans="1:11" x14ac:dyDescent="0.25">
      <c r="A542" t="s">
        <v>18</v>
      </c>
      <c r="B542" t="s">
        <v>28</v>
      </c>
      <c r="C542">
        <v>50</v>
      </c>
      <c r="D542">
        <v>91</v>
      </c>
      <c r="E542" t="s">
        <v>19</v>
      </c>
      <c r="F542" t="s">
        <v>173</v>
      </c>
      <c r="G542">
        <v>253.25</v>
      </c>
      <c r="H542" t="s">
        <v>20</v>
      </c>
      <c r="I542" s="2">
        <v>45471</v>
      </c>
      <c r="J542" s="2">
        <v>45509</v>
      </c>
      <c r="K542" t="s">
        <v>21</v>
      </c>
    </row>
    <row r="543" spans="1:11" x14ac:dyDescent="0.25">
      <c r="A543" t="s">
        <v>139</v>
      </c>
      <c r="B543" t="s">
        <v>16</v>
      </c>
      <c r="C543">
        <v>43</v>
      </c>
      <c r="D543">
        <v>74</v>
      </c>
      <c r="E543" t="s">
        <v>19</v>
      </c>
      <c r="F543" t="s">
        <v>170</v>
      </c>
      <c r="G543">
        <v>127.1</v>
      </c>
      <c r="H543" t="s">
        <v>26</v>
      </c>
      <c r="I543" s="2">
        <v>45407</v>
      </c>
      <c r="J543" s="2">
        <v>45487</v>
      </c>
      <c r="K543" t="s">
        <v>17</v>
      </c>
    </row>
    <row r="544" spans="1:11" x14ac:dyDescent="0.25">
      <c r="A544" t="s">
        <v>137</v>
      </c>
      <c r="B544" t="s">
        <v>12</v>
      </c>
      <c r="C544">
        <v>36</v>
      </c>
      <c r="D544">
        <v>61</v>
      </c>
      <c r="E544" t="s">
        <v>19</v>
      </c>
      <c r="F544" t="s">
        <v>173</v>
      </c>
      <c r="G544">
        <v>291.06</v>
      </c>
      <c r="H544" t="s">
        <v>20</v>
      </c>
      <c r="I544" s="2">
        <v>45575</v>
      </c>
      <c r="J544" s="2">
        <v>45656</v>
      </c>
      <c r="K544" t="s">
        <v>21</v>
      </c>
    </row>
    <row r="545" spans="1:11" x14ac:dyDescent="0.25">
      <c r="A545" t="s">
        <v>79</v>
      </c>
      <c r="B545" t="s">
        <v>30</v>
      </c>
      <c r="C545">
        <v>55</v>
      </c>
      <c r="D545">
        <v>89</v>
      </c>
      <c r="E545" t="s">
        <v>19</v>
      </c>
      <c r="F545" t="s">
        <v>174</v>
      </c>
      <c r="G545">
        <v>409.62</v>
      </c>
      <c r="H545" t="s">
        <v>14</v>
      </c>
      <c r="I545" s="2">
        <v>45399</v>
      </c>
      <c r="J545" s="2">
        <v>45461</v>
      </c>
      <c r="K545" t="s">
        <v>17</v>
      </c>
    </row>
    <row r="546" spans="1:11" x14ac:dyDescent="0.25">
      <c r="A546" t="s">
        <v>162</v>
      </c>
      <c r="B546" t="s">
        <v>23</v>
      </c>
      <c r="C546">
        <v>48</v>
      </c>
      <c r="D546">
        <v>67</v>
      </c>
      <c r="E546" t="s">
        <v>19</v>
      </c>
      <c r="F546" t="s">
        <v>174</v>
      </c>
      <c r="G546">
        <v>139.46</v>
      </c>
      <c r="H546" t="s">
        <v>14</v>
      </c>
      <c r="I546" s="2">
        <v>45327</v>
      </c>
      <c r="J546" s="2">
        <v>45369</v>
      </c>
      <c r="K546" t="s">
        <v>172</v>
      </c>
    </row>
    <row r="547" spans="1:11" x14ac:dyDescent="0.25">
      <c r="A547" t="s">
        <v>160</v>
      </c>
      <c r="B547" t="s">
        <v>28</v>
      </c>
      <c r="C547">
        <v>23</v>
      </c>
      <c r="D547">
        <v>28</v>
      </c>
      <c r="E547" t="s">
        <v>19</v>
      </c>
      <c r="F547" t="s">
        <v>174</v>
      </c>
      <c r="G547">
        <v>416.32</v>
      </c>
      <c r="H547" t="s">
        <v>14</v>
      </c>
      <c r="I547" s="2">
        <v>45479</v>
      </c>
      <c r="J547" s="2">
        <v>45559</v>
      </c>
    </row>
    <row r="548" spans="1:11" x14ac:dyDescent="0.25">
      <c r="A548" t="s">
        <v>118</v>
      </c>
      <c r="B548" t="s">
        <v>23</v>
      </c>
      <c r="C548">
        <v>3</v>
      </c>
      <c r="D548">
        <v>65</v>
      </c>
      <c r="E548" t="s">
        <v>19</v>
      </c>
      <c r="F548" t="s">
        <v>170</v>
      </c>
      <c r="G548">
        <v>268.07</v>
      </c>
      <c r="H548" t="s">
        <v>14</v>
      </c>
      <c r="I548" s="2">
        <v>45409</v>
      </c>
      <c r="J548" s="2">
        <v>45492</v>
      </c>
      <c r="K548" t="s">
        <v>17</v>
      </c>
    </row>
    <row r="549" spans="1:11" x14ac:dyDescent="0.25">
      <c r="A549" t="s">
        <v>122</v>
      </c>
      <c r="B549" t="s">
        <v>23</v>
      </c>
      <c r="C549">
        <v>19</v>
      </c>
      <c r="D549">
        <v>82</v>
      </c>
      <c r="E549" t="s">
        <v>19</v>
      </c>
      <c r="F549" t="s">
        <v>170</v>
      </c>
      <c r="G549">
        <v>153.47</v>
      </c>
      <c r="H549" t="s">
        <v>20</v>
      </c>
      <c r="I549" s="2">
        <v>45617</v>
      </c>
      <c r="J549" s="2">
        <v>45700</v>
      </c>
      <c r="K549" t="s">
        <v>172</v>
      </c>
    </row>
    <row r="550" spans="1:11" x14ac:dyDescent="0.25">
      <c r="A550" t="s">
        <v>76</v>
      </c>
      <c r="B550" t="s">
        <v>23</v>
      </c>
      <c r="C550">
        <v>78</v>
      </c>
      <c r="D550">
        <v>87</v>
      </c>
      <c r="E550" t="s">
        <v>19</v>
      </c>
      <c r="F550" t="s">
        <v>173</v>
      </c>
      <c r="G550">
        <v>285.47000000000003</v>
      </c>
      <c r="H550" t="s">
        <v>14</v>
      </c>
      <c r="I550" s="2">
        <v>45506</v>
      </c>
      <c r="J550" s="2">
        <v>45522</v>
      </c>
    </row>
    <row r="551" spans="1:11" x14ac:dyDescent="0.25">
      <c r="A551" t="s">
        <v>74</v>
      </c>
      <c r="B551" t="s">
        <v>30</v>
      </c>
      <c r="C551">
        <v>5</v>
      </c>
      <c r="D551">
        <v>53</v>
      </c>
      <c r="E551" t="s">
        <v>19</v>
      </c>
      <c r="F551" t="s">
        <v>174</v>
      </c>
      <c r="G551">
        <v>202.76</v>
      </c>
      <c r="H551" t="s">
        <v>20</v>
      </c>
      <c r="I551" s="2">
        <v>45420</v>
      </c>
      <c r="J551" s="2">
        <v>45439</v>
      </c>
      <c r="K551" t="s">
        <v>21</v>
      </c>
    </row>
    <row r="552" spans="1:11" x14ac:dyDescent="0.25">
      <c r="A552" t="s">
        <v>98</v>
      </c>
      <c r="B552" t="s">
        <v>23</v>
      </c>
      <c r="C552">
        <v>38</v>
      </c>
      <c r="D552">
        <v>45</v>
      </c>
      <c r="E552" t="s">
        <v>19</v>
      </c>
      <c r="F552" t="s">
        <v>173</v>
      </c>
      <c r="G552">
        <v>166.76</v>
      </c>
      <c r="H552" t="s">
        <v>20</v>
      </c>
      <c r="I552" s="2">
        <v>45420</v>
      </c>
      <c r="J552" s="2">
        <v>45486</v>
      </c>
      <c r="K552" t="s">
        <v>17</v>
      </c>
    </row>
    <row r="553" spans="1:11" x14ac:dyDescent="0.25">
      <c r="A553" t="s">
        <v>39</v>
      </c>
      <c r="B553" t="s">
        <v>28</v>
      </c>
      <c r="C553">
        <v>11</v>
      </c>
      <c r="D553">
        <v>25</v>
      </c>
      <c r="E553" t="s">
        <v>19</v>
      </c>
      <c r="F553" t="s">
        <v>170</v>
      </c>
      <c r="G553">
        <v>290.54000000000002</v>
      </c>
      <c r="H553" t="s">
        <v>26</v>
      </c>
      <c r="I553" s="2">
        <v>45468</v>
      </c>
      <c r="J553" s="2">
        <v>45502</v>
      </c>
      <c r="K553" t="s">
        <v>17</v>
      </c>
    </row>
    <row r="554" spans="1:11" x14ac:dyDescent="0.25">
      <c r="A554" t="s">
        <v>113</v>
      </c>
      <c r="B554" t="s">
        <v>23</v>
      </c>
      <c r="C554">
        <v>17</v>
      </c>
      <c r="D554">
        <v>63</v>
      </c>
      <c r="E554" t="s">
        <v>19</v>
      </c>
      <c r="F554" t="s">
        <v>173</v>
      </c>
      <c r="G554">
        <v>63.76</v>
      </c>
      <c r="H554" t="s">
        <v>20</v>
      </c>
      <c r="I554" s="2">
        <v>45589</v>
      </c>
      <c r="J554" s="2">
        <v>45605</v>
      </c>
      <c r="K554" t="s">
        <v>21</v>
      </c>
    </row>
    <row r="555" spans="1:11" x14ac:dyDescent="0.25">
      <c r="A555" t="s">
        <v>159</v>
      </c>
      <c r="B555" t="s">
        <v>12</v>
      </c>
      <c r="C555">
        <v>20</v>
      </c>
      <c r="D555">
        <v>85</v>
      </c>
      <c r="E555" t="s">
        <v>19</v>
      </c>
      <c r="F555" t="s">
        <v>170</v>
      </c>
      <c r="G555">
        <v>111.27</v>
      </c>
      <c r="H555" t="s">
        <v>14</v>
      </c>
      <c r="I555" s="2">
        <v>45321</v>
      </c>
      <c r="J555" s="2">
        <v>45361</v>
      </c>
    </row>
    <row r="556" spans="1:11" x14ac:dyDescent="0.25">
      <c r="A556" t="s">
        <v>150</v>
      </c>
      <c r="B556" t="s">
        <v>16</v>
      </c>
      <c r="C556">
        <v>7</v>
      </c>
      <c r="D556">
        <v>95</v>
      </c>
      <c r="E556" t="s">
        <v>19</v>
      </c>
      <c r="F556" t="s">
        <v>173</v>
      </c>
      <c r="G556">
        <v>21.06</v>
      </c>
      <c r="H556" t="s">
        <v>20</v>
      </c>
      <c r="I556" s="2">
        <v>45357</v>
      </c>
      <c r="J556" s="2">
        <v>45372</v>
      </c>
      <c r="K556" t="s">
        <v>172</v>
      </c>
    </row>
    <row r="557" spans="1:11" x14ac:dyDescent="0.25">
      <c r="A557" t="s">
        <v>103</v>
      </c>
      <c r="B557" t="s">
        <v>23</v>
      </c>
      <c r="C557">
        <v>41</v>
      </c>
      <c r="D557">
        <v>47</v>
      </c>
      <c r="E557" t="s">
        <v>19</v>
      </c>
      <c r="F557" t="s">
        <v>173</v>
      </c>
      <c r="G557">
        <v>56.12</v>
      </c>
      <c r="H557" t="s">
        <v>20</v>
      </c>
      <c r="I557" s="2">
        <v>45401</v>
      </c>
      <c r="J557" s="2">
        <v>45428</v>
      </c>
    </row>
    <row r="558" spans="1:11" x14ac:dyDescent="0.25">
      <c r="A558" t="s">
        <v>141</v>
      </c>
      <c r="B558" t="s">
        <v>28</v>
      </c>
      <c r="C558">
        <v>13</v>
      </c>
      <c r="D558">
        <v>52</v>
      </c>
      <c r="E558" t="s">
        <v>19</v>
      </c>
      <c r="F558" t="s">
        <v>170</v>
      </c>
      <c r="G558">
        <v>286.14999999999998</v>
      </c>
      <c r="H558" t="s">
        <v>26</v>
      </c>
      <c r="I558" s="2">
        <v>45437</v>
      </c>
      <c r="J558" s="2">
        <v>45463</v>
      </c>
    </row>
    <row r="559" spans="1:11" x14ac:dyDescent="0.25">
      <c r="A559" t="s">
        <v>72</v>
      </c>
      <c r="B559" t="s">
        <v>23</v>
      </c>
      <c r="C559">
        <v>1</v>
      </c>
      <c r="D559">
        <v>71</v>
      </c>
      <c r="E559" t="s">
        <v>19</v>
      </c>
      <c r="F559" t="s">
        <v>173</v>
      </c>
      <c r="G559">
        <v>469.47</v>
      </c>
      <c r="H559" t="s">
        <v>26</v>
      </c>
      <c r="I559" s="2">
        <v>45645</v>
      </c>
      <c r="J559" s="2">
        <v>45684</v>
      </c>
    </row>
    <row r="560" spans="1:11" x14ac:dyDescent="0.25">
      <c r="A560" t="s">
        <v>120</v>
      </c>
      <c r="B560" t="s">
        <v>28</v>
      </c>
      <c r="C560">
        <v>36</v>
      </c>
      <c r="D560">
        <v>60</v>
      </c>
      <c r="E560" t="s">
        <v>19</v>
      </c>
      <c r="F560" t="s">
        <v>173</v>
      </c>
      <c r="G560">
        <v>491.87</v>
      </c>
      <c r="H560" t="s">
        <v>20</v>
      </c>
      <c r="I560" s="2">
        <v>45413</v>
      </c>
      <c r="J560" s="2">
        <v>45462</v>
      </c>
      <c r="K560" t="s">
        <v>21</v>
      </c>
    </row>
    <row r="561" spans="1:11" x14ac:dyDescent="0.25">
      <c r="A561" t="s">
        <v>114</v>
      </c>
      <c r="B561" t="s">
        <v>30</v>
      </c>
      <c r="C561">
        <v>68</v>
      </c>
      <c r="D561">
        <v>70</v>
      </c>
      <c r="E561" t="s">
        <v>19</v>
      </c>
      <c r="F561" t="s">
        <v>170</v>
      </c>
      <c r="G561">
        <v>133.54</v>
      </c>
      <c r="H561" t="s">
        <v>20</v>
      </c>
      <c r="I561" s="2">
        <v>45475</v>
      </c>
      <c r="J561" s="2">
        <v>45494</v>
      </c>
      <c r="K561" t="s">
        <v>21</v>
      </c>
    </row>
    <row r="562" spans="1:11" x14ac:dyDescent="0.25">
      <c r="A562" t="s">
        <v>116</v>
      </c>
      <c r="B562" t="s">
        <v>30</v>
      </c>
      <c r="C562">
        <v>40</v>
      </c>
      <c r="D562">
        <v>77</v>
      </c>
      <c r="E562" t="s">
        <v>19</v>
      </c>
      <c r="F562" t="s">
        <v>173</v>
      </c>
      <c r="G562">
        <v>218.46</v>
      </c>
      <c r="H562" t="s">
        <v>26</v>
      </c>
      <c r="I562" s="2">
        <v>45345</v>
      </c>
      <c r="J562" s="2">
        <v>45416</v>
      </c>
      <c r="K562" t="s">
        <v>172</v>
      </c>
    </row>
    <row r="563" spans="1:11" x14ac:dyDescent="0.25">
      <c r="A563" t="s">
        <v>73</v>
      </c>
      <c r="B563" t="s">
        <v>12</v>
      </c>
      <c r="C563">
        <v>61</v>
      </c>
      <c r="D563">
        <v>94</v>
      </c>
      <c r="E563" t="s">
        <v>19</v>
      </c>
      <c r="F563" t="s">
        <v>173</v>
      </c>
      <c r="G563">
        <v>177.02</v>
      </c>
      <c r="H563" t="s">
        <v>20</v>
      </c>
      <c r="I563" s="2">
        <v>45558</v>
      </c>
      <c r="J563" s="2">
        <v>45619</v>
      </c>
      <c r="K563" t="s">
        <v>17</v>
      </c>
    </row>
    <row r="564" spans="1:11" x14ac:dyDescent="0.25">
      <c r="A564" t="s">
        <v>18</v>
      </c>
      <c r="B564" t="s">
        <v>12</v>
      </c>
      <c r="C564">
        <v>59</v>
      </c>
      <c r="D564">
        <v>76</v>
      </c>
      <c r="E564" t="s">
        <v>19</v>
      </c>
      <c r="F564" t="s">
        <v>170</v>
      </c>
      <c r="G564">
        <v>29.92</v>
      </c>
      <c r="H564" t="s">
        <v>14</v>
      </c>
      <c r="I564" s="2">
        <v>45460</v>
      </c>
      <c r="J564" s="2">
        <v>45528</v>
      </c>
    </row>
    <row r="565" spans="1:11" x14ac:dyDescent="0.25">
      <c r="A565" t="s">
        <v>119</v>
      </c>
      <c r="B565" t="s">
        <v>23</v>
      </c>
      <c r="C565">
        <v>13</v>
      </c>
      <c r="D565">
        <v>41</v>
      </c>
      <c r="E565" t="s">
        <v>19</v>
      </c>
      <c r="F565" t="s">
        <v>174</v>
      </c>
      <c r="G565">
        <v>231.67</v>
      </c>
      <c r="H565" t="s">
        <v>14</v>
      </c>
      <c r="I565" s="2">
        <v>45554</v>
      </c>
      <c r="J565" s="2">
        <v>45599</v>
      </c>
    </row>
    <row r="566" spans="1:11" x14ac:dyDescent="0.25">
      <c r="A566" t="s">
        <v>111</v>
      </c>
      <c r="B566" t="s">
        <v>23</v>
      </c>
      <c r="C566">
        <v>27</v>
      </c>
      <c r="D566">
        <v>35</v>
      </c>
      <c r="E566" t="s">
        <v>19</v>
      </c>
      <c r="F566" t="s">
        <v>173</v>
      </c>
      <c r="G566">
        <v>411.24</v>
      </c>
      <c r="H566" t="s">
        <v>20</v>
      </c>
      <c r="I566" s="2">
        <v>45476</v>
      </c>
      <c r="J566" s="2">
        <v>45536</v>
      </c>
      <c r="K566" t="s">
        <v>21</v>
      </c>
    </row>
    <row r="567" spans="1:11" x14ac:dyDescent="0.25">
      <c r="A567" t="s">
        <v>143</v>
      </c>
      <c r="B567" t="s">
        <v>30</v>
      </c>
      <c r="C567">
        <v>4</v>
      </c>
      <c r="D567">
        <v>59</v>
      </c>
      <c r="E567" t="s">
        <v>19</v>
      </c>
      <c r="F567" t="s">
        <v>174</v>
      </c>
      <c r="G567">
        <v>184.47</v>
      </c>
      <c r="H567" t="s">
        <v>14</v>
      </c>
      <c r="I567" s="2">
        <v>45601</v>
      </c>
      <c r="J567" s="2">
        <v>45624</v>
      </c>
    </row>
    <row r="568" spans="1:11" x14ac:dyDescent="0.25">
      <c r="A568" t="s">
        <v>92</v>
      </c>
      <c r="B568" t="s">
        <v>28</v>
      </c>
      <c r="C568">
        <v>44</v>
      </c>
      <c r="D568">
        <v>92</v>
      </c>
      <c r="E568" t="s">
        <v>19</v>
      </c>
      <c r="F568" t="s">
        <v>173</v>
      </c>
      <c r="G568">
        <v>236.01</v>
      </c>
      <c r="H568" t="s">
        <v>20</v>
      </c>
      <c r="I568" s="2">
        <v>45350</v>
      </c>
      <c r="J568" s="2">
        <v>45427</v>
      </c>
    </row>
    <row r="569" spans="1:11" x14ac:dyDescent="0.25">
      <c r="A569" t="s">
        <v>77</v>
      </c>
      <c r="B569" t="s">
        <v>28</v>
      </c>
      <c r="C569">
        <v>30</v>
      </c>
      <c r="D569">
        <v>91</v>
      </c>
      <c r="E569" t="s">
        <v>19</v>
      </c>
      <c r="F569" t="s">
        <v>173</v>
      </c>
      <c r="G569">
        <v>114.51</v>
      </c>
      <c r="H569" t="s">
        <v>26</v>
      </c>
      <c r="I569" s="2">
        <v>45514</v>
      </c>
      <c r="J569" s="2">
        <v>45602</v>
      </c>
    </row>
    <row r="570" spans="1:11" x14ac:dyDescent="0.25">
      <c r="A570" t="s">
        <v>118</v>
      </c>
      <c r="B570" t="s">
        <v>28</v>
      </c>
      <c r="C570">
        <v>9</v>
      </c>
      <c r="D570">
        <v>86</v>
      </c>
      <c r="E570" t="s">
        <v>19</v>
      </c>
      <c r="F570" t="s">
        <v>170</v>
      </c>
      <c r="G570">
        <v>405.16</v>
      </c>
      <c r="H570" t="s">
        <v>26</v>
      </c>
      <c r="I570" s="2">
        <v>45396</v>
      </c>
      <c r="J570" s="2">
        <v>45459</v>
      </c>
    </row>
    <row r="571" spans="1:11" x14ac:dyDescent="0.25">
      <c r="A571" t="s">
        <v>18</v>
      </c>
      <c r="B571" t="s">
        <v>16</v>
      </c>
      <c r="C571">
        <v>13</v>
      </c>
      <c r="D571">
        <v>44</v>
      </c>
      <c r="E571" t="s">
        <v>19</v>
      </c>
      <c r="F571" t="s">
        <v>170</v>
      </c>
      <c r="G571">
        <v>232.27</v>
      </c>
      <c r="H571" t="s">
        <v>14</v>
      </c>
      <c r="I571" s="2">
        <v>45475</v>
      </c>
      <c r="J571" s="2">
        <v>45493</v>
      </c>
      <c r="K571" t="s">
        <v>17</v>
      </c>
    </row>
    <row r="572" spans="1:11" x14ac:dyDescent="0.25">
      <c r="A572" t="s">
        <v>87</v>
      </c>
      <c r="B572" t="s">
        <v>28</v>
      </c>
      <c r="C572">
        <v>9</v>
      </c>
      <c r="D572">
        <v>34</v>
      </c>
      <c r="E572" t="s">
        <v>19</v>
      </c>
      <c r="F572" t="s">
        <v>174</v>
      </c>
      <c r="G572">
        <v>63.73</v>
      </c>
      <c r="H572" t="s">
        <v>26</v>
      </c>
      <c r="I572" s="2">
        <v>45653</v>
      </c>
      <c r="J572" s="2">
        <v>45722</v>
      </c>
      <c r="K572" t="s">
        <v>172</v>
      </c>
    </row>
    <row r="573" spans="1:11" x14ac:dyDescent="0.25">
      <c r="A573" t="s">
        <v>140</v>
      </c>
      <c r="B573" t="s">
        <v>16</v>
      </c>
      <c r="C573">
        <v>75</v>
      </c>
      <c r="D573">
        <v>82</v>
      </c>
      <c r="E573" t="s">
        <v>19</v>
      </c>
      <c r="F573" t="s">
        <v>170</v>
      </c>
      <c r="G573">
        <v>467.21</v>
      </c>
      <c r="H573" t="s">
        <v>14</v>
      </c>
      <c r="I573" s="2">
        <v>45306</v>
      </c>
      <c r="J573" s="2">
        <v>45336</v>
      </c>
      <c r="K573" t="s">
        <v>172</v>
      </c>
    </row>
    <row r="574" spans="1:11" x14ac:dyDescent="0.25">
      <c r="A574" t="s">
        <v>89</v>
      </c>
      <c r="B574" t="s">
        <v>12</v>
      </c>
      <c r="C574">
        <v>0</v>
      </c>
      <c r="D574">
        <v>72</v>
      </c>
      <c r="E574" t="s">
        <v>19</v>
      </c>
      <c r="F574" t="s">
        <v>170</v>
      </c>
      <c r="G574">
        <v>21.17</v>
      </c>
      <c r="H574" t="s">
        <v>26</v>
      </c>
      <c r="I574" s="2">
        <v>45376</v>
      </c>
      <c r="J574" s="2">
        <v>45404</v>
      </c>
    </row>
    <row r="575" spans="1:11" x14ac:dyDescent="0.25">
      <c r="A575" t="s">
        <v>141</v>
      </c>
      <c r="B575" t="s">
        <v>30</v>
      </c>
      <c r="C575">
        <v>19</v>
      </c>
      <c r="D575">
        <v>33</v>
      </c>
      <c r="E575" t="s">
        <v>19</v>
      </c>
      <c r="F575" t="s">
        <v>173</v>
      </c>
      <c r="G575">
        <v>206.84</v>
      </c>
      <c r="H575" t="s">
        <v>20</v>
      </c>
      <c r="I575" s="2">
        <v>45559</v>
      </c>
      <c r="J575" s="2">
        <v>45606</v>
      </c>
      <c r="K575" t="s">
        <v>21</v>
      </c>
    </row>
    <row r="576" spans="1:11" x14ac:dyDescent="0.25">
      <c r="A576" t="s">
        <v>98</v>
      </c>
      <c r="B576" t="s">
        <v>30</v>
      </c>
      <c r="C576">
        <v>7</v>
      </c>
      <c r="D576">
        <v>95</v>
      </c>
      <c r="E576" t="s">
        <v>19</v>
      </c>
      <c r="F576" t="s">
        <v>170</v>
      </c>
      <c r="G576">
        <v>84.8</v>
      </c>
      <c r="H576" t="s">
        <v>26</v>
      </c>
      <c r="I576" s="2">
        <v>45556</v>
      </c>
      <c r="J576" s="2">
        <v>45595</v>
      </c>
    </row>
    <row r="577" spans="1:11" x14ac:dyDescent="0.25">
      <c r="A577" t="s">
        <v>54</v>
      </c>
      <c r="B577" t="s">
        <v>30</v>
      </c>
      <c r="C577">
        <v>0</v>
      </c>
      <c r="D577">
        <v>58</v>
      </c>
      <c r="E577" t="s">
        <v>19</v>
      </c>
      <c r="F577" t="s">
        <v>174</v>
      </c>
      <c r="G577">
        <v>485.72</v>
      </c>
      <c r="H577" t="s">
        <v>26</v>
      </c>
      <c r="I577" s="2">
        <v>45596</v>
      </c>
      <c r="J577" s="2">
        <v>45627</v>
      </c>
    </row>
    <row r="578" spans="1:11" x14ac:dyDescent="0.25">
      <c r="A578" t="s">
        <v>102</v>
      </c>
      <c r="B578" t="s">
        <v>16</v>
      </c>
      <c r="C578">
        <v>63</v>
      </c>
      <c r="D578">
        <v>96</v>
      </c>
      <c r="E578" t="s">
        <v>19</v>
      </c>
      <c r="F578" t="s">
        <v>173</v>
      </c>
      <c r="G578">
        <v>358.8</v>
      </c>
      <c r="H578" t="s">
        <v>20</v>
      </c>
      <c r="I578" s="2">
        <v>45511</v>
      </c>
      <c r="J578" s="2">
        <v>45582</v>
      </c>
      <c r="K578" t="s">
        <v>17</v>
      </c>
    </row>
    <row r="579" spans="1:11" x14ac:dyDescent="0.25">
      <c r="A579" t="s">
        <v>76</v>
      </c>
      <c r="B579" t="s">
        <v>28</v>
      </c>
      <c r="C579">
        <v>48</v>
      </c>
      <c r="D579">
        <v>91</v>
      </c>
      <c r="E579" t="s">
        <v>19</v>
      </c>
      <c r="F579" t="s">
        <v>170</v>
      </c>
      <c r="G579">
        <v>180.56</v>
      </c>
      <c r="H579" t="s">
        <v>14</v>
      </c>
      <c r="I579" s="2">
        <v>45450</v>
      </c>
      <c r="J579" s="2">
        <v>45487</v>
      </c>
    </row>
    <row r="580" spans="1:11" x14ac:dyDescent="0.25">
      <c r="A580" t="s">
        <v>152</v>
      </c>
      <c r="B580" t="s">
        <v>23</v>
      </c>
      <c r="C580">
        <v>43</v>
      </c>
      <c r="D580">
        <v>54</v>
      </c>
      <c r="E580" t="s">
        <v>19</v>
      </c>
      <c r="F580" t="s">
        <v>173</v>
      </c>
      <c r="G580">
        <v>204.59</v>
      </c>
      <c r="H580" t="s">
        <v>14</v>
      </c>
      <c r="I580" s="2">
        <v>45487</v>
      </c>
      <c r="J580" s="2">
        <v>45534</v>
      </c>
      <c r="K580" t="s">
        <v>172</v>
      </c>
    </row>
    <row r="581" spans="1:11" x14ac:dyDescent="0.25">
      <c r="A581" t="s">
        <v>27</v>
      </c>
      <c r="B581" t="s">
        <v>16</v>
      </c>
      <c r="C581">
        <v>19</v>
      </c>
      <c r="D581">
        <v>61</v>
      </c>
      <c r="E581" t="s">
        <v>19</v>
      </c>
      <c r="F581" t="s">
        <v>173</v>
      </c>
      <c r="G581">
        <v>200.65</v>
      </c>
      <c r="H581" t="s">
        <v>20</v>
      </c>
      <c r="I581" s="2">
        <v>45406</v>
      </c>
      <c r="J581" s="2">
        <v>45488</v>
      </c>
    </row>
    <row r="582" spans="1:11" x14ac:dyDescent="0.25">
      <c r="A582" t="s">
        <v>82</v>
      </c>
      <c r="B582" t="s">
        <v>28</v>
      </c>
      <c r="C582">
        <v>25</v>
      </c>
      <c r="D582">
        <v>38</v>
      </c>
      <c r="E582" t="s">
        <v>19</v>
      </c>
      <c r="F582" t="s">
        <v>174</v>
      </c>
      <c r="G582">
        <v>94.98</v>
      </c>
      <c r="H582" t="s">
        <v>20</v>
      </c>
      <c r="I582" s="2">
        <v>45310</v>
      </c>
      <c r="J582" s="2">
        <v>45398</v>
      </c>
      <c r="K582" t="s">
        <v>21</v>
      </c>
    </row>
    <row r="583" spans="1:11" x14ac:dyDescent="0.25">
      <c r="A583" t="s">
        <v>159</v>
      </c>
      <c r="B583" t="s">
        <v>12</v>
      </c>
      <c r="C583">
        <v>28</v>
      </c>
      <c r="D583">
        <v>92</v>
      </c>
      <c r="E583" t="s">
        <v>19</v>
      </c>
      <c r="F583" t="s">
        <v>173</v>
      </c>
      <c r="G583">
        <v>82.62</v>
      </c>
      <c r="H583" t="s">
        <v>26</v>
      </c>
      <c r="I583" s="2">
        <v>45313</v>
      </c>
      <c r="J583" s="2">
        <v>45401</v>
      </c>
      <c r="K583" t="s">
        <v>17</v>
      </c>
    </row>
    <row r="584" spans="1:11" x14ac:dyDescent="0.25">
      <c r="A584" t="s">
        <v>124</v>
      </c>
      <c r="B584" t="s">
        <v>16</v>
      </c>
      <c r="C584">
        <v>0</v>
      </c>
      <c r="D584">
        <v>47</v>
      </c>
      <c r="E584" t="s">
        <v>19</v>
      </c>
      <c r="F584" t="s">
        <v>173</v>
      </c>
      <c r="G584">
        <v>414.51</v>
      </c>
      <c r="H584" t="s">
        <v>20</v>
      </c>
      <c r="I584" s="2">
        <v>45483</v>
      </c>
      <c r="J584" s="2">
        <v>45508</v>
      </c>
      <c r="K584" t="s">
        <v>21</v>
      </c>
    </row>
    <row r="585" spans="1:11" x14ac:dyDescent="0.25">
      <c r="A585" t="s">
        <v>148</v>
      </c>
      <c r="B585" t="s">
        <v>28</v>
      </c>
      <c r="C585">
        <v>34</v>
      </c>
      <c r="D585">
        <v>90</v>
      </c>
      <c r="E585" t="s">
        <v>19</v>
      </c>
      <c r="F585" t="s">
        <v>170</v>
      </c>
      <c r="G585">
        <v>212.5</v>
      </c>
      <c r="H585" t="s">
        <v>14</v>
      </c>
      <c r="I585" s="2">
        <v>45411</v>
      </c>
      <c r="J585" s="2">
        <v>45486</v>
      </c>
      <c r="K585" t="s">
        <v>21</v>
      </c>
    </row>
    <row r="586" spans="1:11" x14ac:dyDescent="0.25">
      <c r="A586" t="s">
        <v>67</v>
      </c>
      <c r="B586" t="s">
        <v>28</v>
      </c>
      <c r="C586">
        <v>58</v>
      </c>
      <c r="D586">
        <v>82</v>
      </c>
      <c r="E586" t="s">
        <v>19</v>
      </c>
      <c r="F586" t="s">
        <v>173</v>
      </c>
      <c r="G586">
        <v>440.27</v>
      </c>
      <c r="H586" t="s">
        <v>20</v>
      </c>
      <c r="I586" s="2">
        <v>45608</v>
      </c>
      <c r="J586" s="2">
        <v>45638</v>
      </c>
      <c r="K586" t="s">
        <v>21</v>
      </c>
    </row>
    <row r="587" spans="1:11" x14ac:dyDescent="0.25">
      <c r="A587" t="s">
        <v>27</v>
      </c>
      <c r="B587" t="s">
        <v>23</v>
      </c>
      <c r="C587">
        <v>68</v>
      </c>
      <c r="D587">
        <v>92</v>
      </c>
      <c r="E587" t="s">
        <v>19</v>
      </c>
      <c r="F587" t="s">
        <v>173</v>
      </c>
      <c r="G587">
        <v>280.74</v>
      </c>
      <c r="H587" t="s">
        <v>14</v>
      </c>
      <c r="I587" s="2">
        <v>45363</v>
      </c>
      <c r="J587" s="2">
        <v>45393</v>
      </c>
      <c r="K587" t="s">
        <v>21</v>
      </c>
    </row>
    <row r="588" spans="1:11" x14ac:dyDescent="0.25">
      <c r="A588" t="s">
        <v>72</v>
      </c>
      <c r="B588" t="s">
        <v>28</v>
      </c>
      <c r="C588">
        <v>11</v>
      </c>
      <c r="D588">
        <v>33</v>
      </c>
      <c r="E588" t="s">
        <v>19</v>
      </c>
      <c r="F588" t="s">
        <v>174</v>
      </c>
      <c r="G588">
        <v>367.09</v>
      </c>
      <c r="H588" t="s">
        <v>26</v>
      </c>
      <c r="I588" s="2">
        <v>45598</v>
      </c>
      <c r="J588" s="2">
        <v>45647</v>
      </c>
    </row>
    <row r="589" spans="1:11" x14ac:dyDescent="0.25">
      <c r="A589" t="s">
        <v>147</v>
      </c>
      <c r="B589" t="s">
        <v>23</v>
      </c>
      <c r="C589">
        <v>19</v>
      </c>
      <c r="D589">
        <v>57</v>
      </c>
      <c r="E589" t="s">
        <v>19</v>
      </c>
      <c r="F589" t="s">
        <v>170</v>
      </c>
      <c r="G589">
        <v>479.27</v>
      </c>
      <c r="H589" t="s">
        <v>14</v>
      </c>
      <c r="I589" s="2">
        <v>45333</v>
      </c>
      <c r="J589" s="2">
        <v>45368</v>
      </c>
    </row>
    <row r="590" spans="1:11" x14ac:dyDescent="0.25">
      <c r="A590" t="s">
        <v>103</v>
      </c>
      <c r="B590" t="s">
        <v>28</v>
      </c>
      <c r="C590">
        <v>42</v>
      </c>
      <c r="D590">
        <v>80</v>
      </c>
      <c r="E590" t="s">
        <v>19</v>
      </c>
      <c r="F590" t="s">
        <v>173</v>
      </c>
      <c r="G590">
        <v>443.66</v>
      </c>
      <c r="H590" t="s">
        <v>20</v>
      </c>
      <c r="I590" s="2">
        <v>45442</v>
      </c>
      <c r="J590" s="2">
        <v>45499</v>
      </c>
      <c r="K590" t="s">
        <v>21</v>
      </c>
    </row>
    <row r="591" spans="1:11" x14ac:dyDescent="0.25">
      <c r="A591" t="s">
        <v>18</v>
      </c>
      <c r="B591" t="s">
        <v>12</v>
      </c>
      <c r="C591">
        <v>49</v>
      </c>
      <c r="D591">
        <v>59</v>
      </c>
      <c r="E591" t="s">
        <v>19</v>
      </c>
      <c r="F591" t="s">
        <v>170</v>
      </c>
      <c r="G591">
        <v>458.63</v>
      </c>
      <c r="H591" t="s">
        <v>26</v>
      </c>
      <c r="I591" s="2">
        <v>45425</v>
      </c>
      <c r="J591" s="2">
        <v>45471</v>
      </c>
      <c r="K591" t="s">
        <v>17</v>
      </c>
    </row>
    <row r="592" spans="1:11" x14ac:dyDescent="0.25">
      <c r="A592" t="s">
        <v>125</v>
      </c>
      <c r="B592" t="s">
        <v>12</v>
      </c>
      <c r="C592">
        <v>28</v>
      </c>
      <c r="D592">
        <v>49</v>
      </c>
      <c r="E592" t="s">
        <v>19</v>
      </c>
      <c r="F592" t="s">
        <v>170</v>
      </c>
      <c r="G592">
        <v>319.52999999999997</v>
      </c>
      <c r="H592" t="s">
        <v>20</v>
      </c>
      <c r="I592" s="2">
        <v>45410</v>
      </c>
      <c r="J592" s="2">
        <v>45465</v>
      </c>
    </row>
    <row r="593" spans="1:11" x14ac:dyDescent="0.25">
      <c r="A593" t="s">
        <v>66</v>
      </c>
      <c r="B593" t="s">
        <v>23</v>
      </c>
      <c r="C593">
        <v>38</v>
      </c>
      <c r="D593">
        <v>83</v>
      </c>
      <c r="E593" t="s">
        <v>19</v>
      </c>
      <c r="F593" t="s">
        <v>170</v>
      </c>
      <c r="G593">
        <v>204.59</v>
      </c>
      <c r="H593" t="s">
        <v>20</v>
      </c>
      <c r="I593" s="2">
        <v>45489</v>
      </c>
      <c r="J593" s="2">
        <v>45530</v>
      </c>
      <c r="K593" t="s">
        <v>21</v>
      </c>
    </row>
    <row r="594" spans="1:11" x14ac:dyDescent="0.25">
      <c r="A594" t="s">
        <v>96</v>
      </c>
      <c r="B594" t="s">
        <v>23</v>
      </c>
      <c r="C594">
        <v>37</v>
      </c>
      <c r="D594">
        <v>78</v>
      </c>
      <c r="E594" t="s">
        <v>19</v>
      </c>
      <c r="F594" t="s">
        <v>170</v>
      </c>
      <c r="G594">
        <v>413.11</v>
      </c>
      <c r="H594" t="s">
        <v>20</v>
      </c>
      <c r="I594" s="2">
        <v>45480</v>
      </c>
      <c r="J594" s="2">
        <v>45555</v>
      </c>
    </row>
    <row r="595" spans="1:11" x14ac:dyDescent="0.25">
      <c r="A595" t="s">
        <v>42</v>
      </c>
      <c r="B595" t="s">
        <v>12</v>
      </c>
      <c r="C595">
        <v>83</v>
      </c>
      <c r="D595">
        <v>97</v>
      </c>
      <c r="E595" t="s">
        <v>19</v>
      </c>
      <c r="F595" t="s">
        <v>174</v>
      </c>
      <c r="G595">
        <v>77.489999999999995</v>
      </c>
      <c r="H595" t="s">
        <v>26</v>
      </c>
      <c r="I595" s="2">
        <v>45577</v>
      </c>
      <c r="J595" s="2">
        <v>45629</v>
      </c>
      <c r="K595" t="s">
        <v>21</v>
      </c>
    </row>
    <row r="596" spans="1:11" x14ac:dyDescent="0.25">
      <c r="A596" t="s">
        <v>135</v>
      </c>
      <c r="B596" t="s">
        <v>23</v>
      </c>
      <c r="C596">
        <v>7</v>
      </c>
      <c r="D596">
        <v>67</v>
      </c>
      <c r="E596" t="s">
        <v>19</v>
      </c>
      <c r="F596" t="s">
        <v>173</v>
      </c>
      <c r="G596">
        <v>259.48</v>
      </c>
      <c r="H596" t="s">
        <v>26</v>
      </c>
      <c r="I596" s="2">
        <v>45581</v>
      </c>
      <c r="J596" s="2">
        <v>45649</v>
      </c>
    </row>
  </sheetData>
  <conditionalFormatting sqref="E2:E596">
    <cfRule type="cellIs" dxfId="1" priority="1" stopIfTrue="1" operator="equal">
      <formula>"OK"</formula>
    </cfRule>
    <cfRule type="cellIs" dxfId="0" priority="2" stopIfTrue="1" operator="equal">
      <formula>"Reorder"</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51EB0B-1881-4EA7-A354-0D9F37D539B2}">
  <sheetPr codeName="Sheet1"/>
  <dimension ref="A1:B4"/>
  <sheetViews>
    <sheetView workbookViewId="0">
      <selection activeCell="B8" sqref="B8"/>
    </sheetView>
  </sheetViews>
  <sheetFormatPr defaultRowHeight="15" x14ac:dyDescent="0.25"/>
  <cols>
    <col min="1" max="1" width="18.85546875" bestFit="1" customWidth="1"/>
  </cols>
  <sheetData>
    <row r="1" spans="1:2" ht="15.75" thickBot="1" x14ac:dyDescent="0.3"/>
    <row r="2" spans="1:2" ht="16.5" thickBot="1" x14ac:dyDescent="0.3">
      <c r="A2" s="4" t="s">
        <v>163</v>
      </c>
      <c r="B2" s="3">
        <f>COUNTA(MergedData!A2:A2001)</f>
        <v>2000</v>
      </c>
    </row>
    <row r="3" spans="1:2" ht="16.5" thickBot="1" x14ac:dyDescent="0.3">
      <c r="A3" s="4" t="s">
        <v>164</v>
      </c>
      <c r="B3" s="3">
        <f>COUNTIF(MergedData!E2:E2001,"Reorder")</f>
        <v>595</v>
      </c>
    </row>
    <row r="4" spans="1:2" ht="16.5" thickBot="1" x14ac:dyDescent="0.3">
      <c r="A4" s="4" t="s">
        <v>165</v>
      </c>
      <c r="B4" s="3">
        <f>COUNTIF(MergedData!E2:E2001,"OK")</f>
        <v>1405</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7B445-92C0-4817-A6C7-566DD4FAAFC3}">
  <sheetPr codeName="Sheet2"/>
  <dimension ref="A1:B7"/>
  <sheetViews>
    <sheetView workbookViewId="0">
      <selection activeCell="K18" sqref="K18"/>
    </sheetView>
  </sheetViews>
  <sheetFormatPr defaultRowHeight="15" x14ac:dyDescent="0.25"/>
  <cols>
    <col min="1" max="1" width="23.5703125" bestFit="1" customWidth="1"/>
    <col min="2" max="2" width="19.140625" bestFit="1" customWidth="1"/>
  </cols>
  <sheetData>
    <row r="1" spans="1:2" x14ac:dyDescent="0.25">
      <c r="A1" s="5" t="s">
        <v>4</v>
      </c>
      <c r="B1" t="s">
        <v>168</v>
      </c>
    </row>
    <row r="3" spans="1:2" x14ac:dyDescent="0.25">
      <c r="A3" s="5" t="s">
        <v>166</v>
      </c>
      <c r="B3" t="s">
        <v>169</v>
      </c>
    </row>
    <row r="4" spans="1:2" x14ac:dyDescent="0.25">
      <c r="A4" s="6" t="s">
        <v>173</v>
      </c>
      <c r="B4" s="15">
        <v>212</v>
      </c>
    </row>
    <row r="5" spans="1:2" x14ac:dyDescent="0.25">
      <c r="A5" s="6" t="s">
        <v>174</v>
      </c>
      <c r="B5" s="15">
        <v>162</v>
      </c>
    </row>
    <row r="6" spans="1:2" x14ac:dyDescent="0.25">
      <c r="A6" s="6" t="s">
        <v>170</v>
      </c>
      <c r="B6" s="15">
        <v>221</v>
      </c>
    </row>
    <row r="7" spans="1:2" x14ac:dyDescent="0.25">
      <c r="A7" s="6" t="s">
        <v>167</v>
      </c>
      <c r="B7" s="15">
        <v>595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E7347-F927-48CC-9611-AEF3696D27D1}">
  <sheetPr codeName="Sheet3"/>
  <dimension ref="A3:B7"/>
  <sheetViews>
    <sheetView topLeftCell="A2" workbookViewId="0">
      <selection activeCell="P10" sqref="P10"/>
    </sheetView>
  </sheetViews>
  <sheetFormatPr defaultRowHeight="15" x14ac:dyDescent="0.25"/>
  <cols>
    <col min="1" max="1" width="13.140625" bestFit="1" customWidth="1"/>
    <col min="2" max="2" width="19.140625" bestFit="1" customWidth="1"/>
  </cols>
  <sheetData>
    <row r="3" spans="1:2" x14ac:dyDescent="0.25">
      <c r="A3" s="5" t="s">
        <v>166</v>
      </c>
      <c r="B3" t="s">
        <v>169</v>
      </c>
    </row>
    <row r="4" spans="1:2" x14ac:dyDescent="0.25">
      <c r="A4" s="6" t="s">
        <v>13</v>
      </c>
      <c r="B4" s="15">
        <v>1405</v>
      </c>
    </row>
    <row r="5" spans="1:2" x14ac:dyDescent="0.25">
      <c r="A5" s="6" t="s">
        <v>19</v>
      </c>
      <c r="B5" s="15">
        <v>595</v>
      </c>
    </row>
    <row r="6" spans="1:2" x14ac:dyDescent="0.25">
      <c r="A6" s="6" t="s">
        <v>176</v>
      </c>
      <c r="B6" s="15"/>
    </row>
    <row r="7" spans="1:2" x14ac:dyDescent="0.25">
      <c r="A7" s="6" t="s">
        <v>167</v>
      </c>
      <c r="B7" s="15">
        <v>2000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4A006D-1E40-44C4-B519-0BE9408204DB}">
  <sheetPr codeName="Sheet4"/>
  <dimension ref="A1:P18"/>
  <sheetViews>
    <sheetView showGridLines="0" showRowColHeaders="0" tabSelected="1" workbookViewId="0">
      <selection activeCell="O18" sqref="O18"/>
    </sheetView>
  </sheetViews>
  <sheetFormatPr defaultRowHeight="15" x14ac:dyDescent="0.25"/>
  <cols>
    <col min="6" max="6" width="26.140625" customWidth="1"/>
    <col min="7" max="7" width="9.7109375" bestFit="1" customWidth="1"/>
  </cols>
  <sheetData>
    <row r="1" spans="1:16" ht="31.5" x14ac:dyDescent="0.4">
      <c r="A1" s="10" t="s">
        <v>175</v>
      </c>
      <c r="B1" s="9"/>
      <c r="C1" s="9"/>
      <c r="D1" s="9"/>
      <c r="E1" s="9"/>
      <c r="F1" s="9"/>
      <c r="G1" s="11"/>
      <c r="H1" s="7" t="str">
        <f>"✅ Total Items:  " &amp; TEXT(Calculations!B2, "#,##0")</f>
        <v>✅ Total Items:  2,000</v>
      </c>
      <c r="I1" s="7"/>
      <c r="J1" s="7"/>
      <c r="K1" s="8" t="str">
        <f>" 🚨Reorder Items:  " &amp; TEXT(COUNTIF(MergedData!E2:E2001,"Reorder"),"#,##0")</f>
        <v xml:space="preserve"> 🚨Reorder Items:  595</v>
      </c>
      <c r="L1" s="7"/>
      <c r="M1" s="8"/>
      <c r="N1" s="7" t="str">
        <f>"🆗 OK Items:  " &amp; TEXT(COUNTIF(MergedData!E:E,"OK"),"#,##0")</f>
        <v>🆗 OK Items:  1,405</v>
      </c>
      <c r="O1" s="7"/>
      <c r="P1" s="7"/>
    </row>
    <row r="17" spans="2:5" ht="22.5" x14ac:dyDescent="0.45">
      <c r="B17" s="12" t="s">
        <v>178</v>
      </c>
      <c r="C17" s="13"/>
      <c r="D17" s="13"/>
      <c r="E17" s="13"/>
    </row>
    <row r="18" spans="2:5" x14ac:dyDescent="0.25">
      <c r="B18" s="14"/>
      <c r="C18" s="14"/>
      <c r="D18" s="14"/>
    </row>
  </sheetData>
  <mergeCells count="2">
    <mergeCell ref="B17:E17"/>
    <mergeCell ref="B18:D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MergeInventoryAndFormat">
                <anchor moveWithCells="1" sizeWithCells="1">
                  <from>
                    <xdr:col>1</xdr:col>
                    <xdr:colOff>57150</xdr:colOff>
                    <xdr:row>17</xdr:row>
                    <xdr:rowOff>57150</xdr:rowOff>
                  </from>
                  <to>
                    <xdr:col>3</xdr:col>
                    <xdr:colOff>161925</xdr:colOff>
                    <xdr:row>18</xdr:row>
                    <xdr:rowOff>114300</xdr:rowOff>
                  </to>
                </anchor>
              </controlPr>
            </control>
          </mc:Choice>
        </mc:AlternateContent>
        <mc:AlternateContent xmlns:mc="http://schemas.openxmlformats.org/markup-compatibility/2006">
          <mc:Choice Requires="x14">
            <control shapeId="5122" r:id="rId4" name="Button 2">
              <controlPr defaultSize="0" print="0" autoFill="0" autoPict="0" macro="[0]!ExportReorderSheetToPDF">
                <anchor moveWithCells="1" sizeWithCells="1">
                  <from>
                    <xdr:col>3</xdr:col>
                    <xdr:colOff>219075</xdr:colOff>
                    <xdr:row>17</xdr:row>
                    <xdr:rowOff>47625</xdr:rowOff>
                  </from>
                  <to>
                    <xdr:col>5</xdr:col>
                    <xdr:colOff>323850</xdr:colOff>
                    <xdr:row>18</xdr:row>
                    <xdr:rowOff>114300</xdr:rowOff>
                  </to>
                </anchor>
              </controlPr>
            </control>
          </mc:Choice>
        </mc:AlternateContent>
        <mc:AlternateContent xmlns:mc="http://schemas.openxmlformats.org/markup-compatibility/2006">
          <mc:Choice Requires="x14">
            <control shapeId="5123" r:id="rId5" name="Button 3">
              <controlPr defaultSize="0" print="0" autoFill="0" autoPict="0" macro="[0]!EmailReorderPDF">
                <anchor moveWithCells="1" sizeWithCells="1">
                  <from>
                    <xdr:col>5</xdr:col>
                    <xdr:colOff>409575</xdr:colOff>
                    <xdr:row>17</xdr:row>
                    <xdr:rowOff>85725</xdr:rowOff>
                  </from>
                  <to>
                    <xdr:col>5</xdr:col>
                    <xdr:colOff>1733550</xdr:colOff>
                    <xdr:row>18</xdr:row>
                    <xdr:rowOff>133350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StackedColmn</vt:lpstr>
      <vt:lpstr>MergedData</vt:lpstr>
      <vt:lpstr>ReorderOnly</vt:lpstr>
      <vt:lpstr>Calculations</vt:lpstr>
      <vt:lpstr>BarChart</vt:lpstr>
      <vt:lpstr>PieChart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Adekunle Fijabi</dc:creator>
  <cp:lastModifiedBy>Jeleel Adekunle Fijabi</cp:lastModifiedBy>
  <cp:lastPrinted>2025-05-26T11:14:59Z</cp:lastPrinted>
  <dcterms:created xsi:type="dcterms:W3CDTF">2025-05-23T17:03:37Z</dcterms:created>
  <dcterms:modified xsi:type="dcterms:W3CDTF">2025-05-26T12:52:13Z</dcterms:modified>
</cp:coreProperties>
</file>